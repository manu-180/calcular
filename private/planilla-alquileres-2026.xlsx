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1"/>
  </bookViews>
  <sheets>
    <sheet sheetId="1" name="Cómo usarla" state="visible" r:id="rId4"/>
    <sheet sheetId="2" name="Mis contratos" state="visible" r:id="rId5"/>
    <sheet sheetId="3" name="Contrato 1" state="visible" r:id="rId6"/>
    <sheet sheetId="4" name="Contrato 2" state="visible" r:id="rId7"/>
    <sheet sheetId="5" name="Contrato 3" state="visible" r:id="rId8"/>
    <sheet sheetId="6" name="Contrato 4" state="visible" r:id="rId9"/>
    <sheet sheetId="7" name="Contrato 5" state="visible" r:id="rId10"/>
    <sheet sheetId="8" name="Contrato 6" state="visible" r:id="rId11"/>
    <sheet sheetId="9" name="Recibo" state="visible" r:id="rId12"/>
    <sheet sheetId="10" name="Aviso de aumento" state="visible" r:id="rId13"/>
    <sheet sheetId="11" name="IPC" state="visible" r:id="rId14"/>
    <sheet sheetId="12" name="Fuentes" state="visible" r:id="rId15"/>
  </sheets>
  <definedNames>
    <definedName name="_xlnm.Print_Area" localSheetId="8">'Recibo'!$A15:$F48</definedName>
    <definedName name="_xlnm.Print_Area" localSheetId="9">'Aviso de aumento'!$A16:$H30</definedName>
  </definedNames>
  <calcPr calcId="171027"/>
</workbook>
</file>

<file path=xl/sharedStrings.xml><?xml version="1.0" encoding="utf-8"?>
<sst xmlns="http://schemas.openxmlformats.org/spreadsheetml/2006/main" count="644" uniqueCount="308">
  <si>
    <t>Cómo usar la planilla de alquileres</t>
  </si>
  <si>
    <t>1</t>
  </si>
  <si>
    <t>Abrí la hoja «Contrato 1» y reemplazá el ejemplo con los datos de tu contrato: dirección, inquilino, mes y año de inicio, alquiler inicial, índice y cada cuántos meses se ajusta. Sólo se tocan las celdas amarillas.</t>
  </si>
  <si>
    <t>2</t>
  </si>
  <si>
    <t>Si alquilás más de una propiedad, usá «Contrato 2», «Contrato 3»… hasta 6. La hoja «Mis contratos» las junta todas: cuánto cobrás hoy, cuándo toca el próximo aumento y qué hacer.</t>
  </si>
  <si>
    <t>3</t>
  </si>
  <si>
    <t>Cuando se aplica un aumento, abrí «Aviso de aumento», elegí el contrato y copiá el mensaje: trae el monto nuevo, la cuenta y la fuente oficial.</t>
  </si>
  <si>
    <t>4</t>
  </si>
  <si>
    <t>Cada mes, en «Recibo» elegís el contrato y el mes: el importe sale solo. Imprimís la hoja y tenés dos copias, una para tu inquilino y otra para vos.</t>
  </si>
  <si>
    <t>5</t>
  </si>
  <si>
    <t>La hoja «IPC» tiene la serie oficial del INDEC y la hoja «Fuentes», de dónde sale cada dato.</t>
  </si>
  <si>
    <t>COLORES</t>
  </si>
  <si>
    <t>Amarillo: lo completás vos.</t>
  </si>
  <si>
    <t>Verde: lo calcula la planilla. Están protegidas para que no se pisen sin querer (Revisar &gt; Desproteger hoja, si alguna vez lo necesitás).</t>
  </si>
  <si>
    <t>LO QUE CONVIENE SABER</t>
  </si>
  <si>
    <t>•  Desde el DNU 70/2023 el índice y la periodicidad del ajuste se pactan libremente (art. 1199 del Código Civil y Comercial). Lo más común en los contratos nuevos es el IPC del INDEC cada 3 o 4 meses.</t>
  </si>
  <si>
    <t>•  El ajuste multiplica el alquiler por la variación del IPC del período. Los porcentajes mensuales se componen, no se suman: tres meses de 2% dan 6,12%, no 6%.</t>
  </si>
  <si>
    <t>•  El INDEC publica el IPC de cada mes entre el 10 y el 15 del mes siguiente. Por eso hay dos formas de tomar los meses: los completos antes del ajuste (la de esta planilla y la de calcular.ar, por defecto) o los últimos publicados, que corren un mes atrás. Elegí la que diga tu contrato en «Meses del IPC que toma».</t>
  </si>
  <si>
    <t>•  Si tu contrato ajusta por ICL (BCRA), Casa Propia u otro índice, elegí «Otro índice» y cargá el % de cada ajuste en el cronograma. El resto (recibo, aviso, tablero) funciona igual.</t>
  </si>
  <si>
    <t>•  Los contratos firmados entre julio de 2020 y diciembre de 2023, con la ley 27.551, en general siguen con su esquema original (ajuste anual por ICL) hasta que terminan.</t>
  </si>
  <si>
    <t>CÓMO SE MANTIENE AL DÍA</t>
  </si>
  <si>
    <t>•  El enlace de descarga que te llegó por mail no vence y siempre baja la última versión, con el IPC al día. Para pasar tus contratos: copiá las celdas amarillas de cada «Contrato» y pegalas en el mismo lugar de la versión nueva.</t>
  </si>
  <si>
    <t>•  ¿Preferís no cambiar de archivo? Cuando salga un IPC nuevo, cargá el % del mes en la columna amarilla de la hoja «IPC» y todo se recalcula.</t>
  </si>
  <si>
    <t>Esta planilla da los mismos números que la calculadora gratuita de calcular.ar/inflacion/alquiler: es la misma serie oficial y la misma cuenta. Si alguna vez no coinciden, escribinos y lo corregimos. No es asesoramiento legal: la letra de tu contrato manda.</t>
  </si>
  <si>
    <t>Mis contratos de alquiler</t>
  </si>
  <si>
    <t>Contrato</t>
  </si>
  <si>
    <t>Propiedad</t>
  </si>
  <si>
    <t>Inquilino/a</t>
  </si>
  <si>
    <t>Alquiler hoy</t>
  </si>
  <si>
    <t>Rige desde</t>
  </si>
  <si>
    <t>Próximo ajuste</t>
  </si>
  <si>
    <t>Próximo estimado</t>
  </si>
  <si>
    <t>Qué hacer</t>
  </si>
  <si>
    <t>Contrato 1</t>
  </si>
  <si>
    <t>Contrato 2</t>
  </si>
  <si>
    <t>Contrato 3</t>
  </si>
  <si>
    <t>Contrato 4</t>
  </si>
  <si>
    <t>Contrato 5</t>
  </si>
  <si>
    <t>Contrato 6</t>
  </si>
  <si>
    <t>Esta hoja no se completa: junta lo que cargaste en cada «Contrato». Para el recibo del mes andá a la hoja «Recibo»; para avisarle el aumento a tu inquilino, a «Aviso de aumento».</t>
  </si>
  <si>
    <t>Este contrato viene cargado con un ejemplo: reemplazá las celdas amarillas con los datos del tuyo. Las verdes se calculan solas.</t>
  </si>
  <si>
    <t>DATOS DEL CONTRATO</t>
  </si>
  <si>
    <t>Propiedad (dirección)</t>
  </si>
  <si>
    <t>Av. Corrientes 1234, 3° B (ejemplo)</t>
  </si>
  <si>
    <t>Laura Gómez (ejemplo)</t>
  </si>
  <si>
    <t>Tu nombre (para el recibo y el aviso)</t>
  </si>
  <si>
    <t>Mes de inicio del contrato</t>
  </si>
  <si>
    <t>septiembre</t>
  </si>
  <si>
    <t>El primer mes en que se cobró el valor inicial.</t>
  </si>
  <si>
    <t>Año de inicio</t>
  </si>
  <si>
    <t>Duración (meses)</t>
  </si>
  <si>
    <t>Alquiler inicial (el del primer mes)</t>
  </si>
  <si>
    <t>Índice de ajuste</t>
  </si>
  <si>
    <t>IPC (INDEC)</t>
  </si>
  <si>
    <t>Si tu contrato ajusta por ICL, Casa Propia u otro índice, elegí «Otro» y cargá el % de cada ajuste en el cronograma (columna F).</t>
  </si>
  <si>
    <t>Se ajusta cada (meses)</t>
  </si>
  <si>
    <t>Trimestral = 3, cuatrimestral = 4, semestral = 6, anual = 12.</t>
  </si>
  <si>
    <t>Meses del IPC que toma</t>
  </si>
  <si>
    <t>Los completos antes del ajuste</t>
  </si>
  <si>
    <t>«Completos»: un ajuste de julio usa el IPC de abril a junio (como la calculadora de calcular.ar). «Últimos publicados»: usa el de marzo a mayo, porque el de junio sale a mitad de julio. Fijate qué dice tu contrato.</t>
  </si>
  <si>
    <t>CÓMO VIENE EL CONTRATO</t>
  </si>
  <si>
    <t>Alquiler que se cobra hoy</t>
  </si>
  <si>
    <t>Ajustes aplicados</t>
  </si>
  <si>
    <t>Aumento desde el inicio</t>
  </si>
  <si>
    <t>Próximo alquiler estimado</t>
  </si>
  <si>
    <t>Último mes del contrato</t>
  </si>
  <si>
    <t>Qué hacer ahora</t>
  </si>
  <si>
    <t>CRONOGRAMA DE AJUSTES</t>
  </si>
  <si>
    <t>Ajuste</t>
  </si>
  <si>
    <t>Mes del IPC base</t>
  </si>
  <si>
    <t>Mes del IPC final</t>
  </si>
  <si>
    <t>Variación</t>
  </si>
  <si>
    <t>% a mano (otro índice)</t>
  </si>
  <si>
    <t>Alquiler</t>
  </si>
  <si>
    <t>Estado</t>
  </si>
  <si>
    <t>Cada ajuste multiplica el alquiler vigente por la variación del índice del período: IPC del último mes ÷ IPC del mes anterior al primero. Los porcentajes se componen, no se suman. La letra de tu contrato manda: si dice otra cosa, ajustá el índice o la convención de arriba.</t>
  </si>
  <si>
    <t>Completá las celdas amarillas con los datos del contrato. Las verdes se calculan solas.</t>
  </si>
  <si>
    <t>Recibo de alquiler</t>
  </si>
  <si>
    <t>DATOS DEL RECIBO</t>
  </si>
  <si>
    <t>Mes que se paga</t>
  </si>
  <si>
    <t>Año</t>
  </si>
  <si>
    <t>Recibo N°</t>
  </si>
  <si>
    <t>Fecha de pago</t>
  </si>
  <si>
    <t>Ej.: 10/10/2026</t>
  </si>
  <si>
    <t>Expensas (si las cobrás junto)</t>
  </si>
  <si>
    <t>Otros conceptos (importe)</t>
  </si>
  <si>
    <t>Detalle de otros conceptos</t>
  </si>
  <si>
    <t>Forma de pago</t>
  </si>
  <si>
    <t>Transferencia</t>
  </si>
  <si>
    <t>RECIBO DE ALQUILER · ORIGINAL (para el inquilino)</t>
  </si>
  <si>
    <t>Concepto</t>
  </si>
  <si>
    <t>Importe</t>
  </si>
  <si>
    <t>Expensas</t>
  </si>
  <si>
    <t>TOTAL</t>
  </si>
  <si>
    <t>______________________________</t>
  </si>
  <si>
    <t>RECIBO DE ALQUILER · DUPLICADO (para vos)</t>
  </si>
  <si>
    <t>Aviso de aumento para tu inquilino</t>
  </si>
  <si>
    <t>Elegí el contrato: el aviso se arma con el último ajuste aplicado, la cuenta y la fuente oficial.</t>
  </si>
  <si>
    <t>EL ÚLTIMO AJUSTE</t>
  </si>
  <si>
    <t>Alquiler anterior</t>
  </si>
  <si>
    <t>Alquiler nuevo</t>
  </si>
  <si>
    <t>Índice</t>
  </si>
  <si>
    <t>Período del IPC</t>
  </si>
  <si>
    <t>IPC al final del período</t>
  </si>
  <si>
    <t>IPC al inicio del período</t>
  </si>
  <si>
    <t>MENSAJE PARA TU INQUILINO · copialo y pegalo en un mail, o imprimilo</t>
  </si>
  <si>
    <t>VERSIÓN CORTA PARA WHATSAPP</t>
  </si>
  <si>
    <t>Mandá el aviso antes de que empiece el mes del aumento y guardá una copia. Si tu inquilino quiere revisar la cuenta, los índices están en la hoja «IPC» y en indec.gob.ar.</t>
  </si>
  <si>
    <t>IPC Nacional del INDEC — nivel general (base diciembre 2016 = 100)</t>
  </si>
  <si>
    <t>Serie oficial descargada el 2026-10-07 de la API de series de tiempo del Estado (datos.gob.ar). Último dato: agosto de 2026. Si ya salió un mes que acá no está, cargá su % en la columna amarilla.</t>
  </si>
  <si>
    <t>Período</t>
  </si>
  <si>
    <t>Variación del mes</t>
  </si>
  <si>
    <t>¿Salió y no está? Cargá el % del mes</t>
  </si>
  <si>
    <t>Origen</t>
  </si>
  <si>
    <t>diciembre de 2016</t>
  </si>
  <si>
    <t>INDEC</t>
  </si>
  <si>
    <t>enero</t>
  </si>
  <si>
    <t>enero de 2017</t>
  </si>
  <si>
    <t>febrero</t>
  </si>
  <si>
    <t>febrero de 2017</t>
  </si>
  <si>
    <t>marzo</t>
  </si>
  <si>
    <t>marzo de 2017</t>
  </si>
  <si>
    <t>abril</t>
  </si>
  <si>
    <t>abril de 2017</t>
  </si>
  <si>
    <t>mayo</t>
  </si>
  <si>
    <t>mayo de 2017</t>
  </si>
  <si>
    <t>junio</t>
  </si>
  <si>
    <t>junio de 2017</t>
  </si>
  <si>
    <t>julio</t>
  </si>
  <si>
    <t>julio de 2017</t>
  </si>
  <si>
    <t>agosto</t>
  </si>
  <si>
    <t>agosto de 2017</t>
  </si>
  <si>
    <t>septiembre de 2017</t>
  </si>
  <si>
    <t>octubre</t>
  </si>
  <si>
    <t>octubre de 2017</t>
  </si>
  <si>
    <t>noviembre</t>
  </si>
  <si>
    <t>noviembre de 2017</t>
  </si>
  <si>
    <t>diciembre</t>
  </si>
  <si>
    <t>diciembre de 2017</t>
  </si>
  <si>
    <t>enero de 2018</t>
  </si>
  <si>
    <t>febrero de 2018</t>
  </si>
  <si>
    <t>marzo de 2018</t>
  </si>
  <si>
    <t>abril de 2018</t>
  </si>
  <si>
    <t>mayo de 2018</t>
  </si>
  <si>
    <t>junio de 2018</t>
  </si>
  <si>
    <t>julio de 2018</t>
  </si>
  <si>
    <t>agosto de 2018</t>
  </si>
  <si>
    <t>septiembre de 2018</t>
  </si>
  <si>
    <t>octubre de 2018</t>
  </si>
  <si>
    <t>noviembre de 2018</t>
  </si>
  <si>
    <t>diciembre de 2018</t>
  </si>
  <si>
    <t>enero de 2019</t>
  </si>
  <si>
    <t>febrero de 2019</t>
  </si>
  <si>
    <t>marzo de 2019</t>
  </si>
  <si>
    <t>abril de 2019</t>
  </si>
  <si>
    <t>mayo de 2019</t>
  </si>
  <si>
    <t>junio de 2019</t>
  </si>
  <si>
    <t>julio de 2019</t>
  </si>
  <si>
    <t>agosto de 2019</t>
  </si>
  <si>
    <t>septiembre de 2019</t>
  </si>
  <si>
    <t>octubre de 2019</t>
  </si>
  <si>
    <t>noviembre de 2019</t>
  </si>
  <si>
    <t>diciembre de 2019</t>
  </si>
  <si>
    <t>enero de 2020</t>
  </si>
  <si>
    <t>febrero de 2020</t>
  </si>
  <si>
    <t>marzo de 2020</t>
  </si>
  <si>
    <t>abril de 2020</t>
  </si>
  <si>
    <t>mayo de 2020</t>
  </si>
  <si>
    <t>junio de 2020</t>
  </si>
  <si>
    <t>julio de 2020</t>
  </si>
  <si>
    <t>agosto de 2020</t>
  </si>
  <si>
    <t>septiembre de 2020</t>
  </si>
  <si>
    <t>octubre de 2020</t>
  </si>
  <si>
    <t>noviembre de 2020</t>
  </si>
  <si>
    <t>diciembre de 2020</t>
  </si>
  <si>
    <t>enero de 2021</t>
  </si>
  <si>
    <t>febrero de 2021</t>
  </si>
  <si>
    <t>marzo de 2021</t>
  </si>
  <si>
    <t>abril de 2021</t>
  </si>
  <si>
    <t>mayo de 2021</t>
  </si>
  <si>
    <t>junio de 2021</t>
  </si>
  <si>
    <t>julio de 2021</t>
  </si>
  <si>
    <t>agosto de 2021</t>
  </si>
  <si>
    <t>septiembre de 2021</t>
  </si>
  <si>
    <t>octubre de 2021</t>
  </si>
  <si>
    <t>noviembre de 2021</t>
  </si>
  <si>
    <t>diciembre de 2021</t>
  </si>
  <si>
    <t>enero de 2022</t>
  </si>
  <si>
    <t>febrero de 2022</t>
  </si>
  <si>
    <t>marzo de 2022</t>
  </si>
  <si>
    <t>abril de 2022</t>
  </si>
  <si>
    <t>mayo de 2022</t>
  </si>
  <si>
    <t>junio de 2022</t>
  </si>
  <si>
    <t>julio de 2022</t>
  </si>
  <si>
    <t>agosto de 2022</t>
  </si>
  <si>
    <t>septiembre de 2022</t>
  </si>
  <si>
    <t>octubre de 2022</t>
  </si>
  <si>
    <t>noviembre de 2022</t>
  </si>
  <si>
    <t>diciembre de 2022</t>
  </si>
  <si>
    <t>enero de 2023</t>
  </si>
  <si>
    <t>febrero de 2023</t>
  </si>
  <si>
    <t>marzo de 2023</t>
  </si>
  <si>
    <t>abril de 2023</t>
  </si>
  <si>
    <t>mayo de 2023</t>
  </si>
  <si>
    <t>junio de 2023</t>
  </si>
  <si>
    <t>julio de 2023</t>
  </si>
  <si>
    <t>agosto de 2023</t>
  </si>
  <si>
    <t>septiembre de 2023</t>
  </si>
  <si>
    <t>octubre de 2023</t>
  </si>
  <si>
    <t>noviembre de 2023</t>
  </si>
  <si>
    <t>diciembre de 2023</t>
  </si>
  <si>
    <t>enero de 2024</t>
  </si>
  <si>
    <t>febrero de 2024</t>
  </si>
  <si>
    <t>marzo de 2024</t>
  </si>
  <si>
    <t>abril de 2024</t>
  </si>
  <si>
    <t>mayo de 2024</t>
  </si>
  <si>
    <t>junio de 2024</t>
  </si>
  <si>
    <t>julio de 2024</t>
  </si>
  <si>
    <t>agosto de 2024</t>
  </si>
  <si>
    <t>septiembre de 2024</t>
  </si>
  <si>
    <t>octubre de 2024</t>
  </si>
  <si>
    <t>noviembre de 2024</t>
  </si>
  <si>
    <t>diciembre de 2024</t>
  </si>
  <si>
    <t>enero de 2025</t>
  </si>
  <si>
    <t>febrero de 2025</t>
  </si>
  <si>
    <t>marzo de 2025</t>
  </si>
  <si>
    <t>abril de 2025</t>
  </si>
  <si>
    <t>mayo de 2025</t>
  </si>
  <si>
    <t>junio de 2025</t>
  </si>
  <si>
    <t>julio de 2025</t>
  </si>
  <si>
    <t>agosto de 2025</t>
  </si>
  <si>
    <t>septiembre de 2025</t>
  </si>
  <si>
    <t>octubre de 2025</t>
  </si>
  <si>
    <t>noviembre de 2025</t>
  </si>
  <si>
    <t>diciembre de 2025</t>
  </si>
  <si>
    <t>enero de 2026</t>
  </si>
  <si>
    <t>febrero de 2026</t>
  </si>
  <si>
    <t>marzo de 2026</t>
  </si>
  <si>
    <t>abril de 2026</t>
  </si>
  <si>
    <t>mayo de 2026</t>
  </si>
  <si>
    <t>junio de 2026</t>
  </si>
  <si>
    <t>julio de 2026</t>
  </si>
  <si>
    <t>agosto de 2026</t>
  </si>
  <si>
    <t>septiembre de 2026</t>
  </si>
  <si>
    <t>octubre de 2026</t>
  </si>
  <si>
    <t>noviembre de 2026</t>
  </si>
  <si>
    <t>diciembre de 2026</t>
  </si>
  <si>
    <t>enero de 2027</t>
  </si>
  <si>
    <t>febrero de 2027</t>
  </si>
  <si>
    <t>marzo de 2027</t>
  </si>
  <si>
    <t>abril de 2027</t>
  </si>
  <si>
    <t>mayo de 2027</t>
  </si>
  <si>
    <t>junio de 2027</t>
  </si>
  <si>
    <t>julio de 2027</t>
  </si>
  <si>
    <t>agosto de 2027</t>
  </si>
  <si>
    <t>septiembre de 2027</t>
  </si>
  <si>
    <t>octubre de 2027</t>
  </si>
  <si>
    <t>noviembre de 2027</t>
  </si>
  <si>
    <t>diciembre de 2027</t>
  </si>
  <si>
    <t>enero de 2028</t>
  </si>
  <si>
    <t>febrero de 2028</t>
  </si>
  <si>
    <t>marzo de 2028</t>
  </si>
  <si>
    <t>abril de 2028</t>
  </si>
  <si>
    <t>mayo de 2028</t>
  </si>
  <si>
    <t>junio de 2028</t>
  </si>
  <si>
    <t>julio de 2028</t>
  </si>
  <si>
    <t>agosto de 2028</t>
  </si>
  <si>
    <t>septiembre de 2028</t>
  </si>
  <si>
    <t>octubre de 2028</t>
  </si>
  <si>
    <t>noviembre de 2028</t>
  </si>
  <si>
    <t>diciembre de 2028</t>
  </si>
  <si>
    <t>enero de 2029</t>
  </si>
  <si>
    <t>febrero de 2029</t>
  </si>
  <si>
    <t>marzo de 2029</t>
  </si>
  <si>
    <t>abril de 2029</t>
  </si>
  <si>
    <t>mayo de 2029</t>
  </si>
  <si>
    <t>junio de 2029</t>
  </si>
  <si>
    <t>julio de 2029</t>
  </si>
  <si>
    <t>agosto de 2029</t>
  </si>
  <si>
    <t>septiembre de 2029</t>
  </si>
  <si>
    <t>octubre de 2029</t>
  </si>
  <si>
    <t>noviembre de 2029</t>
  </si>
  <si>
    <t>diciembre de 2029</t>
  </si>
  <si>
    <t>enero de 2030</t>
  </si>
  <si>
    <t>febrero de 2030</t>
  </si>
  <si>
    <t>marzo de 2030</t>
  </si>
  <si>
    <t>abril de 2030</t>
  </si>
  <si>
    <t>mayo de 2030</t>
  </si>
  <si>
    <t>junio de 2030</t>
  </si>
  <si>
    <t>julio de 2030</t>
  </si>
  <si>
    <t>agosto de 2030</t>
  </si>
  <si>
    <t>septiembre de 2030</t>
  </si>
  <si>
    <t>octubre de 2030</t>
  </si>
  <si>
    <t>noviembre de 2030</t>
  </si>
  <si>
    <t>diciembre de 2030</t>
  </si>
  <si>
    <t>Fuentes oficiales</t>
  </si>
  <si>
    <t>Todos los datos de esta planilla se verificaron el 12 de junio de 2026 contra los documentos oficiales de abajo. Ningún blog, ningún resumen de terceros.</t>
  </si>
  <si>
    <t>Documento</t>
  </si>
  <si>
    <t>Link</t>
  </si>
  <si>
    <t>INDEC: IPC Nacional, nivel general (API oficial de series de tiempo)</t>
  </si>
  <si>
    <t>https://datos.gob.ar/series/api/series/?ids=148.3_INIVELNAL_DICI_M_26&amp;format=json</t>
  </si>
  <si>
    <t>INDEC: Índice de precios al consumidor (informes técnicos mensuales)</t>
  </si>
  <si>
    <t>https://www.indec.gob.ar/indec/web/Nivel4-Tema-3-5-31</t>
  </si>
  <si>
    <t>DNU 70/2023: arts. 249 y 257 (alquileres: libre pacto del índice de ajuste)</t>
  </si>
  <si>
    <t>https://servicios.infoleg.gob.ar/infolegInternet/anexos/395000-399999/395521/norma.htm</t>
  </si>
  <si>
    <t>Código Civil y Comercial, art. 1199 (texto según DNU 70/2023)</t>
  </si>
  <si>
    <t>https://servicios.infoleg.gob.ar/infolegInternet/anexos/235000-239999/235975/texact.htm</t>
  </si>
  <si>
    <t>Planilla de calcular.ar. Serie del IPC descargada el 2026-10-07. Cada vez que el INDEC publica un IPC nuevo regeneramos el archivo: el mismo enlace de descarga te baja la versión al día, sin costo.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</si>
</sst>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%"/>
    <numFmt numFmtId="166" formatCode="#,##0.0000"/>
    <numFmt numFmtId="167" formatCode="0.0"/>
  </numFmts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b/>
      <color rgb="FFFFFFFF"/>
      <sz val="11"/>
    </font>
    <font>
      <i/>
      <color rgb="FF777777"/>
      <sz val="9"/>
    </font>
    <font>
      <i/>
      <color rgb="FF555555"/>
      <sz val="10"/>
    </font>
    <font>
      <b/>
    </font>
    <font>
      <color rgb="FF777777"/>
      <sz val="9"/>
    </font>
    <font/>
    <font>
      <sz val="9"/>
    </font>
    <font>
      <i/>
      <color rgb="FF555555"/>
      <sz val="9"/>
    </font>
    <font>
      <u/>
      <color rgb="FF1565C0"/>
    </font>
  </fonts>
  <fills count="15">
    <fill>
      <patternFill patternType="none"/>
    </fill>
    <fill>
      <patternFill patternType="gray125"/>
    </fill>
    <fill>
      <patternFill patternType="solid">
        <fgColor rgb="FFF57C00"/>
      </patternFill>
    </fill>
    <fill>
      <patternFill patternType="solid">
        <fgColor rgb="FF1B5E20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3F8FF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546E7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3" borderId="0" xfId="0" applyFont="1" applyFill="1" applyAlignment="1">
      <alignment horizontal="left" indent="1"/>
    </xf>
    <xf numFmtId="0" fontId="0" fillId="4" borderId="1" xfId="0" applyFill="1" applyBorder="1"/>
    <xf numFmtId="0" fontId="0" fillId="0" borderId="0" xfId="0" applyAlignment="1">
      <alignment wrapText="1" indent="1"/>
    </xf>
    <xf numFmtId="0" fontId="0" fillId="5" borderId="1" xfId="0" applyFill="1" applyBorder="1"/>
    <xf numFmtId="0" fontId="0" fillId="0" borderId="0" xfId="0" applyAlignment="1">
      <alignment vertical="top" wrapText="1" indent="1"/>
    </xf>
    <xf numFmtId="0" fontId="4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indent="1"/>
    </xf>
    <xf numFmtId="0" fontId="0" fillId="8" borderId="1" xfId="0" applyFill="1" applyBorder="1" applyAlignment="1">
      <alignment horizontal="left" vertical="center" wrapText="1" indent="1"/>
    </xf>
    <xf numFmtId="164" fontId="0" fillId="8" borderId="1" xfId="0" applyNumberFormat="1" applyFill="1" applyBorder="1" applyAlignment="1">
      <alignment horizontal="right" vertical="center"/>
    </xf>
    <xf numFmtId="0" fontId="0" fillId="9" borderId="1" xfId="0" applyFill="1" applyBorder="1" applyAlignment="1">
      <alignment horizontal="left" vertical="center" indent="1"/>
    </xf>
    <xf numFmtId="0" fontId="0" fillId="9" borderId="1" xfId="0" applyFill="1" applyBorder="1" applyAlignment="1">
      <alignment horizontal="left" vertical="center" wrapText="1" indent="1"/>
    </xf>
    <xf numFmtId="164" fontId="0" fillId="9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left" indent="1"/>
    </xf>
    <xf numFmtId="0" fontId="6" fillId="4" borderId="1" xfId="0" applyFont="1" applyFill="1" applyBorder="1" applyAlignment="1" applyProtection="1">
      <alignment horizontal="left" indent="1"/>
      <protection locked="0"/>
    </xf>
    <xf numFmtId="0" fontId="7" fillId="0" borderId="0" xfId="0" applyFont="1" applyAlignment="1">
      <alignment vertical="center" wrapText="1" indent="1"/>
    </xf>
    <xf numFmtId="1" fontId="6" fillId="4" borderId="1" xfId="0" applyNumberFormat="1" applyFont="1" applyFill="1" applyBorder="1" applyAlignment="1" applyProtection="1">
      <alignment horizontal="right"/>
      <protection locked="0"/>
    </xf>
    <xf numFmtId="164" fontId="6" fillId="4" borderId="1" xfId="0" applyNumberFormat="1" applyFont="1" applyFill="1" applyBorder="1" applyAlignment="1" applyProtection="1">
      <alignment horizontal="right"/>
      <protection locked="0"/>
    </xf>
    <xf numFmtId="164" fontId="6" fillId="10" borderId="1" xfId="0" applyNumberFormat="1" applyFont="1" applyFill="1" applyBorder="1" applyAlignment="1">
      <alignment horizontal="right"/>
    </xf>
    <xf numFmtId="0" fontId="8" fillId="5" borderId="1" xfId="0" applyFont="1" applyFill="1" applyBorder="1" applyAlignment="1">
      <alignment horizontal="left" indent="1"/>
    </xf>
    <xf numFmtId="1" fontId="8" fillId="5" borderId="1" xfId="0" applyNumberFormat="1" applyFont="1" applyFill="1" applyBorder="1" applyAlignment="1">
      <alignment horizontal="right"/>
    </xf>
    <xf numFmtId="165" fontId="8" fillId="5" borderId="1" xfId="0" applyNumberFormat="1" applyFont="1" applyFill="1" applyBorder="1" applyAlignment="1">
      <alignment horizontal="right"/>
    </xf>
    <xf numFmtId="164" fontId="8" fillId="5" borderId="1" xfId="0" applyNumberFormat="1" applyFont="1" applyFill="1" applyBorder="1" applyAlignment="1">
      <alignment horizontal="right"/>
    </xf>
    <xf numFmtId="0" fontId="8" fillId="5" borderId="1" xfId="0" applyFont="1" applyFill="1" applyBorder="1" applyAlignment="1">
      <alignment horizontal="left" vertical="top" wrapText="1" inden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6" borderId="1" xfId="0" applyFill="1" applyBorder="1"/>
    <xf numFmtId="164" fontId="0" fillId="8" borderId="1" xfId="0" applyNumberFormat="1" applyFill="1" applyBorder="1" applyAlignment="1">
      <alignment horizontal="right"/>
    </xf>
    <xf numFmtId="0" fontId="0" fillId="9" borderId="1" xfId="0" applyFill="1" applyBorder="1"/>
    <xf numFmtId="10" fontId="0" fillId="9" borderId="1" xfId="0" applyNumberFormat="1" applyFill="1" applyBorder="1" applyAlignment="1">
      <alignment horizontal="right"/>
    </xf>
    <xf numFmtId="2" fontId="0" fillId="4" borderId="1" xfId="0" applyNumberFormat="1" applyFill="1" applyBorder="1" applyAlignment="1" applyProtection="1">
      <alignment horizontal="right"/>
      <protection locked="0"/>
    </xf>
    <xf numFmtId="164" fontId="0" fillId="9" borderId="1" xfId="0" applyNumberFormat="1" applyFill="1" applyBorder="1" applyAlignment="1">
      <alignment horizontal="right"/>
    </xf>
    <xf numFmtId="10" fontId="0" fillId="8" borderId="1" xfId="0" applyNumberFormat="1" applyFill="1" applyBorder="1" applyAlignment="1">
      <alignment horizontal="right"/>
    </xf>
    <xf numFmtId="0" fontId="7" fillId="0" borderId="0" xfId="0" applyFont="1"/>
    <xf numFmtId="0" fontId="1" fillId="11" borderId="0" xfId="0" applyFont="1" applyFill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6" fillId="8" borderId="1" xfId="0" applyFont="1" applyFill="1" applyBorder="1" applyAlignment="1">
      <alignment indent="1"/>
    </xf>
    <xf numFmtId="164" fontId="6" fillId="8" borderId="1" xfId="0" applyNumberFormat="1" applyFont="1" applyFill="1" applyBorder="1" applyAlignment="1">
      <alignment horizontal="right"/>
    </xf>
    <xf numFmtId="0" fontId="0" fillId="8" borderId="1" xfId="0" applyFill="1" applyBorder="1" applyAlignment="1">
      <alignment indent="1"/>
    </xf>
    <xf numFmtId="0" fontId="6" fillId="10" borderId="1" xfId="0" applyFont="1" applyFill="1" applyBorder="1" applyAlignment="1">
      <alignment inden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0" fontId="8" fillId="5" borderId="1" xfId="0" applyNumberFormat="1" applyFont="1" applyFill="1" applyBorder="1" applyAlignment="1">
      <alignment horizontal="right"/>
    </xf>
    <xf numFmtId="166" fontId="8" fillId="5" borderId="1" xfId="0" applyNumberFormat="1" applyFont="1" applyFill="1" applyBorder="1" applyAlignment="1">
      <alignment horizontal="right"/>
    </xf>
    <xf numFmtId="0" fontId="0" fillId="5" borderId="1" xfId="0" applyFill="1" applyBorder="1" applyAlignment="1">
      <alignment vertical="top" wrapText="1"/>
    </xf>
    <xf numFmtId="0" fontId="1" fillId="12" borderId="0" xfId="0" applyFont="1" applyFill="1" applyAlignment="1">
      <alignment horizontal="center" vertical="center"/>
    </xf>
    <xf numFmtId="0" fontId="10" fillId="0" borderId="0" xfId="0" applyFont="1" applyAlignment="1">
      <alignment vertical="top" wrapText="1"/>
    </xf>
    <xf numFmtId="0" fontId="2" fillId="13" borderId="1" xfId="0" applyFont="1" applyFill="1" applyBorder="1" applyAlignment="1">
      <alignment horizontal="center" vertical="center" wrapText="1"/>
    </xf>
    <xf numFmtId="166" fontId="0" fillId="8" borderId="1" xfId="0" applyNumberFormat="1" applyFill="1" applyBorder="1"/>
    <xf numFmtId="165" fontId="0" fillId="8" borderId="1" xfId="0" applyNumberFormat="1" applyFill="1" applyBorder="1"/>
    <xf numFmtId="166" fontId="0" fillId="9" borderId="1" xfId="0" applyNumberFormat="1" applyFill="1" applyBorder="1"/>
    <xf numFmtId="165" fontId="0" fillId="9" borderId="1" xfId="0" applyNumberFormat="1" applyFill="1" applyBorder="1"/>
    <xf numFmtId="167" fontId="0" fillId="4" borderId="1" xfId="0" applyNumberFormat="1" applyFill="1" applyBorder="1" applyProtection="1">
      <protection locked="0"/>
    </xf>
    <xf numFmtId="0" fontId="5" fillId="0" borderId="0" xfId="0" applyFont="1" applyAlignment="1">
      <alignment vertical="top" wrapText="1"/>
    </xf>
    <xf numFmtId="0" fontId="2" fillId="14" borderId="1" xfId="0" applyFont="1" applyFill="1" applyBorder="1"/>
    <xf numFmtId="0" fontId="0" fillId="8" borderId="1" xfId="0" applyFill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atos.gob.ar/series/api/series/?ids=148.3_INIVELNAL_DICI_M_26&amp;format=json" TargetMode="External"/><Relationship Id="rId2" Type="http://schemas.openxmlformats.org/officeDocument/2006/relationships/hyperlink" Target="https://www.indec.gob.ar/indec/web/Nivel4-Tema-3-5-31" TargetMode="External"/><Relationship Id="rId3" Type="http://schemas.openxmlformats.org/officeDocument/2006/relationships/hyperlink" Target="https://servicios.infoleg.gob.ar/infolegInternet/anexos/395000-399999/395521/norma.htm" TargetMode="External"/><Relationship Id="rId4" Type="http://schemas.openxmlformats.org/officeDocument/2006/relationships/hyperlink" Target="https://servicios.infoleg.gob.ar/infolegInternet/anexos/235000-239999/235975/texac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C00"/>
  </sheetPr>
  <dimension ref="A1:B24"/>
  <sheetFormatPr defaultRowHeight="15" outlineLevelRow="0" outlineLevelCol="0" x14ac:dyDescent="55"/>
  <cols>
    <col min="1" max="1" width="4" customWidth="1"/>
    <col min="2" max="2" width="108" customWidth="1"/>
  </cols>
  <sheetData>
    <row r="1" ht="28" customHeight="1" spans="1:2" x14ac:dyDescent="0.25">
      <c r="A1" s="1" t="s">
        <v>0</v>
      </c>
      <c r="B1" s="1"/>
    </row>
    <row r="3" ht="36" customHeight="1" spans="1:2" x14ac:dyDescent="0.25">
      <c r="A3" s="2" t="s">
        <v>1</v>
      </c>
      <c r="B3" s="3" t="s">
        <v>2</v>
      </c>
    </row>
    <row r="4" ht="36" customHeight="1" spans="1:2" x14ac:dyDescent="0.25">
      <c r="A4" s="2" t="s">
        <v>3</v>
      </c>
      <c r="B4" s="3" t="s">
        <v>4</v>
      </c>
    </row>
    <row r="5" ht="36" customHeight="1" spans="1:2" x14ac:dyDescent="0.25">
      <c r="A5" s="2" t="s">
        <v>5</v>
      </c>
      <c r="B5" s="3" t="s">
        <v>6</v>
      </c>
    </row>
    <row r="6" ht="36" customHeight="1" spans="1:2" x14ac:dyDescent="0.25">
      <c r="A6" s="2" t="s">
        <v>7</v>
      </c>
      <c r="B6" s="3" t="s">
        <v>8</v>
      </c>
    </row>
    <row r="7" ht="36" customHeight="1" spans="1:2" x14ac:dyDescent="0.25">
      <c r="A7" s="2" t="s">
        <v>9</v>
      </c>
      <c r="B7" s="3" t="s">
        <v>10</v>
      </c>
    </row>
    <row r="9" spans="1:2" x14ac:dyDescent="0.25">
      <c r="A9" s="4" t="s">
        <v>11</v>
      </c>
      <c r="B9" s="4"/>
    </row>
    <row r="10" ht="22" customHeight="1" spans="1:2" x14ac:dyDescent="0.25">
      <c r="A10" s="5"/>
      <c r="B10" s="6" t="s">
        <v>12</v>
      </c>
    </row>
    <row r="11" ht="22" customHeight="1" spans="1:2" x14ac:dyDescent="0.25">
      <c r="A11" s="7"/>
      <c r="B11" s="6" t="s">
        <v>13</v>
      </c>
    </row>
    <row r="13" spans="1:2" x14ac:dyDescent="0.25">
      <c r="A13" s="4" t="s">
        <v>14</v>
      </c>
      <c r="B13" s="4"/>
    </row>
    <row r="14" ht="34" customHeight="1" spans="2:2" x14ac:dyDescent="0.25">
      <c r="B14" s="8" t="s">
        <v>15</v>
      </c>
    </row>
    <row r="15" ht="34" customHeight="1" spans="2:2" x14ac:dyDescent="0.25">
      <c r="B15" s="8" t="s">
        <v>16</v>
      </c>
    </row>
    <row r="16" ht="34" customHeight="1" spans="2:2" x14ac:dyDescent="0.25">
      <c r="B16" s="8" t="s">
        <v>17</v>
      </c>
    </row>
    <row r="17" ht="34" customHeight="1" spans="2:2" x14ac:dyDescent="0.25">
      <c r="B17" s="8" t="s">
        <v>18</v>
      </c>
    </row>
    <row r="18" ht="34" customHeight="1" spans="2:2" x14ac:dyDescent="0.25">
      <c r="B18" s="8" t="s">
        <v>19</v>
      </c>
    </row>
    <row r="20" spans="1:2" x14ac:dyDescent="0.25">
      <c r="A20" s="4" t="s">
        <v>20</v>
      </c>
      <c r="B20" s="4"/>
    </row>
    <row r="21" ht="34" customHeight="1" spans="2:2" x14ac:dyDescent="0.25">
      <c r="B21" s="8" t="s">
        <v>21</v>
      </c>
    </row>
    <row r="22" ht="34" customHeight="1" spans="2:2" x14ac:dyDescent="0.25">
      <c r="B22" s="8" t="s">
        <v>22</v>
      </c>
    </row>
    <row r="24" ht="30" customHeight="1" spans="1:2" x14ac:dyDescent="0.25">
      <c r="A24" s="9" t="s">
        <v>23</v>
      </c>
      <c r="B24" s="9"/>
    </row>
  </sheetData>
  <mergeCells count="5">
    <mergeCell ref="A1:B1"/>
    <mergeCell ref="A9:B9"/>
    <mergeCell ref="A13:B13"/>
    <mergeCell ref="A20:B20"/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H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22" customWidth="1"/>
    <col min="4" max="4" width="17" customWidth="1"/>
    <col min="5" max="5" width="20" customWidth="1"/>
    <col min="6" max="6" width="22" customWidth="1"/>
    <col min="7" max="7" width="17" customWidth="1"/>
    <col min="8" max="8" width="62" customWidth="1"/>
  </cols>
  <sheetData>
    <row r="1" ht="28" customHeight="1" spans="1:8" x14ac:dyDescent="0.25">
      <c r="A1" s="10" t="s">
        <v>24</v>
      </c>
      <c r="B1" s="10"/>
      <c r="C1" s="10"/>
      <c r="D1" s="10"/>
      <c r="E1" s="10"/>
      <c r="F1" s="10"/>
      <c r="G1" s="10"/>
      <c r="H1" s="10"/>
    </row>
    <row r="2" spans="1:8" x14ac:dyDescent="0.25">
      <c r="A2" s="11">
        <f>"IPC oficial del INDEC cargado hasta "&amp;IPC!$J$4&amp;". Cuando salga el siguiente, bajá la versión nueva desde el mismo enlace o cargalo en la hoja IPC."</f>
      </c>
      <c r="B2" s="11"/>
      <c r="C2" s="11"/>
      <c r="D2" s="11"/>
      <c r="E2" s="11"/>
      <c r="F2" s="11"/>
      <c r="G2" s="11"/>
      <c r="H2" s="11"/>
    </row>
    <row r="4" ht="22" customHeight="1" spans="1:8" x14ac:dyDescent="0.25">
      <c r="A4" s="12" t="s">
        <v>25</v>
      </c>
      <c r="B4" s="12" t="s">
        <v>26</v>
      </c>
      <c r="C4" s="12" t="s">
        <v>27</v>
      </c>
      <c r="D4" s="12" t="s">
        <v>28</v>
      </c>
      <c r="E4" s="12" t="s">
        <v>29</v>
      </c>
      <c r="F4" s="12" t="s">
        <v>30</v>
      </c>
      <c r="G4" s="12" t="s">
        <v>31</v>
      </c>
      <c r="H4" s="12" t="s">
        <v>32</v>
      </c>
    </row>
    <row r="5" ht="48" customHeight="1" spans="1:8" x14ac:dyDescent="0.25">
      <c r="A5" s="13" t="s">
        <v>33</v>
      </c>
      <c r="B5" s="14">
        <f>IF('Contrato 1'!$B$5="","",'Contrato 1'!$B$5&amp;"")</f>
      </c>
      <c r="C5" s="13">
        <f>IF('Contrato 1'!$B$6="","",'Contrato 1'!$B$6&amp;"")</f>
      </c>
      <c r="D5" s="15">
        <f>'Contrato 1'!$B$17</f>
      </c>
      <c r="E5" s="13">
        <f>'Contrato 1'!$B$18&amp;""</f>
      </c>
      <c r="F5" s="14">
        <f>'Contrato 1'!$B$21&amp;""</f>
      </c>
      <c r="G5" s="15">
        <f>'Contrato 1'!$B$22</f>
      </c>
      <c r="H5" s="14">
        <f>IF('Contrato 1'!$N$5=1,'Contrato 1'!$B$24,"Sin cargar todavía: completá la hoja «Contrato 1».")</f>
      </c>
    </row>
    <row r="6" ht="48" customHeight="1" spans="1:8" x14ac:dyDescent="0.25">
      <c r="A6" s="16" t="s">
        <v>34</v>
      </c>
      <c r="B6" s="17">
        <f>IF('Contrato 2'!$B$5="","",'Contrato 2'!$B$5&amp;"")</f>
      </c>
      <c r="C6" s="16">
        <f>IF('Contrato 2'!$B$6="","",'Contrato 2'!$B$6&amp;"")</f>
      </c>
      <c r="D6" s="18">
        <f>'Contrato 2'!$B$17</f>
      </c>
      <c r="E6" s="16">
        <f>'Contrato 2'!$B$18&amp;""</f>
      </c>
      <c r="F6" s="17">
        <f>'Contrato 2'!$B$21&amp;""</f>
      </c>
      <c r="G6" s="18">
        <f>'Contrato 2'!$B$22</f>
      </c>
      <c r="H6" s="17">
        <f>IF('Contrato 2'!$N$5=1,'Contrato 2'!$B$24,"Sin cargar todavía: completá la hoja «Contrato 2».")</f>
      </c>
    </row>
    <row r="7" ht="48" customHeight="1" spans="1:8" x14ac:dyDescent="0.25">
      <c r="A7" s="13" t="s">
        <v>35</v>
      </c>
      <c r="B7" s="14">
        <f>IF('Contrato 3'!$B$5="","",'Contrato 3'!$B$5&amp;"")</f>
      </c>
      <c r="C7" s="13">
        <f>IF('Contrato 3'!$B$6="","",'Contrato 3'!$B$6&amp;"")</f>
      </c>
      <c r="D7" s="15">
        <f>'Contrato 3'!$B$17</f>
      </c>
      <c r="E7" s="13">
        <f>'Contrato 3'!$B$18&amp;""</f>
      </c>
      <c r="F7" s="14">
        <f>'Contrato 3'!$B$21&amp;""</f>
      </c>
      <c r="G7" s="15">
        <f>'Contrato 3'!$B$22</f>
      </c>
      <c r="H7" s="14">
        <f>IF('Contrato 3'!$N$5=1,'Contrato 3'!$B$24,"Sin cargar todavía: completá la hoja «Contrato 3».")</f>
      </c>
    </row>
    <row r="8" ht="48" customHeight="1" spans="1:8" x14ac:dyDescent="0.25">
      <c r="A8" s="16" t="s">
        <v>36</v>
      </c>
      <c r="B8" s="17">
        <f>IF('Contrato 4'!$B$5="","",'Contrato 4'!$B$5&amp;"")</f>
      </c>
      <c r="C8" s="16">
        <f>IF('Contrato 4'!$B$6="","",'Contrato 4'!$B$6&amp;"")</f>
      </c>
      <c r="D8" s="18">
        <f>'Contrato 4'!$B$17</f>
      </c>
      <c r="E8" s="16">
        <f>'Contrato 4'!$B$18&amp;""</f>
      </c>
      <c r="F8" s="17">
        <f>'Contrato 4'!$B$21&amp;""</f>
      </c>
      <c r="G8" s="18">
        <f>'Contrato 4'!$B$22</f>
      </c>
      <c r="H8" s="17">
        <f>IF('Contrato 4'!$N$5=1,'Contrato 4'!$B$24,"Sin cargar todavía: completá la hoja «Contrato 4».")</f>
      </c>
    </row>
    <row r="9" ht="48" customHeight="1" spans="1:8" x14ac:dyDescent="0.25">
      <c r="A9" s="13" t="s">
        <v>37</v>
      </c>
      <c r="B9" s="14">
        <f>IF('Contrato 5'!$B$5="","",'Contrato 5'!$B$5&amp;"")</f>
      </c>
      <c r="C9" s="13">
        <f>IF('Contrato 5'!$B$6="","",'Contrato 5'!$B$6&amp;"")</f>
      </c>
      <c r="D9" s="15">
        <f>'Contrato 5'!$B$17</f>
      </c>
      <c r="E9" s="13">
        <f>'Contrato 5'!$B$18&amp;""</f>
      </c>
      <c r="F9" s="14">
        <f>'Contrato 5'!$B$21&amp;""</f>
      </c>
      <c r="G9" s="15">
        <f>'Contrato 5'!$B$22</f>
      </c>
      <c r="H9" s="14">
        <f>IF('Contrato 5'!$N$5=1,'Contrato 5'!$B$24,"Sin cargar todavía: completá la hoja «Contrato 5».")</f>
      </c>
    </row>
    <row r="10" ht="48" customHeight="1" spans="1:8" x14ac:dyDescent="0.25">
      <c r="A10" s="16" t="s">
        <v>38</v>
      </c>
      <c r="B10" s="17">
        <f>IF('Contrato 6'!$B$5="","",'Contrato 6'!$B$5&amp;"")</f>
      </c>
      <c r="C10" s="16">
        <f>IF('Contrato 6'!$B$6="","",'Contrato 6'!$B$6&amp;"")</f>
      </c>
      <c r="D10" s="18">
        <f>'Contrato 6'!$B$17</f>
      </c>
      <c r="E10" s="16">
        <f>'Contrato 6'!$B$18&amp;""</f>
      </c>
      <c r="F10" s="17">
        <f>'Contrato 6'!$B$21&amp;""</f>
      </c>
      <c r="G10" s="18">
        <f>'Contrato 6'!$B$22</f>
      </c>
      <c r="H10" s="17">
        <f>IF('Contrato 6'!$N$5=1,'Contrato 6'!$B$24,"Sin cargar todavía: completá la hoja «Contrato 6».")</f>
      </c>
    </row>
    <row r="12" ht="28" customHeight="1" spans="1:8" x14ac:dyDescent="0.25">
      <c r="A12" s="9" t="s">
        <v>39</v>
      </c>
      <c r="B12" s="9"/>
      <c r="C12" s="9"/>
      <c r="D12" s="9"/>
      <c r="E12" s="9"/>
      <c r="F12" s="9"/>
      <c r="G12" s="9"/>
      <c r="H12" s="9"/>
    </row>
  </sheetData>
  <sheetProtection sheet="1" formatColumns="0" formatRows="0"/>
  <mergeCells count="3">
    <mergeCell ref="A1:H1"/>
    <mergeCell ref="A2:H2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N9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22" customWidth="1"/>
    <col min="5" max="5" width="13" customWidth="1"/>
    <col min="6" max="6" width="14" customWidth="1"/>
    <col min="7" max="7" width="18" customWidth="1"/>
    <col min="8" max="8" width="46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</cols>
  <sheetData>
    <row r="1" ht="28" customHeight="1" spans="1:8" x14ac:dyDescent="0.25">
      <c r="A1" s="10" t="s">
        <v>33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40</v>
      </c>
      <c r="B2" s="11"/>
      <c r="C2" s="11"/>
      <c r="D2" s="11"/>
      <c r="E2" s="11"/>
      <c r="F2" s="11"/>
      <c r="G2" s="11"/>
      <c r="H2" s="11"/>
    </row>
    <row r="4" spans="1:2" x14ac:dyDescent="0.25">
      <c r="A4" s="4" t="s">
        <v>41</v>
      </c>
      <c r="B4" s="4"/>
    </row>
    <row r="5" spans="1:14" x14ac:dyDescent="0.25">
      <c r="A5" s="19" t="s">
        <v>42</v>
      </c>
      <c r="B5" s="20" t="s">
        <v>43</v>
      </c>
      <c r="N5">
        <f>IF(AND(N6&gt;0,ISNUMBER(B9),ISNUMBER(B11),B11&gt;0,ISNUMBER(B13),B13&gt;=1,ISNUMBER(B10),B10&gt;=1),1,0)</f>
      </c>
    </row>
    <row r="6" spans="1:14" x14ac:dyDescent="0.25">
      <c r="A6" s="19" t="s">
        <v>27</v>
      </c>
      <c r="B6" s="20" t="s">
        <v>44</v>
      </c>
      <c r="N6">
        <f>IFERROR(MATCH(B8,IPC!$J$5:$J$16,0),0)</f>
      </c>
    </row>
    <row r="7" spans="1:14" x14ac:dyDescent="0.25">
      <c r="A7" s="19" t="s">
        <v>45</v>
      </c>
      <c r="B7" s="20"/>
      <c r="N7">
        <f>IF(N5=1,B9*12+N6-1,0)</f>
      </c>
    </row>
    <row r="8" spans="1:14" x14ac:dyDescent="0.25">
      <c r="A8" s="19" t="s">
        <v>46</v>
      </c>
      <c r="B8" s="20" t="s">
        <v>47</v>
      </c>
      <c r="C8" s="21" t="s">
        <v>48</v>
      </c>
      <c r="D8" s="21"/>
      <c r="E8" s="21"/>
      <c r="F8" s="21"/>
      <c r="G8" s="21"/>
      <c r="H8" s="21"/>
      <c r="N8">
        <f>IF(N5=1,INT(B13),1)</f>
      </c>
    </row>
    <row r="9" spans="1:14" x14ac:dyDescent="0.25">
      <c r="A9" s="19" t="s">
        <v>49</v>
      </c>
      <c r="B9" s="22">
        <v>2025</v>
      </c>
      <c r="N9">
        <f>IF(B14="Los últimos publicados",1,0)</f>
      </c>
    </row>
    <row r="10" spans="1:14" x14ac:dyDescent="0.25">
      <c r="A10" s="19" t="s">
        <v>50</v>
      </c>
      <c r="B10" s="22">
        <v>24</v>
      </c>
      <c r="N10">
        <f>IF(B12="Otro índice (cargo el %)",0,1)</f>
      </c>
    </row>
    <row r="11" spans="1:14" x14ac:dyDescent="0.25">
      <c r="A11" s="19" t="s">
        <v>51</v>
      </c>
      <c r="B11" s="23">
        <v>500000</v>
      </c>
      <c r="N11">
        <f>IF(N5=1,MIN(INT((B10-1)/N8),60),0)</f>
      </c>
    </row>
    <row r="12" ht="30" customHeight="1" spans="1:14" x14ac:dyDescent="0.25">
      <c r="A12" s="19" t="s">
        <v>52</v>
      </c>
      <c r="B12" s="20" t="s">
        <v>53</v>
      </c>
      <c r="C12" s="21" t="s">
        <v>54</v>
      </c>
      <c r="D12" s="21"/>
      <c r="E12" s="21"/>
      <c r="F12" s="21"/>
      <c r="G12" s="21"/>
      <c r="H12" s="21"/>
      <c r="N12">
        <f>IPC!$J$3</f>
      </c>
    </row>
    <row r="13" spans="1:14" x14ac:dyDescent="0.25">
      <c r="A13" s="19" t="s">
        <v>55</v>
      </c>
      <c r="B13" s="22">
        <v>3</v>
      </c>
      <c r="C13" s="21" t="s">
        <v>56</v>
      </c>
      <c r="D13" s="21"/>
      <c r="E13" s="21"/>
      <c r="F13" s="21"/>
      <c r="G13" s="21"/>
      <c r="H13" s="21"/>
      <c r="N13">
        <f>IPC!$J$2</f>
      </c>
    </row>
    <row r="14" ht="42" customHeight="1" spans="1:14" x14ac:dyDescent="0.25">
      <c r="A14" s="19" t="s">
        <v>57</v>
      </c>
      <c r="B14" s="20" t="s">
        <v>58</v>
      </c>
      <c r="C14" s="21" t="s">
        <v>59</v>
      </c>
      <c r="D14" s="21"/>
      <c r="E14" s="21"/>
      <c r="F14" s="21"/>
      <c r="G14" s="21"/>
      <c r="H14" s="21"/>
      <c r="N14">
        <f>IF(N5=0,0,IF(N10=0,1,IF(AND(N7-1-N9&gt;=N13,N7-1-N9&lt;=N12),1,0)))</f>
      </c>
    </row>
    <row r="15" ht="6" customHeight="1" spans="14:14" x14ac:dyDescent="0.25">
      <c r="N15">
        <f>COUNT(G29:G88)</f>
      </c>
    </row>
    <row r="16" spans="1:14" x14ac:dyDescent="0.25">
      <c r="A16" s="4" t="s">
        <v>60</v>
      </c>
      <c r="B16" s="4"/>
      <c r="N16">
        <f>IF(N5=1,INDEX(G28:G88,N15+1),"")</f>
      </c>
    </row>
    <row r="17" spans="1:14" x14ac:dyDescent="0.25">
      <c r="A17" s="19" t="s">
        <v>61</v>
      </c>
      <c r="B17" s="24">
        <f>N16</f>
      </c>
      <c r="N17">
        <f>N15+1</f>
      </c>
    </row>
    <row r="18" spans="1:14" x14ac:dyDescent="0.25">
      <c r="A18" s="19" t="s">
        <v>29</v>
      </c>
      <c r="B18" s="25">
        <f>IF(N5=1,INDEX(B28:B88,N15+1),"")</f>
      </c>
      <c r="N18">
        <f>IF(AND(N5=1,N17&lt;=N11),1,0)</f>
      </c>
    </row>
    <row r="19" spans="1:14" x14ac:dyDescent="0.25">
      <c r="A19" s="19" t="s">
        <v>62</v>
      </c>
      <c r="B19" s="26">
        <f>IF(N5=1,N15,"")</f>
      </c>
      <c r="N19">
        <f>N7+N17*N8-1-N9</f>
      </c>
    </row>
    <row r="20" spans="1:14" x14ac:dyDescent="0.25">
      <c r="A20" s="19" t="s">
        <v>63</v>
      </c>
      <c r="B20" s="27">
        <f>IF(N5=1,N16/B11-1,"")</f>
      </c>
      <c r="N20">
        <f>N19-N12</f>
      </c>
    </row>
    <row r="21" spans="1:14" x14ac:dyDescent="0.25">
      <c r="A21" s="19" t="s">
        <v>30</v>
      </c>
      <c r="B21" s="25">
        <f>IF(N18=1,INDEX(B28:B88,N17+1),IF(N5=1,"No quedan ajustes antes de que termine",""))</f>
      </c>
      <c r="N21">
        <f>INDEX(IPC!$D$5:$D$173,(N12)-IPC!$J$2+1)/INDEX(IPC!$D$5:$D$173,(N12-1)-IPC!$J$2+1)-1</f>
      </c>
    </row>
    <row r="22" spans="1:14" x14ac:dyDescent="0.25">
      <c r="A22" s="19" t="s">
        <v>64</v>
      </c>
      <c r="B22" s="28">
        <f>N22</f>
      </c>
      <c r="N22">
        <f>IF(AND(N18=1,N10=1,N14=1,N20&gt;0,N20&lt;=12),N16*INDEX(IPC!$D$5:$D$173,(N12)-IPC!$J$2+1)*(1+N21)^N20/INDEX(IPC!$D$5:$D$173,(N19-N8)-IPC!$J$2+1),"")</f>
      </c>
    </row>
    <row r="23" spans="1:14" x14ac:dyDescent="0.25">
      <c r="A23" s="19" t="s">
        <v>65</v>
      </c>
      <c r="B23" s="25">
        <f>IF(N5=1,INDEX(IPC!$J$5:$J$16,MOD(N7+B10-1,12)+1)&amp;" de "&amp;INT((N7+B10-1)/12),"")</f>
      </c>
      <c r="N23">
        <f>IF(ISNUMBER(N22),ROUND(N22,0),"")</f>
      </c>
    </row>
    <row r="24" ht="46" customHeight="1" spans="1:14" x14ac:dyDescent="0.25">
      <c r="A24" s="19" t="s">
        <v>66</v>
      </c>
      <c r="B24" s="29">
        <f>IF(N5=0,"Completá las celdas amarillas de arriba y acá aparece el cronograma de aumentos.",IF(N14=0,"Todavía no está publicado el IPC de "&amp;INDEX(IPC!$J$5:$J$16,MOD(N7-1-N9,12)+1)&amp;" de "&amp;INT((N7-1-N9)/12)&amp;", que es la base de este contrato. Mientras tanto se cobra el valor inicial.",IF(N18=0,"No quedan ajustes: el contrato termina en "&amp;INDEX(IPC!$J$5:$J$16,MOD(N7+B10-1,12)+1)&amp;" de "&amp;INT((N7+B10-1)/12)&amp;".",IF(N10=1,"El próximo ajuste rige desde "&amp;B21&amp;". Se calcula cuando el INDEC publique el IPC de "&amp;INDEX(IPC!$J$5:$J$16,MOD(N19,12)+1)&amp;" de "&amp;INT((N19)/12)&amp;" (sale entre el 10 y el 15 del mes siguiente)"&amp;IF(ISNUMBER(N22),". Si la inflación siguiera como el último mes, el alquiler quedaría en unos $ "&amp;N24&amp;".","."),"El próximo ajuste rige desde "&amp;B21&amp;": cuando lo tengas, cargá el % del índice pactado en la columna F del cronograma."))))</f>
      </c>
      <c r="C24" s="29"/>
      <c r="D24" s="29"/>
      <c r="E24" s="29"/>
      <c r="F24" s="29"/>
      <c r="G24" s="29"/>
      <c r="H24" s="29"/>
      <c r="N24">
        <f>IF(ISNUMBER(N23),IF(N23&gt;=1000000000,INT(N23/1000000000)&amp;"."&amp;RIGHT("00"&amp;INT(MOD(N23,1000000000)/1000000),3)&amp;"."&amp;RIGHT("00"&amp;INT(MOD(N23,1000000)/1000),3)&amp;"."&amp;RIGHT("00"&amp;INT(MOD(N23,1000)/1),3),IF(N23&gt;=1000000,INT(N23/1000000)&amp;"."&amp;RIGHT("00"&amp;INT(MOD(N23,1000000)/1000),3)&amp;"."&amp;RIGHT("00"&amp;INT(MOD(N23,1000)/1),3),IF(N23&gt;=1000,INT(N23/1000)&amp;"."&amp;RIGHT("00"&amp;INT(MOD(N23,1000)/1),3),""&amp;N23))),"")</f>
      </c>
    </row>
    <row r="26" spans="1:8" x14ac:dyDescent="0.25">
      <c r="A26" s="4" t="s">
        <v>67</v>
      </c>
      <c r="B26" s="4"/>
      <c r="C26" s="4"/>
      <c r="D26" s="4"/>
      <c r="E26" s="4"/>
      <c r="F26" s="4"/>
      <c r="G26" s="4"/>
      <c r="H26" s="4"/>
    </row>
    <row r="27" ht="30" customHeight="1" spans="1:8" x14ac:dyDescent="0.25">
      <c r="A27" s="30" t="s">
        <v>68</v>
      </c>
      <c r="B27" s="30" t="s">
        <v>29</v>
      </c>
      <c r="C27" s="30" t="s">
        <v>69</v>
      </c>
      <c r="D27" s="30" t="s">
        <v>70</v>
      </c>
      <c r="E27" s="30" t="s">
        <v>71</v>
      </c>
      <c r="F27" s="30" t="s">
        <v>72</v>
      </c>
      <c r="G27" s="30" t="s">
        <v>73</v>
      </c>
      <c r="H27" s="30" t="s">
        <v>74</v>
      </c>
    </row>
    <row r="28" spans="1:12" x14ac:dyDescent="0.25">
      <c r="A28" s="31">
        <f>IF($N$5=1,"Valor inicial","")</f>
      </c>
      <c r="B28" s="31">
        <f>IF($N$5=1,INDEX(IPC!$J$5:$J$16,MOD(J28,12)+1)&amp;" de "&amp;INT((J28)/12),"")</f>
      </c>
      <c r="C28" s="31"/>
      <c r="D28" s="31"/>
      <c r="E28" s="31"/>
      <c r="F28" s="32"/>
      <c r="G28" s="33">
        <f>IF($N$5=1,B11,"")</f>
      </c>
      <c r="H28" s="31">
        <f>IF($N$5=1,"Valor inicial del contrato","")</f>
      </c>
      <c r="J28">
        <f>IF($N$5=1,$N$7+0*$N$8,"")</f>
      </c>
      <c r="K28">
        <f>IF($N$5=1,J28-1-$N$9,"")</f>
      </c>
      <c r="L28">
        <f>IF($N$5=1,K28-$N$8,"")</f>
      </c>
    </row>
    <row r="29" spans="1:12" x14ac:dyDescent="0.25">
      <c r="A29" s="34">
        <f>IF(AND($N$5=1,1&lt;=$N$11),"1° ajuste","")</f>
      </c>
      <c r="B29" s="34">
        <f>IF(AND($N$5=1,1&lt;=$N$11),INDEX(IPC!$J$5:$J$16,MOD(J29,12)+1)&amp;" de "&amp;INT((J29)/12),"")</f>
      </c>
      <c r="C29" s="34">
        <f>IF(AND(AND($N$5=1,1&lt;=$N$11),$N$10=1),INDEX(IPC!$J$5:$J$16,MOD(L29,12)+1)&amp;" de "&amp;INT((L29)/12),"")</f>
      </c>
      <c r="D29" s="34">
        <f>IF(AND(AND($N$5=1,1&lt;=$N$11),$N$10=1),INDEX(IPC!$J$5:$J$16,MOD(K29,12)+1)&amp;" de "&amp;INT((K29)/12),"")</f>
      </c>
      <c r="E29" s="35">
        <f>IF(NOT(AND($N$5=1,1&lt;=$N$11)),"",IF($N$10=1,IF(AND($N$14=1,K29&lt;=$N$12),INDEX(IPC!$D$5:$D$173,(K29)-IPC!$J$2+1)/INDEX(IPC!$D$5:$D$173,(L29)-IPC!$J$2+1)-1,""),IF(ISNUMBER(F29),F29/100,"")))</f>
      </c>
      <c r="F29" s="36"/>
      <c r="G29" s="37">
        <f>IF(AND(AND($N$5=1,1&lt;=$N$11),ISNUMBER(G28),ISNUMBER(E29)),G28*(1+E29),"")</f>
      </c>
      <c r="H29" s="34">
        <f>IF(NOT(AND($N$5=1,1&lt;=$N$11)),"",IF(ISNUMBER(G29),"Aplicado",IF(ISNUMBER(G28),IF($N$10=1,"Falta el IPC de "&amp;INDEX(IPC!$J$5:$J$16,MOD($N$12+1,12)+1)&amp;" de "&amp;INT(($N$12+1)/12),"Cargá el % de este ajuste en la columna F"),"")))</f>
      </c>
      <c r="J29">
        <f>IF($N$5=1,$N$7+1*$N$8,"")</f>
      </c>
      <c r="K29">
        <f>IF($N$5=1,J29-1-$N$9,"")</f>
      </c>
      <c r="L29">
        <f>IF($N$5=1,K29-$N$8,"")</f>
      </c>
    </row>
    <row r="30" spans="1:12" x14ac:dyDescent="0.25">
      <c r="A30" s="31">
        <f>IF(AND($N$5=1,2&lt;=$N$11),"2° ajuste","")</f>
      </c>
      <c r="B30" s="31">
        <f>IF(AND($N$5=1,2&lt;=$N$11),INDEX(IPC!$J$5:$J$16,MOD(J30,12)+1)&amp;" de "&amp;INT((J30)/12),"")</f>
      </c>
      <c r="C30" s="31">
        <f>IF(AND(AND($N$5=1,2&lt;=$N$11),$N$10=1),INDEX(IPC!$J$5:$J$16,MOD(L30,12)+1)&amp;" de "&amp;INT((L30)/12),"")</f>
      </c>
      <c r="D30" s="31">
        <f>IF(AND(AND($N$5=1,2&lt;=$N$11),$N$10=1),INDEX(IPC!$J$5:$J$16,MOD(K30,12)+1)&amp;" de "&amp;INT((K30)/12),"")</f>
      </c>
      <c r="E30" s="38">
        <f>IF(NOT(AND($N$5=1,2&lt;=$N$11)),"",IF($N$10=1,IF(AND($N$14=1,K30&lt;=$N$12),INDEX(IPC!$D$5:$D$173,(K30)-IPC!$J$2+1)/INDEX(IPC!$D$5:$D$173,(L30)-IPC!$J$2+1)-1,""),IF(ISNUMBER(F30),F30/100,"")))</f>
      </c>
      <c r="F30" s="36"/>
      <c r="G30" s="33">
        <f>IF(AND(AND($N$5=1,2&lt;=$N$11),ISNUMBER(G29),ISNUMBER(E30)),G29*(1+E30),"")</f>
      </c>
      <c r="H30" s="31">
        <f>IF(NOT(AND($N$5=1,2&lt;=$N$11)),"",IF(ISNUMBER(G30),"Aplicado",IF(ISNUMBER(G29),IF($N$10=1,"Falta el IPC de "&amp;INDEX(IPC!$J$5:$J$16,MOD($N$12+1,12)+1)&amp;" de "&amp;INT(($N$12+1)/12),"Cargá el % de este ajuste en la columna F"),"")))</f>
      </c>
      <c r="J30">
        <f>IF($N$5=1,$N$7+2*$N$8,"")</f>
      </c>
      <c r="K30">
        <f>IF($N$5=1,J30-1-$N$9,"")</f>
      </c>
      <c r="L30">
        <f>IF($N$5=1,K30-$N$8,"")</f>
      </c>
    </row>
    <row r="31" spans="1:12" x14ac:dyDescent="0.25">
      <c r="A31" s="34">
        <f>IF(AND($N$5=1,3&lt;=$N$11),"3° ajuste","")</f>
      </c>
      <c r="B31" s="34">
        <f>IF(AND($N$5=1,3&lt;=$N$11),INDEX(IPC!$J$5:$J$16,MOD(J31,12)+1)&amp;" de "&amp;INT((J31)/12),"")</f>
      </c>
      <c r="C31" s="34">
        <f>IF(AND(AND($N$5=1,3&lt;=$N$11),$N$10=1),INDEX(IPC!$J$5:$J$16,MOD(L31,12)+1)&amp;" de "&amp;INT((L31)/12),"")</f>
      </c>
      <c r="D31" s="34">
        <f>IF(AND(AND($N$5=1,3&lt;=$N$11),$N$10=1),INDEX(IPC!$J$5:$J$16,MOD(K31,12)+1)&amp;" de "&amp;INT((K31)/12),"")</f>
      </c>
      <c r="E31" s="35">
        <f>IF(NOT(AND($N$5=1,3&lt;=$N$11)),"",IF($N$10=1,IF(AND($N$14=1,K31&lt;=$N$12),INDEX(IPC!$D$5:$D$173,(K31)-IPC!$J$2+1)/INDEX(IPC!$D$5:$D$173,(L31)-IPC!$J$2+1)-1,""),IF(ISNUMBER(F31),F31/100,"")))</f>
      </c>
      <c r="F31" s="36"/>
      <c r="G31" s="37">
        <f>IF(AND(AND($N$5=1,3&lt;=$N$11),ISNUMBER(G30),ISNUMBER(E31)),G30*(1+E31),"")</f>
      </c>
      <c r="H31" s="34">
        <f>IF(NOT(AND($N$5=1,3&lt;=$N$11)),"",IF(ISNUMBER(G31),"Aplicado",IF(ISNUMBER(G30),IF($N$10=1,"Falta el IPC de "&amp;INDEX(IPC!$J$5:$J$16,MOD($N$12+1,12)+1)&amp;" de "&amp;INT(($N$12+1)/12),"Cargá el % de este ajuste en la columna F"),"")))</f>
      </c>
      <c r="J31">
        <f>IF($N$5=1,$N$7+3*$N$8,"")</f>
      </c>
      <c r="K31">
        <f>IF($N$5=1,J31-1-$N$9,"")</f>
      </c>
      <c r="L31">
        <f>IF($N$5=1,K31-$N$8,"")</f>
      </c>
    </row>
    <row r="32" spans="1:12" x14ac:dyDescent="0.25">
      <c r="A32" s="31">
        <f>IF(AND($N$5=1,4&lt;=$N$11),"4° ajuste","")</f>
      </c>
      <c r="B32" s="31">
        <f>IF(AND($N$5=1,4&lt;=$N$11),INDEX(IPC!$J$5:$J$16,MOD(J32,12)+1)&amp;" de "&amp;INT((J32)/12),"")</f>
      </c>
      <c r="C32" s="31">
        <f>IF(AND(AND($N$5=1,4&lt;=$N$11),$N$10=1),INDEX(IPC!$J$5:$J$16,MOD(L32,12)+1)&amp;" de "&amp;INT((L32)/12),"")</f>
      </c>
      <c r="D32" s="31">
        <f>IF(AND(AND($N$5=1,4&lt;=$N$11),$N$10=1),INDEX(IPC!$J$5:$J$16,MOD(K32,12)+1)&amp;" de "&amp;INT((K32)/12),"")</f>
      </c>
      <c r="E32" s="38">
        <f>IF(NOT(AND($N$5=1,4&lt;=$N$11)),"",IF($N$10=1,IF(AND($N$14=1,K32&lt;=$N$12),INDEX(IPC!$D$5:$D$173,(K32)-IPC!$J$2+1)/INDEX(IPC!$D$5:$D$173,(L32)-IPC!$J$2+1)-1,""),IF(ISNUMBER(F32),F32/100,"")))</f>
      </c>
      <c r="F32" s="36"/>
      <c r="G32" s="33">
        <f>IF(AND(AND($N$5=1,4&lt;=$N$11),ISNUMBER(G31),ISNUMBER(E32)),G31*(1+E32),"")</f>
      </c>
      <c r="H32" s="31">
        <f>IF(NOT(AND($N$5=1,4&lt;=$N$11)),"",IF(ISNUMBER(G32),"Aplicado",IF(ISNUMBER(G31),IF($N$10=1,"Falta el IPC de "&amp;INDEX(IPC!$J$5:$J$16,MOD($N$12+1,12)+1)&amp;" de "&amp;INT(($N$12+1)/12),"Cargá el % de este ajuste en la columna F"),"")))</f>
      </c>
      <c r="J32">
        <f>IF($N$5=1,$N$7+4*$N$8,"")</f>
      </c>
      <c r="K32">
        <f>IF($N$5=1,J32-1-$N$9,"")</f>
      </c>
      <c r="L32">
        <f>IF($N$5=1,K32-$N$8,"")</f>
      </c>
    </row>
    <row r="33" spans="1:12" x14ac:dyDescent="0.25">
      <c r="A33" s="34">
        <f>IF(AND($N$5=1,5&lt;=$N$11),"5° ajuste","")</f>
      </c>
      <c r="B33" s="34">
        <f>IF(AND($N$5=1,5&lt;=$N$11),INDEX(IPC!$J$5:$J$16,MOD(J33,12)+1)&amp;" de "&amp;INT((J33)/12),"")</f>
      </c>
      <c r="C33" s="34">
        <f>IF(AND(AND($N$5=1,5&lt;=$N$11),$N$10=1),INDEX(IPC!$J$5:$J$16,MOD(L33,12)+1)&amp;" de "&amp;INT((L33)/12),"")</f>
      </c>
      <c r="D33" s="34">
        <f>IF(AND(AND($N$5=1,5&lt;=$N$11),$N$10=1),INDEX(IPC!$J$5:$J$16,MOD(K33,12)+1)&amp;" de "&amp;INT((K33)/12),"")</f>
      </c>
      <c r="E33" s="35">
        <f>IF(NOT(AND($N$5=1,5&lt;=$N$11)),"",IF($N$10=1,IF(AND($N$14=1,K33&lt;=$N$12),INDEX(IPC!$D$5:$D$173,(K33)-IPC!$J$2+1)/INDEX(IPC!$D$5:$D$173,(L33)-IPC!$J$2+1)-1,""),IF(ISNUMBER(F33),F33/100,"")))</f>
      </c>
      <c r="F33" s="36"/>
      <c r="G33" s="37">
        <f>IF(AND(AND($N$5=1,5&lt;=$N$11),ISNUMBER(G32),ISNUMBER(E33)),G32*(1+E33),"")</f>
      </c>
      <c r="H33" s="34">
        <f>IF(NOT(AND($N$5=1,5&lt;=$N$11)),"",IF(ISNUMBER(G33),"Aplicado",IF(ISNUMBER(G32),IF($N$10=1,"Falta el IPC de "&amp;INDEX(IPC!$J$5:$J$16,MOD($N$12+1,12)+1)&amp;" de "&amp;INT(($N$12+1)/12),"Cargá el % de este ajuste en la columna F"),"")))</f>
      </c>
      <c r="J33">
        <f>IF($N$5=1,$N$7+5*$N$8,"")</f>
      </c>
      <c r="K33">
        <f>IF($N$5=1,J33-1-$N$9,"")</f>
      </c>
      <c r="L33">
        <f>IF($N$5=1,K33-$N$8,"")</f>
      </c>
    </row>
    <row r="34" spans="1:12" x14ac:dyDescent="0.25">
      <c r="A34" s="31">
        <f>IF(AND($N$5=1,6&lt;=$N$11),"6° ajuste","")</f>
      </c>
      <c r="B34" s="31">
        <f>IF(AND($N$5=1,6&lt;=$N$11),INDEX(IPC!$J$5:$J$16,MOD(J34,12)+1)&amp;" de "&amp;INT((J34)/12),"")</f>
      </c>
      <c r="C34" s="31">
        <f>IF(AND(AND($N$5=1,6&lt;=$N$11),$N$10=1),INDEX(IPC!$J$5:$J$16,MOD(L34,12)+1)&amp;" de "&amp;INT((L34)/12),"")</f>
      </c>
      <c r="D34" s="31">
        <f>IF(AND(AND($N$5=1,6&lt;=$N$11),$N$10=1),INDEX(IPC!$J$5:$J$16,MOD(K34,12)+1)&amp;" de "&amp;INT((K34)/12),"")</f>
      </c>
      <c r="E34" s="38">
        <f>IF(NOT(AND($N$5=1,6&lt;=$N$11)),"",IF($N$10=1,IF(AND($N$14=1,K34&lt;=$N$12),INDEX(IPC!$D$5:$D$173,(K34)-IPC!$J$2+1)/INDEX(IPC!$D$5:$D$173,(L34)-IPC!$J$2+1)-1,""),IF(ISNUMBER(F34),F34/100,"")))</f>
      </c>
      <c r="F34" s="36"/>
      <c r="G34" s="33">
        <f>IF(AND(AND($N$5=1,6&lt;=$N$11),ISNUMBER(G33),ISNUMBER(E34)),G33*(1+E34),"")</f>
      </c>
      <c r="H34" s="31">
        <f>IF(NOT(AND($N$5=1,6&lt;=$N$11)),"",IF(ISNUMBER(G34),"Aplicado",IF(ISNUMBER(G33),IF($N$10=1,"Falta el IPC de "&amp;INDEX(IPC!$J$5:$J$16,MOD($N$12+1,12)+1)&amp;" de "&amp;INT(($N$12+1)/12),"Cargá el % de este ajuste en la columna F"),"")))</f>
      </c>
      <c r="J34">
        <f>IF($N$5=1,$N$7+6*$N$8,"")</f>
      </c>
      <c r="K34">
        <f>IF($N$5=1,J34-1-$N$9,"")</f>
      </c>
      <c r="L34">
        <f>IF($N$5=1,K34-$N$8,"")</f>
      </c>
    </row>
    <row r="35" spans="1:12" x14ac:dyDescent="0.25">
      <c r="A35" s="34">
        <f>IF(AND($N$5=1,7&lt;=$N$11),"7° ajuste","")</f>
      </c>
      <c r="B35" s="34">
        <f>IF(AND($N$5=1,7&lt;=$N$11),INDEX(IPC!$J$5:$J$16,MOD(J35,12)+1)&amp;" de "&amp;INT((J35)/12),"")</f>
      </c>
      <c r="C35" s="34">
        <f>IF(AND(AND($N$5=1,7&lt;=$N$11),$N$10=1),INDEX(IPC!$J$5:$J$16,MOD(L35,12)+1)&amp;" de "&amp;INT((L35)/12),"")</f>
      </c>
      <c r="D35" s="34">
        <f>IF(AND(AND($N$5=1,7&lt;=$N$11),$N$10=1),INDEX(IPC!$J$5:$J$16,MOD(K35,12)+1)&amp;" de "&amp;INT((K35)/12),"")</f>
      </c>
      <c r="E35" s="35">
        <f>IF(NOT(AND($N$5=1,7&lt;=$N$11)),"",IF($N$10=1,IF(AND($N$14=1,K35&lt;=$N$12),INDEX(IPC!$D$5:$D$173,(K35)-IPC!$J$2+1)/INDEX(IPC!$D$5:$D$173,(L35)-IPC!$J$2+1)-1,""),IF(ISNUMBER(F35),F35/100,"")))</f>
      </c>
      <c r="F35" s="36"/>
      <c r="G35" s="37">
        <f>IF(AND(AND($N$5=1,7&lt;=$N$11),ISNUMBER(G34),ISNUMBER(E35)),G34*(1+E35),"")</f>
      </c>
      <c r="H35" s="34">
        <f>IF(NOT(AND($N$5=1,7&lt;=$N$11)),"",IF(ISNUMBER(G35),"Aplicado",IF(ISNUMBER(G34),IF($N$10=1,"Falta el IPC de "&amp;INDEX(IPC!$J$5:$J$16,MOD($N$12+1,12)+1)&amp;" de "&amp;INT(($N$12+1)/12),"Cargá el % de este ajuste en la columna F"),"")))</f>
      </c>
      <c r="J35">
        <f>IF($N$5=1,$N$7+7*$N$8,"")</f>
      </c>
      <c r="K35">
        <f>IF($N$5=1,J35-1-$N$9,"")</f>
      </c>
      <c r="L35">
        <f>IF($N$5=1,K35-$N$8,"")</f>
      </c>
    </row>
    <row r="36" spans="1:12" x14ac:dyDescent="0.25">
      <c r="A36" s="31">
        <f>IF(AND($N$5=1,8&lt;=$N$11),"8° ajuste","")</f>
      </c>
      <c r="B36" s="31">
        <f>IF(AND($N$5=1,8&lt;=$N$11),INDEX(IPC!$J$5:$J$16,MOD(J36,12)+1)&amp;" de "&amp;INT((J36)/12),"")</f>
      </c>
      <c r="C36" s="31">
        <f>IF(AND(AND($N$5=1,8&lt;=$N$11),$N$10=1),INDEX(IPC!$J$5:$J$16,MOD(L36,12)+1)&amp;" de "&amp;INT((L36)/12),"")</f>
      </c>
      <c r="D36" s="31">
        <f>IF(AND(AND($N$5=1,8&lt;=$N$11),$N$10=1),INDEX(IPC!$J$5:$J$16,MOD(K36,12)+1)&amp;" de "&amp;INT((K36)/12),"")</f>
      </c>
      <c r="E36" s="38">
        <f>IF(NOT(AND($N$5=1,8&lt;=$N$11)),"",IF($N$10=1,IF(AND($N$14=1,K36&lt;=$N$12),INDEX(IPC!$D$5:$D$173,(K36)-IPC!$J$2+1)/INDEX(IPC!$D$5:$D$173,(L36)-IPC!$J$2+1)-1,""),IF(ISNUMBER(F36),F36/100,"")))</f>
      </c>
      <c r="F36" s="36"/>
      <c r="G36" s="33">
        <f>IF(AND(AND($N$5=1,8&lt;=$N$11),ISNUMBER(G35),ISNUMBER(E36)),G35*(1+E36),"")</f>
      </c>
      <c r="H36" s="31">
        <f>IF(NOT(AND($N$5=1,8&lt;=$N$11)),"",IF(ISNUMBER(G36),"Aplicado",IF(ISNUMBER(G35),IF($N$10=1,"Falta el IPC de "&amp;INDEX(IPC!$J$5:$J$16,MOD($N$12+1,12)+1)&amp;" de "&amp;INT(($N$12+1)/12),"Cargá el % de este ajuste en la columna F"),"")))</f>
      </c>
      <c r="J36">
        <f>IF($N$5=1,$N$7+8*$N$8,"")</f>
      </c>
      <c r="K36">
        <f>IF($N$5=1,J36-1-$N$9,"")</f>
      </c>
      <c r="L36">
        <f>IF($N$5=1,K36-$N$8,"")</f>
      </c>
    </row>
    <row r="37" spans="1:12" x14ac:dyDescent="0.25">
      <c r="A37" s="34">
        <f>IF(AND($N$5=1,9&lt;=$N$11),"9° ajuste","")</f>
      </c>
      <c r="B37" s="34">
        <f>IF(AND($N$5=1,9&lt;=$N$11),INDEX(IPC!$J$5:$J$16,MOD(J37,12)+1)&amp;" de "&amp;INT((J37)/12),"")</f>
      </c>
      <c r="C37" s="34">
        <f>IF(AND(AND($N$5=1,9&lt;=$N$11),$N$10=1),INDEX(IPC!$J$5:$J$16,MOD(L37,12)+1)&amp;" de "&amp;INT((L37)/12),"")</f>
      </c>
      <c r="D37" s="34">
        <f>IF(AND(AND($N$5=1,9&lt;=$N$11),$N$10=1),INDEX(IPC!$J$5:$J$16,MOD(K37,12)+1)&amp;" de "&amp;INT((K37)/12),"")</f>
      </c>
      <c r="E37" s="35">
        <f>IF(NOT(AND($N$5=1,9&lt;=$N$11)),"",IF($N$10=1,IF(AND($N$14=1,K37&lt;=$N$12),INDEX(IPC!$D$5:$D$173,(K37)-IPC!$J$2+1)/INDEX(IPC!$D$5:$D$173,(L37)-IPC!$J$2+1)-1,""),IF(ISNUMBER(F37),F37/100,"")))</f>
      </c>
      <c r="F37" s="36"/>
      <c r="G37" s="37">
        <f>IF(AND(AND($N$5=1,9&lt;=$N$11),ISNUMBER(G36),ISNUMBER(E37)),G36*(1+E37),"")</f>
      </c>
      <c r="H37" s="34">
        <f>IF(NOT(AND($N$5=1,9&lt;=$N$11)),"",IF(ISNUMBER(G37),"Aplicado",IF(ISNUMBER(G36),IF($N$10=1,"Falta el IPC de "&amp;INDEX(IPC!$J$5:$J$16,MOD($N$12+1,12)+1)&amp;" de "&amp;INT(($N$12+1)/12),"Cargá el % de este ajuste en la columna F"),"")))</f>
      </c>
      <c r="J37">
        <f>IF($N$5=1,$N$7+9*$N$8,"")</f>
      </c>
      <c r="K37">
        <f>IF($N$5=1,J37-1-$N$9,"")</f>
      </c>
      <c r="L37">
        <f>IF($N$5=1,K37-$N$8,"")</f>
      </c>
    </row>
    <row r="38" spans="1:12" x14ac:dyDescent="0.25">
      <c r="A38" s="31">
        <f>IF(AND($N$5=1,10&lt;=$N$11),"10° ajuste","")</f>
      </c>
      <c r="B38" s="31">
        <f>IF(AND($N$5=1,10&lt;=$N$11),INDEX(IPC!$J$5:$J$16,MOD(J38,12)+1)&amp;" de "&amp;INT((J38)/12),"")</f>
      </c>
      <c r="C38" s="31">
        <f>IF(AND(AND($N$5=1,10&lt;=$N$11),$N$10=1),INDEX(IPC!$J$5:$J$16,MOD(L38,12)+1)&amp;" de "&amp;INT((L38)/12),"")</f>
      </c>
      <c r="D38" s="31">
        <f>IF(AND(AND($N$5=1,10&lt;=$N$11),$N$10=1),INDEX(IPC!$J$5:$J$16,MOD(K38,12)+1)&amp;" de "&amp;INT((K38)/12),"")</f>
      </c>
      <c r="E38" s="38">
        <f>IF(NOT(AND($N$5=1,10&lt;=$N$11)),"",IF($N$10=1,IF(AND($N$14=1,K38&lt;=$N$12),INDEX(IPC!$D$5:$D$173,(K38)-IPC!$J$2+1)/INDEX(IPC!$D$5:$D$173,(L38)-IPC!$J$2+1)-1,""),IF(ISNUMBER(F38),F38/100,"")))</f>
      </c>
      <c r="F38" s="36"/>
      <c r="G38" s="33">
        <f>IF(AND(AND($N$5=1,10&lt;=$N$11),ISNUMBER(G37),ISNUMBER(E38)),G37*(1+E38),"")</f>
      </c>
      <c r="H38" s="31">
        <f>IF(NOT(AND($N$5=1,10&lt;=$N$11)),"",IF(ISNUMBER(G38),"Aplicado",IF(ISNUMBER(G37),IF($N$10=1,"Falta el IPC de "&amp;INDEX(IPC!$J$5:$J$16,MOD($N$12+1,12)+1)&amp;" de "&amp;INT(($N$12+1)/12),"Cargá el % de este ajuste en la columna F"),"")))</f>
      </c>
      <c r="J38">
        <f>IF($N$5=1,$N$7+10*$N$8,"")</f>
      </c>
      <c r="K38">
        <f>IF($N$5=1,J38-1-$N$9,"")</f>
      </c>
      <c r="L38">
        <f>IF($N$5=1,K38-$N$8,"")</f>
      </c>
    </row>
    <row r="39" spans="1:12" x14ac:dyDescent="0.25">
      <c r="A39" s="34">
        <f>IF(AND($N$5=1,11&lt;=$N$11),"11° ajuste","")</f>
      </c>
      <c r="B39" s="34">
        <f>IF(AND($N$5=1,11&lt;=$N$11),INDEX(IPC!$J$5:$J$16,MOD(J39,12)+1)&amp;" de "&amp;INT((J39)/12),"")</f>
      </c>
      <c r="C39" s="34">
        <f>IF(AND(AND($N$5=1,11&lt;=$N$11),$N$10=1),INDEX(IPC!$J$5:$J$16,MOD(L39,12)+1)&amp;" de "&amp;INT((L39)/12),"")</f>
      </c>
      <c r="D39" s="34">
        <f>IF(AND(AND($N$5=1,11&lt;=$N$11),$N$10=1),INDEX(IPC!$J$5:$J$16,MOD(K39,12)+1)&amp;" de "&amp;INT((K39)/12),"")</f>
      </c>
      <c r="E39" s="35">
        <f>IF(NOT(AND($N$5=1,11&lt;=$N$11)),"",IF($N$10=1,IF(AND($N$14=1,K39&lt;=$N$12),INDEX(IPC!$D$5:$D$173,(K39)-IPC!$J$2+1)/INDEX(IPC!$D$5:$D$173,(L39)-IPC!$J$2+1)-1,""),IF(ISNUMBER(F39),F39/100,"")))</f>
      </c>
      <c r="F39" s="36"/>
      <c r="G39" s="37">
        <f>IF(AND(AND($N$5=1,11&lt;=$N$11),ISNUMBER(G38),ISNUMBER(E39)),G38*(1+E39),"")</f>
      </c>
      <c r="H39" s="34">
        <f>IF(NOT(AND($N$5=1,11&lt;=$N$11)),"",IF(ISNUMBER(G39),"Aplicado",IF(ISNUMBER(G38),IF($N$10=1,"Falta el IPC de "&amp;INDEX(IPC!$J$5:$J$16,MOD($N$12+1,12)+1)&amp;" de "&amp;INT(($N$12+1)/12),"Cargá el % de este ajuste en la columna F"),"")))</f>
      </c>
      <c r="J39">
        <f>IF($N$5=1,$N$7+11*$N$8,"")</f>
      </c>
      <c r="K39">
        <f>IF($N$5=1,J39-1-$N$9,"")</f>
      </c>
      <c r="L39">
        <f>IF($N$5=1,K39-$N$8,"")</f>
      </c>
    </row>
    <row r="40" spans="1:12" x14ac:dyDescent="0.25">
      <c r="A40" s="31">
        <f>IF(AND($N$5=1,12&lt;=$N$11),"12° ajuste","")</f>
      </c>
      <c r="B40" s="31">
        <f>IF(AND($N$5=1,12&lt;=$N$11),INDEX(IPC!$J$5:$J$16,MOD(J40,12)+1)&amp;" de "&amp;INT((J40)/12),"")</f>
      </c>
      <c r="C40" s="31">
        <f>IF(AND(AND($N$5=1,12&lt;=$N$11),$N$10=1),INDEX(IPC!$J$5:$J$16,MOD(L40,12)+1)&amp;" de "&amp;INT((L40)/12),"")</f>
      </c>
      <c r="D40" s="31">
        <f>IF(AND(AND($N$5=1,12&lt;=$N$11),$N$10=1),INDEX(IPC!$J$5:$J$16,MOD(K40,12)+1)&amp;" de "&amp;INT((K40)/12),"")</f>
      </c>
      <c r="E40" s="38">
        <f>IF(NOT(AND($N$5=1,12&lt;=$N$11)),"",IF($N$10=1,IF(AND($N$14=1,K40&lt;=$N$12),INDEX(IPC!$D$5:$D$173,(K40)-IPC!$J$2+1)/INDEX(IPC!$D$5:$D$173,(L40)-IPC!$J$2+1)-1,""),IF(ISNUMBER(F40),F40/100,"")))</f>
      </c>
      <c r="F40" s="36"/>
      <c r="G40" s="33">
        <f>IF(AND(AND($N$5=1,12&lt;=$N$11),ISNUMBER(G39),ISNUMBER(E40)),G39*(1+E40),"")</f>
      </c>
      <c r="H40" s="31">
        <f>IF(NOT(AND($N$5=1,12&lt;=$N$11)),"",IF(ISNUMBER(G40),"Aplicado",IF(ISNUMBER(G39),IF($N$10=1,"Falta el IPC de "&amp;INDEX(IPC!$J$5:$J$16,MOD($N$12+1,12)+1)&amp;" de "&amp;INT(($N$12+1)/12),"Cargá el % de este ajuste en la columna F"),"")))</f>
      </c>
      <c r="J40">
        <f>IF($N$5=1,$N$7+12*$N$8,"")</f>
      </c>
      <c r="K40">
        <f>IF($N$5=1,J40-1-$N$9,"")</f>
      </c>
      <c r="L40">
        <f>IF($N$5=1,K40-$N$8,"")</f>
      </c>
    </row>
    <row r="41" spans="1:12" x14ac:dyDescent="0.25">
      <c r="A41" s="34">
        <f>IF(AND($N$5=1,13&lt;=$N$11),"13° ajuste","")</f>
      </c>
      <c r="B41" s="34">
        <f>IF(AND($N$5=1,13&lt;=$N$11),INDEX(IPC!$J$5:$J$16,MOD(J41,12)+1)&amp;" de "&amp;INT((J41)/12),"")</f>
      </c>
      <c r="C41" s="34">
        <f>IF(AND(AND($N$5=1,13&lt;=$N$11),$N$10=1),INDEX(IPC!$J$5:$J$16,MOD(L41,12)+1)&amp;" de "&amp;INT((L41)/12),"")</f>
      </c>
      <c r="D41" s="34">
        <f>IF(AND(AND($N$5=1,13&lt;=$N$11),$N$10=1),INDEX(IPC!$J$5:$J$16,MOD(K41,12)+1)&amp;" de "&amp;INT((K41)/12),"")</f>
      </c>
      <c r="E41" s="35">
        <f>IF(NOT(AND($N$5=1,13&lt;=$N$11)),"",IF($N$10=1,IF(AND($N$14=1,K41&lt;=$N$12),INDEX(IPC!$D$5:$D$173,(K41)-IPC!$J$2+1)/INDEX(IPC!$D$5:$D$173,(L41)-IPC!$J$2+1)-1,""),IF(ISNUMBER(F41),F41/100,"")))</f>
      </c>
      <c r="F41" s="36"/>
      <c r="G41" s="37">
        <f>IF(AND(AND($N$5=1,13&lt;=$N$11),ISNUMBER(G40),ISNUMBER(E41)),G40*(1+E41),"")</f>
      </c>
      <c r="H41" s="34">
        <f>IF(NOT(AND($N$5=1,13&lt;=$N$11)),"",IF(ISNUMBER(G41),"Aplicado",IF(ISNUMBER(G40),IF($N$10=1,"Falta el IPC de "&amp;INDEX(IPC!$J$5:$J$16,MOD($N$12+1,12)+1)&amp;" de "&amp;INT(($N$12+1)/12),"Cargá el % de este ajuste en la columna F"),"")))</f>
      </c>
      <c r="J41">
        <f>IF($N$5=1,$N$7+13*$N$8,"")</f>
      </c>
      <c r="K41">
        <f>IF($N$5=1,J41-1-$N$9,"")</f>
      </c>
      <c r="L41">
        <f>IF($N$5=1,K41-$N$8,"")</f>
      </c>
    </row>
    <row r="42" spans="1:12" x14ac:dyDescent="0.25">
      <c r="A42" s="31">
        <f>IF(AND($N$5=1,14&lt;=$N$11),"14° ajuste","")</f>
      </c>
      <c r="B42" s="31">
        <f>IF(AND($N$5=1,14&lt;=$N$11),INDEX(IPC!$J$5:$J$16,MOD(J42,12)+1)&amp;" de "&amp;INT((J42)/12),"")</f>
      </c>
      <c r="C42" s="31">
        <f>IF(AND(AND($N$5=1,14&lt;=$N$11),$N$10=1),INDEX(IPC!$J$5:$J$16,MOD(L42,12)+1)&amp;" de "&amp;INT((L42)/12),"")</f>
      </c>
      <c r="D42" s="31">
        <f>IF(AND(AND($N$5=1,14&lt;=$N$11),$N$10=1),INDEX(IPC!$J$5:$J$16,MOD(K42,12)+1)&amp;" de "&amp;INT((K42)/12),"")</f>
      </c>
      <c r="E42" s="38">
        <f>IF(NOT(AND($N$5=1,14&lt;=$N$11)),"",IF($N$10=1,IF(AND($N$14=1,K42&lt;=$N$12),INDEX(IPC!$D$5:$D$173,(K42)-IPC!$J$2+1)/INDEX(IPC!$D$5:$D$173,(L42)-IPC!$J$2+1)-1,""),IF(ISNUMBER(F42),F42/100,"")))</f>
      </c>
      <c r="F42" s="36"/>
      <c r="G42" s="33">
        <f>IF(AND(AND($N$5=1,14&lt;=$N$11),ISNUMBER(G41),ISNUMBER(E42)),G41*(1+E42),"")</f>
      </c>
      <c r="H42" s="31">
        <f>IF(NOT(AND($N$5=1,14&lt;=$N$11)),"",IF(ISNUMBER(G42),"Aplicado",IF(ISNUMBER(G41),IF($N$10=1,"Falta el IPC de "&amp;INDEX(IPC!$J$5:$J$16,MOD($N$12+1,12)+1)&amp;" de "&amp;INT(($N$12+1)/12),"Cargá el % de este ajuste en la columna F"),"")))</f>
      </c>
      <c r="J42">
        <f>IF($N$5=1,$N$7+14*$N$8,"")</f>
      </c>
      <c r="K42">
        <f>IF($N$5=1,J42-1-$N$9,"")</f>
      </c>
      <c r="L42">
        <f>IF($N$5=1,K42-$N$8,"")</f>
      </c>
    </row>
    <row r="43" spans="1:12" x14ac:dyDescent="0.25">
      <c r="A43" s="34">
        <f>IF(AND($N$5=1,15&lt;=$N$11),"15° ajuste","")</f>
      </c>
      <c r="B43" s="34">
        <f>IF(AND($N$5=1,15&lt;=$N$11),INDEX(IPC!$J$5:$J$16,MOD(J43,12)+1)&amp;" de "&amp;INT((J43)/12),"")</f>
      </c>
      <c r="C43" s="34">
        <f>IF(AND(AND($N$5=1,15&lt;=$N$11),$N$10=1),INDEX(IPC!$J$5:$J$16,MOD(L43,12)+1)&amp;" de "&amp;INT((L43)/12),"")</f>
      </c>
      <c r="D43" s="34">
        <f>IF(AND(AND($N$5=1,15&lt;=$N$11),$N$10=1),INDEX(IPC!$J$5:$J$16,MOD(K43,12)+1)&amp;" de "&amp;INT((K43)/12),"")</f>
      </c>
      <c r="E43" s="35">
        <f>IF(NOT(AND($N$5=1,15&lt;=$N$11)),"",IF($N$10=1,IF(AND($N$14=1,K43&lt;=$N$12),INDEX(IPC!$D$5:$D$173,(K43)-IPC!$J$2+1)/INDEX(IPC!$D$5:$D$173,(L43)-IPC!$J$2+1)-1,""),IF(ISNUMBER(F43),F43/100,"")))</f>
      </c>
      <c r="F43" s="36"/>
      <c r="G43" s="37">
        <f>IF(AND(AND($N$5=1,15&lt;=$N$11),ISNUMBER(G42),ISNUMBER(E43)),G42*(1+E43),"")</f>
      </c>
      <c r="H43" s="34">
        <f>IF(NOT(AND($N$5=1,15&lt;=$N$11)),"",IF(ISNUMBER(G43),"Aplicado",IF(ISNUMBER(G42),IF($N$10=1,"Falta el IPC de "&amp;INDEX(IPC!$J$5:$J$16,MOD($N$12+1,12)+1)&amp;" de "&amp;INT(($N$12+1)/12),"Cargá el % de este ajuste en la columna F"),"")))</f>
      </c>
      <c r="J43">
        <f>IF($N$5=1,$N$7+15*$N$8,"")</f>
      </c>
      <c r="K43">
        <f>IF($N$5=1,J43-1-$N$9,"")</f>
      </c>
      <c r="L43">
        <f>IF($N$5=1,K43-$N$8,"")</f>
      </c>
    </row>
    <row r="44" spans="1:12" x14ac:dyDescent="0.25">
      <c r="A44" s="31">
        <f>IF(AND($N$5=1,16&lt;=$N$11),"16° ajuste","")</f>
      </c>
      <c r="B44" s="31">
        <f>IF(AND($N$5=1,16&lt;=$N$11),INDEX(IPC!$J$5:$J$16,MOD(J44,12)+1)&amp;" de "&amp;INT((J44)/12),"")</f>
      </c>
      <c r="C44" s="31">
        <f>IF(AND(AND($N$5=1,16&lt;=$N$11),$N$10=1),INDEX(IPC!$J$5:$J$16,MOD(L44,12)+1)&amp;" de "&amp;INT((L44)/12),"")</f>
      </c>
      <c r="D44" s="31">
        <f>IF(AND(AND($N$5=1,16&lt;=$N$11),$N$10=1),INDEX(IPC!$J$5:$J$16,MOD(K44,12)+1)&amp;" de "&amp;INT((K44)/12),"")</f>
      </c>
      <c r="E44" s="38">
        <f>IF(NOT(AND($N$5=1,16&lt;=$N$11)),"",IF($N$10=1,IF(AND($N$14=1,K44&lt;=$N$12),INDEX(IPC!$D$5:$D$173,(K44)-IPC!$J$2+1)/INDEX(IPC!$D$5:$D$173,(L44)-IPC!$J$2+1)-1,""),IF(ISNUMBER(F44),F44/100,"")))</f>
      </c>
      <c r="F44" s="36"/>
      <c r="G44" s="33">
        <f>IF(AND(AND($N$5=1,16&lt;=$N$11),ISNUMBER(G43),ISNUMBER(E44)),G43*(1+E44),"")</f>
      </c>
      <c r="H44" s="31">
        <f>IF(NOT(AND($N$5=1,16&lt;=$N$11)),"",IF(ISNUMBER(G44),"Aplicado",IF(ISNUMBER(G43),IF($N$10=1,"Falta el IPC de "&amp;INDEX(IPC!$J$5:$J$16,MOD($N$12+1,12)+1)&amp;" de "&amp;INT(($N$12+1)/12),"Cargá el % de este ajuste en la columna F"),"")))</f>
      </c>
      <c r="J44">
        <f>IF($N$5=1,$N$7+16*$N$8,"")</f>
      </c>
      <c r="K44">
        <f>IF($N$5=1,J44-1-$N$9,"")</f>
      </c>
      <c r="L44">
        <f>IF($N$5=1,K44-$N$8,"")</f>
      </c>
    </row>
    <row r="45" spans="1:12" x14ac:dyDescent="0.25">
      <c r="A45" s="34">
        <f>IF(AND($N$5=1,17&lt;=$N$11),"17° ajuste","")</f>
      </c>
      <c r="B45" s="34">
        <f>IF(AND($N$5=1,17&lt;=$N$11),INDEX(IPC!$J$5:$J$16,MOD(J45,12)+1)&amp;" de "&amp;INT((J45)/12),"")</f>
      </c>
      <c r="C45" s="34">
        <f>IF(AND(AND($N$5=1,17&lt;=$N$11),$N$10=1),INDEX(IPC!$J$5:$J$16,MOD(L45,12)+1)&amp;" de "&amp;INT((L45)/12),"")</f>
      </c>
      <c r="D45" s="34">
        <f>IF(AND(AND($N$5=1,17&lt;=$N$11),$N$10=1),INDEX(IPC!$J$5:$J$16,MOD(K45,12)+1)&amp;" de "&amp;INT((K45)/12),"")</f>
      </c>
      <c r="E45" s="35">
        <f>IF(NOT(AND($N$5=1,17&lt;=$N$11)),"",IF($N$10=1,IF(AND($N$14=1,K45&lt;=$N$12),INDEX(IPC!$D$5:$D$173,(K45)-IPC!$J$2+1)/INDEX(IPC!$D$5:$D$173,(L45)-IPC!$J$2+1)-1,""),IF(ISNUMBER(F45),F45/100,"")))</f>
      </c>
      <c r="F45" s="36"/>
      <c r="G45" s="37">
        <f>IF(AND(AND($N$5=1,17&lt;=$N$11),ISNUMBER(G44),ISNUMBER(E45)),G44*(1+E45),"")</f>
      </c>
      <c r="H45" s="34">
        <f>IF(NOT(AND($N$5=1,17&lt;=$N$11)),"",IF(ISNUMBER(G45),"Aplicado",IF(ISNUMBER(G44),IF($N$10=1,"Falta el IPC de "&amp;INDEX(IPC!$J$5:$J$16,MOD($N$12+1,12)+1)&amp;" de "&amp;INT(($N$12+1)/12),"Cargá el % de este ajuste en la columna F"),"")))</f>
      </c>
      <c r="J45">
        <f>IF($N$5=1,$N$7+17*$N$8,"")</f>
      </c>
      <c r="K45">
        <f>IF($N$5=1,J45-1-$N$9,"")</f>
      </c>
      <c r="L45">
        <f>IF($N$5=1,K45-$N$8,"")</f>
      </c>
    </row>
    <row r="46" spans="1:12" x14ac:dyDescent="0.25">
      <c r="A46" s="31">
        <f>IF(AND($N$5=1,18&lt;=$N$11),"18° ajuste","")</f>
      </c>
      <c r="B46" s="31">
        <f>IF(AND($N$5=1,18&lt;=$N$11),INDEX(IPC!$J$5:$J$16,MOD(J46,12)+1)&amp;" de "&amp;INT((J46)/12),"")</f>
      </c>
      <c r="C46" s="31">
        <f>IF(AND(AND($N$5=1,18&lt;=$N$11),$N$10=1),INDEX(IPC!$J$5:$J$16,MOD(L46,12)+1)&amp;" de "&amp;INT((L46)/12),"")</f>
      </c>
      <c r="D46" s="31">
        <f>IF(AND(AND($N$5=1,18&lt;=$N$11),$N$10=1),INDEX(IPC!$J$5:$J$16,MOD(K46,12)+1)&amp;" de "&amp;INT((K46)/12),"")</f>
      </c>
      <c r="E46" s="38">
        <f>IF(NOT(AND($N$5=1,18&lt;=$N$11)),"",IF($N$10=1,IF(AND($N$14=1,K46&lt;=$N$12),INDEX(IPC!$D$5:$D$173,(K46)-IPC!$J$2+1)/INDEX(IPC!$D$5:$D$173,(L46)-IPC!$J$2+1)-1,""),IF(ISNUMBER(F46),F46/100,"")))</f>
      </c>
      <c r="F46" s="36"/>
      <c r="G46" s="33">
        <f>IF(AND(AND($N$5=1,18&lt;=$N$11),ISNUMBER(G45),ISNUMBER(E46)),G45*(1+E46),"")</f>
      </c>
      <c r="H46" s="31">
        <f>IF(NOT(AND($N$5=1,18&lt;=$N$11)),"",IF(ISNUMBER(G46),"Aplicado",IF(ISNUMBER(G45),IF($N$10=1,"Falta el IPC de "&amp;INDEX(IPC!$J$5:$J$16,MOD($N$12+1,12)+1)&amp;" de "&amp;INT(($N$12+1)/12),"Cargá el % de este ajuste en la columna F"),"")))</f>
      </c>
      <c r="J46">
        <f>IF($N$5=1,$N$7+18*$N$8,"")</f>
      </c>
      <c r="K46">
        <f>IF($N$5=1,J46-1-$N$9,"")</f>
      </c>
      <c r="L46">
        <f>IF($N$5=1,K46-$N$8,"")</f>
      </c>
    </row>
    <row r="47" spans="1:12" x14ac:dyDescent="0.25">
      <c r="A47" s="34">
        <f>IF(AND($N$5=1,19&lt;=$N$11),"19° ajuste","")</f>
      </c>
      <c r="B47" s="34">
        <f>IF(AND($N$5=1,19&lt;=$N$11),INDEX(IPC!$J$5:$J$16,MOD(J47,12)+1)&amp;" de "&amp;INT((J47)/12),"")</f>
      </c>
      <c r="C47" s="34">
        <f>IF(AND(AND($N$5=1,19&lt;=$N$11),$N$10=1),INDEX(IPC!$J$5:$J$16,MOD(L47,12)+1)&amp;" de "&amp;INT((L47)/12),"")</f>
      </c>
      <c r="D47" s="34">
        <f>IF(AND(AND($N$5=1,19&lt;=$N$11),$N$10=1),INDEX(IPC!$J$5:$J$16,MOD(K47,12)+1)&amp;" de "&amp;INT((K47)/12),"")</f>
      </c>
      <c r="E47" s="35">
        <f>IF(NOT(AND($N$5=1,19&lt;=$N$11)),"",IF($N$10=1,IF(AND($N$14=1,K47&lt;=$N$12),INDEX(IPC!$D$5:$D$173,(K47)-IPC!$J$2+1)/INDEX(IPC!$D$5:$D$173,(L47)-IPC!$J$2+1)-1,""),IF(ISNUMBER(F47),F47/100,"")))</f>
      </c>
      <c r="F47" s="36"/>
      <c r="G47" s="37">
        <f>IF(AND(AND($N$5=1,19&lt;=$N$11),ISNUMBER(G46),ISNUMBER(E47)),G46*(1+E47),"")</f>
      </c>
      <c r="H47" s="34">
        <f>IF(NOT(AND($N$5=1,19&lt;=$N$11)),"",IF(ISNUMBER(G47),"Aplicado",IF(ISNUMBER(G46),IF($N$10=1,"Falta el IPC de "&amp;INDEX(IPC!$J$5:$J$16,MOD($N$12+1,12)+1)&amp;" de "&amp;INT(($N$12+1)/12),"Cargá el % de este ajuste en la columna F"),"")))</f>
      </c>
      <c r="J47">
        <f>IF($N$5=1,$N$7+19*$N$8,"")</f>
      </c>
      <c r="K47">
        <f>IF($N$5=1,J47-1-$N$9,"")</f>
      </c>
      <c r="L47">
        <f>IF($N$5=1,K47-$N$8,"")</f>
      </c>
    </row>
    <row r="48" spans="1:12" x14ac:dyDescent="0.25">
      <c r="A48" s="31">
        <f>IF(AND($N$5=1,20&lt;=$N$11),"20° ajuste","")</f>
      </c>
      <c r="B48" s="31">
        <f>IF(AND($N$5=1,20&lt;=$N$11),INDEX(IPC!$J$5:$J$16,MOD(J48,12)+1)&amp;" de "&amp;INT((J48)/12),"")</f>
      </c>
      <c r="C48" s="31">
        <f>IF(AND(AND($N$5=1,20&lt;=$N$11),$N$10=1),INDEX(IPC!$J$5:$J$16,MOD(L48,12)+1)&amp;" de "&amp;INT((L48)/12),"")</f>
      </c>
      <c r="D48" s="31">
        <f>IF(AND(AND($N$5=1,20&lt;=$N$11),$N$10=1),INDEX(IPC!$J$5:$J$16,MOD(K48,12)+1)&amp;" de "&amp;INT((K48)/12),"")</f>
      </c>
      <c r="E48" s="38">
        <f>IF(NOT(AND($N$5=1,20&lt;=$N$11)),"",IF($N$10=1,IF(AND($N$14=1,K48&lt;=$N$12),INDEX(IPC!$D$5:$D$173,(K48)-IPC!$J$2+1)/INDEX(IPC!$D$5:$D$173,(L48)-IPC!$J$2+1)-1,""),IF(ISNUMBER(F48),F48/100,"")))</f>
      </c>
      <c r="F48" s="36"/>
      <c r="G48" s="33">
        <f>IF(AND(AND($N$5=1,20&lt;=$N$11),ISNUMBER(G47),ISNUMBER(E48)),G47*(1+E48),"")</f>
      </c>
      <c r="H48" s="31">
        <f>IF(NOT(AND($N$5=1,20&lt;=$N$11)),"",IF(ISNUMBER(G48),"Aplicado",IF(ISNUMBER(G47),IF($N$10=1,"Falta el IPC de "&amp;INDEX(IPC!$J$5:$J$16,MOD($N$12+1,12)+1)&amp;" de "&amp;INT(($N$12+1)/12),"Cargá el % de este ajuste en la columna F"),"")))</f>
      </c>
      <c r="J48">
        <f>IF($N$5=1,$N$7+20*$N$8,"")</f>
      </c>
      <c r="K48">
        <f>IF($N$5=1,J48-1-$N$9,"")</f>
      </c>
      <c r="L48">
        <f>IF($N$5=1,K48-$N$8,"")</f>
      </c>
    </row>
    <row r="49" spans="1:12" x14ac:dyDescent="0.25">
      <c r="A49" s="34">
        <f>IF(AND($N$5=1,21&lt;=$N$11),"21° ajuste","")</f>
      </c>
      <c r="B49" s="34">
        <f>IF(AND($N$5=1,21&lt;=$N$11),INDEX(IPC!$J$5:$J$16,MOD(J49,12)+1)&amp;" de "&amp;INT((J49)/12),"")</f>
      </c>
      <c r="C49" s="34">
        <f>IF(AND(AND($N$5=1,21&lt;=$N$11),$N$10=1),INDEX(IPC!$J$5:$J$16,MOD(L49,12)+1)&amp;" de "&amp;INT((L49)/12),"")</f>
      </c>
      <c r="D49" s="34">
        <f>IF(AND(AND($N$5=1,21&lt;=$N$11),$N$10=1),INDEX(IPC!$J$5:$J$16,MOD(K49,12)+1)&amp;" de "&amp;INT((K49)/12),"")</f>
      </c>
      <c r="E49" s="35">
        <f>IF(NOT(AND($N$5=1,21&lt;=$N$11)),"",IF($N$10=1,IF(AND($N$14=1,K49&lt;=$N$12),INDEX(IPC!$D$5:$D$173,(K49)-IPC!$J$2+1)/INDEX(IPC!$D$5:$D$173,(L49)-IPC!$J$2+1)-1,""),IF(ISNUMBER(F49),F49/100,"")))</f>
      </c>
      <c r="F49" s="36"/>
      <c r="G49" s="37">
        <f>IF(AND(AND($N$5=1,21&lt;=$N$11),ISNUMBER(G48),ISNUMBER(E49)),G48*(1+E49),"")</f>
      </c>
      <c r="H49" s="34">
        <f>IF(NOT(AND($N$5=1,21&lt;=$N$11)),"",IF(ISNUMBER(G49),"Aplicado",IF(ISNUMBER(G48),IF($N$10=1,"Falta el IPC de "&amp;INDEX(IPC!$J$5:$J$16,MOD($N$12+1,12)+1)&amp;" de "&amp;INT(($N$12+1)/12),"Cargá el % de este ajuste en la columna F"),"")))</f>
      </c>
      <c r="J49">
        <f>IF($N$5=1,$N$7+21*$N$8,"")</f>
      </c>
      <c r="K49">
        <f>IF($N$5=1,J49-1-$N$9,"")</f>
      </c>
      <c r="L49">
        <f>IF($N$5=1,K49-$N$8,"")</f>
      </c>
    </row>
    <row r="50" spans="1:12" x14ac:dyDescent="0.25">
      <c r="A50" s="31">
        <f>IF(AND($N$5=1,22&lt;=$N$11),"22° ajuste","")</f>
      </c>
      <c r="B50" s="31">
        <f>IF(AND($N$5=1,22&lt;=$N$11),INDEX(IPC!$J$5:$J$16,MOD(J50,12)+1)&amp;" de "&amp;INT((J50)/12),"")</f>
      </c>
      <c r="C50" s="31">
        <f>IF(AND(AND($N$5=1,22&lt;=$N$11),$N$10=1),INDEX(IPC!$J$5:$J$16,MOD(L50,12)+1)&amp;" de "&amp;INT((L50)/12),"")</f>
      </c>
      <c r="D50" s="31">
        <f>IF(AND(AND($N$5=1,22&lt;=$N$11),$N$10=1),INDEX(IPC!$J$5:$J$16,MOD(K50,12)+1)&amp;" de "&amp;INT((K50)/12),"")</f>
      </c>
      <c r="E50" s="38">
        <f>IF(NOT(AND($N$5=1,22&lt;=$N$11)),"",IF($N$10=1,IF(AND($N$14=1,K50&lt;=$N$12),INDEX(IPC!$D$5:$D$173,(K50)-IPC!$J$2+1)/INDEX(IPC!$D$5:$D$173,(L50)-IPC!$J$2+1)-1,""),IF(ISNUMBER(F50),F50/100,"")))</f>
      </c>
      <c r="F50" s="36"/>
      <c r="G50" s="33">
        <f>IF(AND(AND($N$5=1,22&lt;=$N$11),ISNUMBER(G49),ISNUMBER(E50)),G49*(1+E50),"")</f>
      </c>
      <c r="H50" s="31">
        <f>IF(NOT(AND($N$5=1,22&lt;=$N$11)),"",IF(ISNUMBER(G50),"Aplicado",IF(ISNUMBER(G49),IF($N$10=1,"Falta el IPC de "&amp;INDEX(IPC!$J$5:$J$16,MOD($N$12+1,12)+1)&amp;" de "&amp;INT(($N$12+1)/12),"Cargá el % de este ajuste en la columna F"),"")))</f>
      </c>
      <c r="J50">
        <f>IF($N$5=1,$N$7+22*$N$8,"")</f>
      </c>
      <c r="K50">
        <f>IF($N$5=1,J50-1-$N$9,"")</f>
      </c>
      <c r="L50">
        <f>IF($N$5=1,K50-$N$8,"")</f>
      </c>
    </row>
    <row r="51" spans="1:12" x14ac:dyDescent="0.25">
      <c r="A51" s="34">
        <f>IF(AND($N$5=1,23&lt;=$N$11),"23° ajuste","")</f>
      </c>
      <c r="B51" s="34">
        <f>IF(AND($N$5=1,23&lt;=$N$11),INDEX(IPC!$J$5:$J$16,MOD(J51,12)+1)&amp;" de "&amp;INT((J51)/12),"")</f>
      </c>
      <c r="C51" s="34">
        <f>IF(AND(AND($N$5=1,23&lt;=$N$11),$N$10=1),INDEX(IPC!$J$5:$J$16,MOD(L51,12)+1)&amp;" de "&amp;INT((L51)/12),"")</f>
      </c>
      <c r="D51" s="34">
        <f>IF(AND(AND($N$5=1,23&lt;=$N$11),$N$10=1),INDEX(IPC!$J$5:$J$16,MOD(K51,12)+1)&amp;" de "&amp;INT((K51)/12),"")</f>
      </c>
      <c r="E51" s="35">
        <f>IF(NOT(AND($N$5=1,23&lt;=$N$11)),"",IF($N$10=1,IF(AND($N$14=1,K51&lt;=$N$12),INDEX(IPC!$D$5:$D$173,(K51)-IPC!$J$2+1)/INDEX(IPC!$D$5:$D$173,(L51)-IPC!$J$2+1)-1,""),IF(ISNUMBER(F51),F51/100,"")))</f>
      </c>
      <c r="F51" s="36"/>
      <c r="G51" s="37">
        <f>IF(AND(AND($N$5=1,23&lt;=$N$11),ISNUMBER(G50),ISNUMBER(E51)),G50*(1+E51),"")</f>
      </c>
      <c r="H51" s="34">
        <f>IF(NOT(AND($N$5=1,23&lt;=$N$11)),"",IF(ISNUMBER(G51),"Aplicado",IF(ISNUMBER(G50),IF($N$10=1,"Falta el IPC de "&amp;INDEX(IPC!$J$5:$J$16,MOD($N$12+1,12)+1)&amp;" de "&amp;INT(($N$12+1)/12),"Cargá el % de este ajuste en la columna F"),"")))</f>
      </c>
      <c r="J51">
        <f>IF($N$5=1,$N$7+23*$N$8,"")</f>
      </c>
      <c r="K51">
        <f>IF($N$5=1,J51-1-$N$9,"")</f>
      </c>
      <c r="L51">
        <f>IF($N$5=1,K51-$N$8,"")</f>
      </c>
    </row>
    <row r="52" spans="1:12" x14ac:dyDescent="0.25">
      <c r="A52" s="31">
        <f>IF(AND($N$5=1,24&lt;=$N$11),"24° ajuste","")</f>
      </c>
      <c r="B52" s="31">
        <f>IF(AND($N$5=1,24&lt;=$N$11),INDEX(IPC!$J$5:$J$16,MOD(J52,12)+1)&amp;" de "&amp;INT((J52)/12),"")</f>
      </c>
      <c r="C52" s="31">
        <f>IF(AND(AND($N$5=1,24&lt;=$N$11),$N$10=1),INDEX(IPC!$J$5:$J$16,MOD(L52,12)+1)&amp;" de "&amp;INT((L52)/12),"")</f>
      </c>
      <c r="D52" s="31">
        <f>IF(AND(AND($N$5=1,24&lt;=$N$11),$N$10=1),INDEX(IPC!$J$5:$J$16,MOD(K52,12)+1)&amp;" de "&amp;INT((K52)/12),"")</f>
      </c>
      <c r="E52" s="38">
        <f>IF(NOT(AND($N$5=1,24&lt;=$N$11)),"",IF($N$10=1,IF(AND($N$14=1,K52&lt;=$N$12),INDEX(IPC!$D$5:$D$173,(K52)-IPC!$J$2+1)/INDEX(IPC!$D$5:$D$173,(L52)-IPC!$J$2+1)-1,""),IF(ISNUMBER(F52),F52/100,"")))</f>
      </c>
      <c r="F52" s="36"/>
      <c r="G52" s="33">
        <f>IF(AND(AND($N$5=1,24&lt;=$N$11),ISNUMBER(G51),ISNUMBER(E52)),G51*(1+E52),"")</f>
      </c>
      <c r="H52" s="31">
        <f>IF(NOT(AND($N$5=1,24&lt;=$N$11)),"",IF(ISNUMBER(G52),"Aplicado",IF(ISNUMBER(G51),IF($N$10=1,"Falta el IPC de "&amp;INDEX(IPC!$J$5:$J$16,MOD($N$12+1,12)+1)&amp;" de "&amp;INT(($N$12+1)/12),"Cargá el % de este ajuste en la columna F"),"")))</f>
      </c>
      <c r="J52">
        <f>IF($N$5=1,$N$7+24*$N$8,"")</f>
      </c>
      <c r="K52">
        <f>IF($N$5=1,J52-1-$N$9,"")</f>
      </c>
      <c r="L52">
        <f>IF($N$5=1,K52-$N$8,"")</f>
      </c>
    </row>
    <row r="53" spans="1:12" x14ac:dyDescent="0.25">
      <c r="A53" s="34">
        <f>IF(AND($N$5=1,25&lt;=$N$11),"25° ajuste","")</f>
      </c>
      <c r="B53" s="34">
        <f>IF(AND($N$5=1,25&lt;=$N$11),INDEX(IPC!$J$5:$J$16,MOD(J53,12)+1)&amp;" de "&amp;INT((J53)/12),"")</f>
      </c>
      <c r="C53" s="34">
        <f>IF(AND(AND($N$5=1,25&lt;=$N$11),$N$10=1),INDEX(IPC!$J$5:$J$16,MOD(L53,12)+1)&amp;" de "&amp;INT((L53)/12),"")</f>
      </c>
      <c r="D53" s="34">
        <f>IF(AND(AND($N$5=1,25&lt;=$N$11),$N$10=1),INDEX(IPC!$J$5:$J$16,MOD(K53,12)+1)&amp;" de "&amp;INT((K53)/12),"")</f>
      </c>
      <c r="E53" s="35">
        <f>IF(NOT(AND($N$5=1,25&lt;=$N$11)),"",IF($N$10=1,IF(AND($N$14=1,K53&lt;=$N$12),INDEX(IPC!$D$5:$D$173,(K53)-IPC!$J$2+1)/INDEX(IPC!$D$5:$D$173,(L53)-IPC!$J$2+1)-1,""),IF(ISNUMBER(F53),F53/100,"")))</f>
      </c>
      <c r="F53" s="36"/>
      <c r="G53" s="37">
        <f>IF(AND(AND($N$5=1,25&lt;=$N$11),ISNUMBER(G52),ISNUMBER(E53)),G52*(1+E53),"")</f>
      </c>
      <c r="H53" s="34">
        <f>IF(NOT(AND($N$5=1,25&lt;=$N$11)),"",IF(ISNUMBER(G53),"Aplicado",IF(ISNUMBER(G52),IF($N$10=1,"Falta el IPC de "&amp;INDEX(IPC!$J$5:$J$16,MOD($N$12+1,12)+1)&amp;" de "&amp;INT(($N$12+1)/12),"Cargá el % de este ajuste en la columna F"),"")))</f>
      </c>
      <c r="J53">
        <f>IF($N$5=1,$N$7+25*$N$8,"")</f>
      </c>
      <c r="K53">
        <f>IF($N$5=1,J53-1-$N$9,"")</f>
      </c>
      <c r="L53">
        <f>IF($N$5=1,K53-$N$8,"")</f>
      </c>
    </row>
    <row r="54" spans="1:12" x14ac:dyDescent="0.25">
      <c r="A54" s="31">
        <f>IF(AND($N$5=1,26&lt;=$N$11),"26° ajuste","")</f>
      </c>
      <c r="B54" s="31">
        <f>IF(AND($N$5=1,26&lt;=$N$11),INDEX(IPC!$J$5:$J$16,MOD(J54,12)+1)&amp;" de "&amp;INT((J54)/12),"")</f>
      </c>
      <c r="C54" s="31">
        <f>IF(AND(AND($N$5=1,26&lt;=$N$11),$N$10=1),INDEX(IPC!$J$5:$J$16,MOD(L54,12)+1)&amp;" de "&amp;INT((L54)/12),"")</f>
      </c>
      <c r="D54" s="31">
        <f>IF(AND(AND($N$5=1,26&lt;=$N$11),$N$10=1),INDEX(IPC!$J$5:$J$16,MOD(K54,12)+1)&amp;" de "&amp;INT((K54)/12),"")</f>
      </c>
      <c r="E54" s="38">
        <f>IF(NOT(AND($N$5=1,26&lt;=$N$11)),"",IF($N$10=1,IF(AND($N$14=1,K54&lt;=$N$12),INDEX(IPC!$D$5:$D$173,(K54)-IPC!$J$2+1)/INDEX(IPC!$D$5:$D$173,(L54)-IPC!$J$2+1)-1,""),IF(ISNUMBER(F54),F54/100,"")))</f>
      </c>
      <c r="F54" s="36"/>
      <c r="G54" s="33">
        <f>IF(AND(AND($N$5=1,26&lt;=$N$11),ISNUMBER(G53),ISNUMBER(E54)),G53*(1+E54),"")</f>
      </c>
      <c r="H54" s="31">
        <f>IF(NOT(AND($N$5=1,26&lt;=$N$11)),"",IF(ISNUMBER(G54),"Aplicado",IF(ISNUMBER(G53),IF($N$10=1,"Falta el IPC de "&amp;INDEX(IPC!$J$5:$J$16,MOD($N$12+1,12)+1)&amp;" de "&amp;INT(($N$12+1)/12),"Cargá el % de este ajuste en la columna F"),"")))</f>
      </c>
      <c r="J54">
        <f>IF($N$5=1,$N$7+26*$N$8,"")</f>
      </c>
      <c r="K54">
        <f>IF($N$5=1,J54-1-$N$9,"")</f>
      </c>
      <c r="L54">
        <f>IF($N$5=1,K54-$N$8,"")</f>
      </c>
    </row>
    <row r="55" spans="1:12" x14ac:dyDescent="0.25">
      <c r="A55" s="34">
        <f>IF(AND($N$5=1,27&lt;=$N$11),"27° ajuste","")</f>
      </c>
      <c r="B55" s="34">
        <f>IF(AND($N$5=1,27&lt;=$N$11),INDEX(IPC!$J$5:$J$16,MOD(J55,12)+1)&amp;" de "&amp;INT((J55)/12),"")</f>
      </c>
      <c r="C55" s="34">
        <f>IF(AND(AND($N$5=1,27&lt;=$N$11),$N$10=1),INDEX(IPC!$J$5:$J$16,MOD(L55,12)+1)&amp;" de "&amp;INT((L55)/12),"")</f>
      </c>
      <c r="D55" s="34">
        <f>IF(AND(AND($N$5=1,27&lt;=$N$11),$N$10=1),INDEX(IPC!$J$5:$J$16,MOD(K55,12)+1)&amp;" de "&amp;INT((K55)/12),"")</f>
      </c>
      <c r="E55" s="35">
        <f>IF(NOT(AND($N$5=1,27&lt;=$N$11)),"",IF($N$10=1,IF(AND($N$14=1,K55&lt;=$N$12),INDEX(IPC!$D$5:$D$173,(K55)-IPC!$J$2+1)/INDEX(IPC!$D$5:$D$173,(L55)-IPC!$J$2+1)-1,""),IF(ISNUMBER(F55),F55/100,"")))</f>
      </c>
      <c r="F55" s="36"/>
      <c r="G55" s="37">
        <f>IF(AND(AND($N$5=1,27&lt;=$N$11),ISNUMBER(G54),ISNUMBER(E55)),G54*(1+E55),"")</f>
      </c>
      <c r="H55" s="34">
        <f>IF(NOT(AND($N$5=1,27&lt;=$N$11)),"",IF(ISNUMBER(G55),"Aplicado",IF(ISNUMBER(G54),IF($N$10=1,"Falta el IPC de "&amp;INDEX(IPC!$J$5:$J$16,MOD($N$12+1,12)+1)&amp;" de "&amp;INT(($N$12+1)/12),"Cargá el % de este ajuste en la columna F"),"")))</f>
      </c>
      <c r="J55">
        <f>IF($N$5=1,$N$7+27*$N$8,"")</f>
      </c>
      <c r="K55">
        <f>IF($N$5=1,J55-1-$N$9,"")</f>
      </c>
      <c r="L55">
        <f>IF($N$5=1,K55-$N$8,"")</f>
      </c>
    </row>
    <row r="56" spans="1:12" x14ac:dyDescent="0.25">
      <c r="A56" s="31">
        <f>IF(AND($N$5=1,28&lt;=$N$11),"28° ajuste","")</f>
      </c>
      <c r="B56" s="31">
        <f>IF(AND($N$5=1,28&lt;=$N$11),INDEX(IPC!$J$5:$J$16,MOD(J56,12)+1)&amp;" de "&amp;INT((J56)/12),"")</f>
      </c>
      <c r="C56" s="31">
        <f>IF(AND(AND($N$5=1,28&lt;=$N$11),$N$10=1),INDEX(IPC!$J$5:$J$16,MOD(L56,12)+1)&amp;" de "&amp;INT((L56)/12),"")</f>
      </c>
      <c r="D56" s="31">
        <f>IF(AND(AND($N$5=1,28&lt;=$N$11),$N$10=1),INDEX(IPC!$J$5:$J$16,MOD(K56,12)+1)&amp;" de "&amp;INT((K56)/12),"")</f>
      </c>
      <c r="E56" s="38">
        <f>IF(NOT(AND($N$5=1,28&lt;=$N$11)),"",IF($N$10=1,IF(AND($N$14=1,K56&lt;=$N$12),INDEX(IPC!$D$5:$D$173,(K56)-IPC!$J$2+1)/INDEX(IPC!$D$5:$D$173,(L56)-IPC!$J$2+1)-1,""),IF(ISNUMBER(F56),F56/100,"")))</f>
      </c>
      <c r="F56" s="36"/>
      <c r="G56" s="33">
        <f>IF(AND(AND($N$5=1,28&lt;=$N$11),ISNUMBER(G55),ISNUMBER(E56)),G55*(1+E56),"")</f>
      </c>
      <c r="H56" s="31">
        <f>IF(NOT(AND($N$5=1,28&lt;=$N$11)),"",IF(ISNUMBER(G56),"Aplicado",IF(ISNUMBER(G55),IF($N$10=1,"Falta el IPC de "&amp;INDEX(IPC!$J$5:$J$16,MOD($N$12+1,12)+1)&amp;" de "&amp;INT(($N$12+1)/12),"Cargá el % de este ajuste en la columna F"),"")))</f>
      </c>
      <c r="J56">
        <f>IF($N$5=1,$N$7+28*$N$8,"")</f>
      </c>
      <c r="K56">
        <f>IF($N$5=1,J56-1-$N$9,"")</f>
      </c>
      <c r="L56">
        <f>IF($N$5=1,K56-$N$8,"")</f>
      </c>
    </row>
    <row r="57" spans="1:12" x14ac:dyDescent="0.25">
      <c r="A57" s="34">
        <f>IF(AND($N$5=1,29&lt;=$N$11),"29° ajuste","")</f>
      </c>
      <c r="B57" s="34">
        <f>IF(AND($N$5=1,29&lt;=$N$11),INDEX(IPC!$J$5:$J$16,MOD(J57,12)+1)&amp;" de "&amp;INT((J57)/12),"")</f>
      </c>
      <c r="C57" s="34">
        <f>IF(AND(AND($N$5=1,29&lt;=$N$11),$N$10=1),INDEX(IPC!$J$5:$J$16,MOD(L57,12)+1)&amp;" de "&amp;INT((L57)/12),"")</f>
      </c>
      <c r="D57" s="34">
        <f>IF(AND(AND($N$5=1,29&lt;=$N$11),$N$10=1),INDEX(IPC!$J$5:$J$16,MOD(K57,12)+1)&amp;" de "&amp;INT((K57)/12),"")</f>
      </c>
      <c r="E57" s="35">
        <f>IF(NOT(AND($N$5=1,29&lt;=$N$11)),"",IF($N$10=1,IF(AND($N$14=1,K57&lt;=$N$12),INDEX(IPC!$D$5:$D$173,(K57)-IPC!$J$2+1)/INDEX(IPC!$D$5:$D$173,(L57)-IPC!$J$2+1)-1,""),IF(ISNUMBER(F57),F57/100,"")))</f>
      </c>
      <c r="F57" s="36"/>
      <c r="G57" s="37">
        <f>IF(AND(AND($N$5=1,29&lt;=$N$11),ISNUMBER(G56),ISNUMBER(E57)),G56*(1+E57),"")</f>
      </c>
      <c r="H57" s="34">
        <f>IF(NOT(AND($N$5=1,29&lt;=$N$11)),"",IF(ISNUMBER(G57),"Aplicado",IF(ISNUMBER(G56),IF($N$10=1,"Falta el IPC de "&amp;INDEX(IPC!$J$5:$J$16,MOD($N$12+1,12)+1)&amp;" de "&amp;INT(($N$12+1)/12),"Cargá el % de este ajuste en la columna F"),"")))</f>
      </c>
      <c r="J57">
        <f>IF($N$5=1,$N$7+29*$N$8,"")</f>
      </c>
      <c r="K57">
        <f>IF($N$5=1,J57-1-$N$9,"")</f>
      </c>
      <c r="L57">
        <f>IF($N$5=1,K57-$N$8,"")</f>
      </c>
    </row>
    <row r="58" spans="1:12" x14ac:dyDescent="0.25">
      <c r="A58" s="31">
        <f>IF(AND($N$5=1,30&lt;=$N$11),"30° ajuste","")</f>
      </c>
      <c r="B58" s="31">
        <f>IF(AND($N$5=1,30&lt;=$N$11),INDEX(IPC!$J$5:$J$16,MOD(J58,12)+1)&amp;" de "&amp;INT((J58)/12),"")</f>
      </c>
      <c r="C58" s="31">
        <f>IF(AND(AND($N$5=1,30&lt;=$N$11),$N$10=1),INDEX(IPC!$J$5:$J$16,MOD(L58,12)+1)&amp;" de "&amp;INT((L58)/12),"")</f>
      </c>
      <c r="D58" s="31">
        <f>IF(AND(AND($N$5=1,30&lt;=$N$11),$N$10=1),INDEX(IPC!$J$5:$J$16,MOD(K58,12)+1)&amp;" de "&amp;INT((K58)/12),"")</f>
      </c>
      <c r="E58" s="38">
        <f>IF(NOT(AND($N$5=1,30&lt;=$N$11)),"",IF($N$10=1,IF(AND($N$14=1,K58&lt;=$N$12),INDEX(IPC!$D$5:$D$173,(K58)-IPC!$J$2+1)/INDEX(IPC!$D$5:$D$173,(L58)-IPC!$J$2+1)-1,""),IF(ISNUMBER(F58),F58/100,"")))</f>
      </c>
      <c r="F58" s="36"/>
      <c r="G58" s="33">
        <f>IF(AND(AND($N$5=1,30&lt;=$N$11),ISNUMBER(G57),ISNUMBER(E58)),G57*(1+E58),"")</f>
      </c>
      <c r="H58" s="31">
        <f>IF(NOT(AND($N$5=1,30&lt;=$N$11)),"",IF(ISNUMBER(G58),"Aplicado",IF(ISNUMBER(G57),IF($N$10=1,"Falta el IPC de "&amp;INDEX(IPC!$J$5:$J$16,MOD($N$12+1,12)+1)&amp;" de "&amp;INT(($N$12+1)/12),"Cargá el % de este ajuste en la columna F"),"")))</f>
      </c>
      <c r="J58">
        <f>IF($N$5=1,$N$7+30*$N$8,"")</f>
      </c>
      <c r="K58">
        <f>IF($N$5=1,J58-1-$N$9,"")</f>
      </c>
      <c r="L58">
        <f>IF($N$5=1,K58-$N$8,"")</f>
      </c>
    </row>
    <row r="59" spans="1:12" x14ac:dyDescent="0.25">
      <c r="A59" s="34">
        <f>IF(AND($N$5=1,31&lt;=$N$11),"31° ajuste","")</f>
      </c>
      <c r="B59" s="34">
        <f>IF(AND($N$5=1,31&lt;=$N$11),INDEX(IPC!$J$5:$J$16,MOD(J59,12)+1)&amp;" de "&amp;INT((J59)/12),"")</f>
      </c>
      <c r="C59" s="34">
        <f>IF(AND(AND($N$5=1,31&lt;=$N$11),$N$10=1),INDEX(IPC!$J$5:$J$16,MOD(L59,12)+1)&amp;" de "&amp;INT((L59)/12),"")</f>
      </c>
      <c r="D59" s="34">
        <f>IF(AND(AND($N$5=1,31&lt;=$N$11),$N$10=1),INDEX(IPC!$J$5:$J$16,MOD(K59,12)+1)&amp;" de "&amp;INT((K59)/12),"")</f>
      </c>
      <c r="E59" s="35">
        <f>IF(NOT(AND($N$5=1,31&lt;=$N$11)),"",IF($N$10=1,IF(AND($N$14=1,K59&lt;=$N$12),INDEX(IPC!$D$5:$D$173,(K59)-IPC!$J$2+1)/INDEX(IPC!$D$5:$D$173,(L59)-IPC!$J$2+1)-1,""),IF(ISNUMBER(F59),F59/100,"")))</f>
      </c>
      <c r="F59" s="36"/>
      <c r="G59" s="37">
        <f>IF(AND(AND($N$5=1,31&lt;=$N$11),ISNUMBER(G58),ISNUMBER(E59)),G58*(1+E59),"")</f>
      </c>
      <c r="H59" s="34">
        <f>IF(NOT(AND($N$5=1,31&lt;=$N$11)),"",IF(ISNUMBER(G59),"Aplicado",IF(ISNUMBER(G58),IF($N$10=1,"Falta el IPC de "&amp;INDEX(IPC!$J$5:$J$16,MOD($N$12+1,12)+1)&amp;" de "&amp;INT(($N$12+1)/12),"Cargá el % de este ajuste en la columna F"),"")))</f>
      </c>
      <c r="J59">
        <f>IF($N$5=1,$N$7+31*$N$8,"")</f>
      </c>
      <c r="K59">
        <f>IF($N$5=1,J59-1-$N$9,"")</f>
      </c>
      <c r="L59">
        <f>IF($N$5=1,K59-$N$8,"")</f>
      </c>
    </row>
    <row r="60" spans="1:12" x14ac:dyDescent="0.25">
      <c r="A60" s="31">
        <f>IF(AND($N$5=1,32&lt;=$N$11),"32° ajuste","")</f>
      </c>
      <c r="B60" s="31">
        <f>IF(AND($N$5=1,32&lt;=$N$11),INDEX(IPC!$J$5:$J$16,MOD(J60,12)+1)&amp;" de "&amp;INT((J60)/12),"")</f>
      </c>
      <c r="C60" s="31">
        <f>IF(AND(AND($N$5=1,32&lt;=$N$11),$N$10=1),INDEX(IPC!$J$5:$J$16,MOD(L60,12)+1)&amp;" de "&amp;INT((L60)/12),"")</f>
      </c>
      <c r="D60" s="31">
        <f>IF(AND(AND($N$5=1,32&lt;=$N$11),$N$10=1),INDEX(IPC!$J$5:$J$16,MOD(K60,12)+1)&amp;" de "&amp;INT((K60)/12),"")</f>
      </c>
      <c r="E60" s="38">
        <f>IF(NOT(AND($N$5=1,32&lt;=$N$11)),"",IF($N$10=1,IF(AND($N$14=1,K60&lt;=$N$12),INDEX(IPC!$D$5:$D$173,(K60)-IPC!$J$2+1)/INDEX(IPC!$D$5:$D$173,(L60)-IPC!$J$2+1)-1,""),IF(ISNUMBER(F60),F60/100,"")))</f>
      </c>
      <c r="F60" s="36"/>
      <c r="G60" s="33">
        <f>IF(AND(AND($N$5=1,32&lt;=$N$11),ISNUMBER(G59),ISNUMBER(E60)),G59*(1+E60),"")</f>
      </c>
      <c r="H60" s="31">
        <f>IF(NOT(AND($N$5=1,32&lt;=$N$11)),"",IF(ISNUMBER(G60),"Aplicado",IF(ISNUMBER(G59),IF($N$10=1,"Falta el IPC de "&amp;INDEX(IPC!$J$5:$J$16,MOD($N$12+1,12)+1)&amp;" de "&amp;INT(($N$12+1)/12),"Cargá el % de este ajuste en la columna F"),"")))</f>
      </c>
      <c r="J60">
        <f>IF($N$5=1,$N$7+32*$N$8,"")</f>
      </c>
      <c r="K60">
        <f>IF($N$5=1,J60-1-$N$9,"")</f>
      </c>
      <c r="L60">
        <f>IF($N$5=1,K60-$N$8,"")</f>
      </c>
    </row>
    <row r="61" spans="1:12" x14ac:dyDescent="0.25">
      <c r="A61" s="34">
        <f>IF(AND($N$5=1,33&lt;=$N$11),"33° ajuste","")</f>
      </c>
      <c r="B61" s="34">
        <f>IF(AND($N$5=1,33&lt;=$N$11),INDEX(IPC!$J$5:$J$16,MOD(J61,12)+1)&amp;" de "&amp;INT((J61)/12),"")</f>
      </c>
      <c r="C61" s="34">
        <f>IF(AND(AND($N$5=1,33&lt;=$N$11),$N$10=1),INDEX(IPC!$J$5:$J$16,MOD(L61,12)+1)&amp;" de "&amp;INT((L61)/12),"")</f>
      </c>
      <c r="D61" s="34">
        <f>IF(AND(AND($N$5=1,33&lt;=$N$11),$N$10=1),INDEX(IPC!$J$5:$J$16,MOD(K61,12)+1)&amp;" de "&amp;INT((K61)/12),"")</f>
      </c>
      <c r="E61" s="35">
        <f>IF(NOT(AND($N$5=1,33&lt;=$N$11)),"",IF($N$10=1,IF(AND($N$14=1,K61&lt;=$N$12),INDEX(IPC!$D$5:$D$173,(K61)-IPC!$J$2+1)/INDEX(IPC!$D$5:$D$173,(L61)-IPC!$J$2+1)-1,""),IF(ISNUMBER(F61),F61/100,"")))</f>
      </c>
      <c r="F61" s="36"/>
      <c r="G61" s="37">
        <f>IF(AND(AND($N$5=1,33&lt;=$N$11),ISNUMBER(G60),ISNUMBER(E61)),G60*(1+E61),"")</f>
      </c>
      <c r="H61" s="34">
        <f>IF(NOT(AND($N$5=1,33&lt;=$N$11)),"",IF(ISNUMBER(G61),"Aplicado",IF(ISNUMBER(G60),IF($N$10=1,"Falta el IPC de "&amp;INDEX(IPC!$J$5:$J$16,MOD($N$12+1,12)+1)&amp;" de "&amp;INT(($N$12+1)/12),"Cargá el % de este ajuste en la columna F"),"")))</f>
      </c>
      <c r="J61">
        <f>IF($N$5=1,$N$7+33*$N$8,"")</f>
      </c>
      <c r="K61">
        <f>IF($N$5=1,J61-1-$N$9,"")</f>
      </c>
      <c r="L61">
        <f>IF($N$5=1,K61-$N$8,"")</f>
      </c>
    </row>
    <row r="62" spans="1:12" x14ac:dyDescent="0.25">
      <c r="A62" s="31">
        <f>IF(AND($N$5=1,34&lt;=$N$11),"34° ajuste","")</f>
      </c>
      <c r="B62" s="31">
        <f>IF(AND($N$5=1,34&lt;=$N$11),INDEX(IPC!$J$5:$J$16,MOD(J62,12)+1)&amp;" de "&amp;INT((J62)/12),"")</f>
      </c>
      <c r="C62" s="31">
        <f>IF(AND(AND($N$5=1,34&lt;=$N$11),$N$10=1),INDEX(IPC!$J$5:$J$16,MOD(L62,12)+1)&amp;" de "&amp;INT((L62)/12),"")</f>
      </c>
      <c r="D62" s="31">
        <f>IF(AND(AND($N$5=1,34&lt;=$N$11),$N$10=1),INDEX(IPC!$J$5:$J$16,MOD(K62,12)+1)&amp;" de "&amp;INT((K62)/12),"")</f>
      </c>
      <c r="E62" s="38">
        <f>IF(NOT(AND($N$5=1,34&lt;=$N$11)),"",IF($N$10=1,IF(AND($N$14=1,K62&lt;=$N$12),INDEX(IPC!$D$5:$D$173,(K62)-IPC!$J$2+1)/INDEX(IPC!$D$5:$D$173,(L62)-IPC!$J$2+1)-1,""),IF(ISNUMBER(F62),F62/100,"")))</f>
      </c>
      <c r="F62" s="36"/>
      <c r="G62" s="33">
        <f>IF(AND(AND($N$5=1,34&lt;=$N$11),ISNUMBER(G61),ISNUMBER(E62)),G61*(1+E62),"")</f>
      </c>
      <c r="H62" s="31">
        <f>IF(NOT(AND($N$5=1,34&lt;=$N$11)),"",IF(ISNUMBER(G62),"Aplicado",IF(ISNUMBER(G61),IF($N$10=1,"Falta el IPC de "&amp;INDEX(IPC!$J$5:$J$16,MOD($N$12+1,12)+1)&amp;" de "&amp;INT(($N$12+1)/12),"Cargá el % de este ajuste en la columna F"),"")))</f>
      </c>
      <c r="J62">
        <f>IF($N$5=1,$N$7+34*$N$8,"")</f>
      </c>
      <c r="K62">
        <f>IF($N$5=1,J62-1-$N$9,"")</f>
      </c>
      <c r="L62">
        <f>IF($N$5=1,K62-$N$8,"")</f>
      </c>
    </row>
    <row r="63" spans="1:12" x14ac:dyDescent="0.25">
      <c r="A63" s="34">
        <f>IF(AND($N$5=1,35&lt;=$N$11),"35° ajuste","")</f>
      </c>
      <c r="B63" s="34">
        <f>IF(AND($N$5=1,35&lt;=$N$11),INDEX(IPC!$J$5:$J$16,MOD(J63,12)+1)&amp;" de "&amp;INT((J63)/12),"")</f>
      </c>
      <c r="C63" s="34">
        <f>IF(AND(AND($N$5=1,35&lt;=$N$11),$N$10=1),INDEX(IPC!$J$5:$J$16,MOD(L63,12)+1)&amp;" de "&amp;INT((L63)/12),"")</f>
      </c>
      <c r="D63" s="34">
        <f>IF(AND(AND($N$5=1,35&lt;=$N$11),$N$10=1),INDEX(IPC!$J$5:$J$16,MOD(K63,12)+1)&amp;" de "&amp;INT((K63)/12),"")</f>
      </c>
      <c r="E63" s="35">
        <f>IF(NOT(AND($N$5=1,35&lt;=$N$11)),"",IF($N$10=1,IF(AND($N$14=1,K63&lt;=$N$12),INDEX(IPC!$D$5:$D$173,(K63)-IPC!$J$2+1)/INDEX(IPC!$D$5:$D$173,(L63)-IPC!$J$2+1)-1,""),IF(ISNUMBER(F63),F63/100,"")))</f>
      </c>
      <c r="F63" s="36"/>
      <c r="G63" s="37">
        <f>IF(AND(AND($N$5=1,35&lt;=$N$11),ISNUMBER(G62),ISNUMBER(E63)),G62*(1+E63),"")</f>
      </c>
      <c r="H63" s="34">
        <f>IF(NOT(AND($N$5=1,35&lt;=$N$11)),"",IF(ISNUMBER(G63),"Aplicado",IF(ISNUMBER(G62),IF($N$10=1,"Falta el IPC de "&amp;INDEX(IPC!$J$5:$J$16,MOD($N$12+1,12)+1)&amp;" de "&amp;INT(($N$12+1)/12),"Cargá el % de este ajuste en la columna F"),"")))</f>
      </c>
      <c r="J63">
        <f>IF($N$5=1,$N$7+35*$N$8,"")</f>
      </c>
      <c r="K63">
        <f>IF($N$5=1,J63-1-$N$9,"")</f>
      </c>
      <c r="L63">
        <f>IF($N$5=1,K63-$N$8,"")</f>
      </c>
    </row>
    <row r="64" spans="1:12" x14ac:dyDescent="0.25">
      <c r="A64" s="31">
        <f>IF(AND($N$5=1,36&lt;=$N$11),"36° ajuste","")</f>
      </c>
      <c r="B64" s="31">
        <f>IF(AND($N$5=1,36&lt;=$N$11),INDEX(IPC!$J$5:$J$16,MOD(J64,12)+1)&amp;" de "&amp;INT((J64)/12),"")</f>
      </c>
      <c r="C64" s="31">
        <f>IF(AND(AND($N$5=1,36&lt;=$N$11),$N$10=1),INDEX(IPC!$J$5:$J$16,MOD(L64,12)+1)&amp;" de "&amp;INT((L64)/12),"")</f>
      </c>
      <c r="D64" s="31">
        <f>IF(AND(AND($N$5=1,36&lt;=$N$11),$N$10=1),INDEX(IPC!$J$5:$J$16,MOD(K64,12)+1)&amp;" de "&amp;INT((K64)/12),"")</f>
      </c>
      <c r="E64" s="38">
        <f>IF(NOT(AND($N$5=1,36&lt;=$N$11)),"",IF($N$10=1,IF(AND($N$14=1,K64&lt;=$N$12),INDEX(IPC!$D$5:$D$173,(K64)-IPC!$J$2+1)/INDEX(IPC!$D$5:$D$173,(L64)-IPC!$J$2+1)-1,""),IF(ISNUMBER(F64),F64/100,"")))</f>
      </c>
      <c r="F64" s="36"/>
      <c r="G64" s="33">
        <f>IF(AND(AND($N$5=1,36&lt;=$N$11),ISNUMBER(G63),ISNUMBER(E64)),G63*(1+E64),"")</f>
      </c>
      <c r="H64" s="31">
        <f>IF(NOT(AND($N$5=1,36&lt;=$N$11)),"",IF(ISNUMBER(G64),"Aplicado",IF(ISNUMBER(G63),IF($N$10=1,"Falta el IPC de "&amp;INDEX(IPC!$J$5:$J$16,MOD($N$12+1,12)+1)&amp;" de "&amp;INT(($N$12+1)/12),"Cargá el % de este ajuste en la columna F"),"")))</f>
      </c>
      <c r="J64">
        <f>IF($N$5=1,$N$7+36*$N$8,"")</f>
      </c>
      <c r="K64">
        <f>IF($N$5=1,J64-1-$N$9,"")</f>
      </c>
      <c r="L64">
        <f>IF($N$5=1,K64-$N$8,"")</f>
      </c>
    </row>
    <row r="65" spans="1:12" x14ac:dyDescent="0.25">
      <c r="A65" s="34">
        <f>IF(AND($N$5=1,37&lt;=$N$11),"37° ajuste","")</f>
      </c>
      <c r="B65" s="34">
        <f>IF(AND($N$5=1,37&lt;=$N$11),INDEX(IPC!$J$5:$J$16,MOD(J65,12)+1)&amp;" de "&amp;INT((J65)/12),"")</f>
      </c>
      <c r="C65" s="34">
        <f>IF(AND(AND($N$5=1,37&lt;=$N$11),$N$10=1),INDEX(IPC!$J$5:$J$16,MOD(L65,12)+1)&amp;" de "&amp;INT((L65)/12),"")</f>
      </c>
      <c r="D65" s="34">
        <f>IF(AND(AND($N$5=1,37&lt;=$N$11),$N$10=1),INDEX(IPC!$J$5:$J$16,MOD(K65,12)+1)&amp;" de "&amp;INT((K65)/12),"")</f>
      </c>
      <c r="E65" s="35">
        <f>IF(NOT(AND($N$5=1,37&lt;=$N$11)),"",IF($N$10=1,IF(AND($N$14=1,K65&lt;=$N$12),INDEX(IPC!$D$5:$D$173,(K65)-IPC!$J$2+1)/INDEX(IPC!$D$5:$D$173,(L65)-IPC!$J$2+1)-1,""),IF(ISNUMBER(F65),F65/100,"")))</f>
      </c>
      <c r="F65" s="36"/>
      <c r="G65" s="37">
        <f>IF(AND(AND($N$5=1,37&lt;=$N$11),ISNUMBER(G64),ISNUMBER(E65)),G64*(1+E65),"")</f>
      </c>
      <c r="H65" s="34">
        <f>IF(NOT(AND($N$5=1,37&lt;=$N$11)),"",IF(ISNUMBER(G65),"Aplicado",IF(ISNUMBER(G64),IF($N$10=1,"Falta el IPC de "&amp;INDEX(IPC!$J$5:$J$16,MOD($N$12+1,12)+1)&amp;" de "&amp;INT(($N$12+1)/12),"Cargá el % de este ajuste en la columna F"),"")))</f>
      </c>
      <c r="J65">
        <f>IF($N$5=1,$N$7+37*$N$8,"")</f>
      </c>
      <c r="K65">
        <f>IF($N$5=1,J65-1-$N$9,"")</f>
      </c>
      <c r="L65">
        <f>IF($N$5=1,K65-$N$8,"")</f>
      </c>
    </row>
    <row r="66" spans="1:12" x14ac:dyDescent="0.25">
      <c r="A66" s="31">
        <f>IF(AND($N$5=1,38&lt;=$N$11),"38° ajuste","")</f>
      </c>
      <c r="B66" s="31">
        <f>IF(AND($N$5=1,38&lt;=$N$11),INDEX(IPC!$J$5:$J$16,MOD(J66,12)+1)&amp;" de "&amp;INT((J66)/12),"")</f>
      </c>
      <c r="C66" s="31">
        <f>IF(AND(AND($N$5=1,38&lt;=$N$11),$N$10=1),INDEX(IPC!$J$5:$J$16,MOD(L66,12)+1)&amp;" de "&amp;INT((L66)/12),"")</f>
      </c>
      <c r="D66" s="31">
        <f>IF(AND(AND($N$5=1,38&lt;=$N$11),$N$10=1),INDEX(IPC!$J$5:$J$16,MOD(K66,12)+1)&amp;" de "&amp;INT((K66)/12),"")</f>
      </c>
      <c r="E66" s="38">
        <f>IF(NOT(AND($N$5=1,38&lt;=$N$11)),"",IF($N$10=1,IF(AND($N$14=1,K66&lt;=$N$12),INDEX(IPC!$D$5:$D$173,(K66)-IPC!$J$2+1)/INDEX(IPC!$D$5:$D$173,(L66)-IPC!$J$2+1)-1,""),IF(ISNUMBER(F66),F66/100,"")))</f>
      </c>
      <c r="F66" s="36"/>
      <c r="G66" s="33">
        <f>IF(AND(AND($N$5=1,38&lt;=$N$11),ISNUMBER(G65),ISNUMBER(E66)),G65*(1+E66),"")</f>
      </c>
      <c r="H66" s="31">
        <f>IF(NOT(AND($N$5=1,38&lt;=$N$11)),"",IF(ISNUMBER(G66),"Aplicado",IF(ISNUMBER(G65),IF($N$10=1,"Falta el IPC de "&amp;INDEX(IPC!$J$5:$J$16,MOD($N$12+1,12)+1)&amp;" de "&amp;INT(($N$12+1)/12),"Cargá el % de este ajuste en la columna F"),"")))</f>
      </c>
      <c r="J66">
        <f>IF($N$5=1,$N$7+38*$N$8,"")</f>
      </c>
      <c r="K66">
        <f>IF($N$5=1,J66-1-$N$9,"")</f>
      </c>
      <c r="L66">
        <f>IF($N$5=1,K66-$N$8,"")</f>
      </c>
    </row>
    <row r="67" spans="1:12" x14ac:dyDescent="0.25">
      <c r="A67" s="34">
        <f>IF(AND($N$5=1,39&lt;=$N$11),"39° ajuste","")</f>
      </c>
      <c r="B67" s="34">
        <f>IF(AND($N$5=1,39&lt;=$N$11),INDEX(IPC!$J$5:$J$16,MOD(J67,12)+1)&amp;" de "&amp;INT((J67)/12),"")</f>
      </c>
      <c r="C67" s="34">
        <f>IF(AND(AND($N$5=1,39&lt;=$N$11),$N$10=1),INDEX(IPC!$J$5:$J$16,MOD(L67,12)+1)&amp;" de "&amp;INT((L67)/12),"")</f>
      </c>
      <c r="D67" s="34">
        <f>IF(AND(AND($N$5=1,39&lt;=$N$11),$N$10=1),INDEX(IPC!$J$5:$J$16,MOD(K67,12)+1)&amp;" de "&amp;INT((K67)/12),"")</f>
      </c>
      <c r="E67" s="35">
        <f>IF(NOT(AND($N$5=1,39&lt;=$N$11)),"",IF($N$10=1,IF(AND($N$14=1,K67&lt;=$N$12),INDEX(IPC!$D$5:$D$173,(K67)-IPC!$J$2+1)/INDEX(IPC!$D$5:$D$173,(L67)-IPC!$J$2+1)-1,""),IF(ISNUMBER(F67),F67/100,"")))</f>
      </c>
      <c r="F67" s="36"/>
      <c r="G67" s="37">
        <f>IF(AND(AND($N$5=1,39&lt;=$N$11),ISNUMBER(G66),ISNUMBER(E67)),G66*(1+E67),"")</f>
      </c>
      <c r="H67" s="34">
        <f>IF(NOT(AND($N$5=1,39&lt;=$N$11)),"",IF(ISNUMBER(G67),"Aplicado",IF(ISNUMBER(G66),IF($N$10=1,"Falta el IPC de "&amp;INDEX(IPC!$J$5:$J$16,MOD($N$12+1,12)+1)&amp;" de "&amp;INT(($N$12+1)/12),"Cargá el % de este ajuste en la columna F"),"")))</f>
      </c>
      <c r="J67">
        <f>IF($N$5=1,$N$7+39*$N$8,"")</f>
      </c>
      <c r="K67">
        <f>IF($N$5=1,J67-1-$N$9,"")</f>
      </c>
      <c r="L67">
        <f>IF($N$5=1,K67-$N$8,"")</f>
      </c>
    </row>
    <row r="68" spans="1:12" x14ac:dyDescent="0.25">
      <c r="A68" s="31">
        <f>IF(AND($N$5=1,40&lt;=$N$11),"40° ajuste","")</f>
      </c>
      <c r="B68" s="31">
        <f>IF(AND($N$5=1,40&lt;=$N$11),INDEX(IPC!$J$5:$J$16,MOD(J68,12)+1)&amp;" de "&amp;INT((J68)/12),"")</f>
      </c>
      <c r="C68" s="31">
        <f>IF(AND(AND($N$5=1,40&lt;=$N$11),$N$10=1),INDEX(IPC!$J$5:$J$16,MOD(L68,12)+1)&amp;" de "&amp;INT((L68)/12),"")</f>
      </c>
      <c r="D68" s="31">
        <f>IF(AND(AND($N$5=1,40&lt;=$N$11),$N$10=1),INDEX(IPC!$J$5:$J$16,MOD(K68,12)+1)&amp;" de "&amp;INT((K68)/12),"")</f>
      </c>
      <c r="E68" s="38">
        <f>IF(NOT(AND($N$5=1,40&lt;=$N$11)),"",IF($N$10=1,IF(AND($N$14=1,K68&lt;=$N$12),INDEX(IPC!$D$5:$D$173,(K68)-IPC!$J$2+1)/INDEX(IPC!$D$5:$D$173,(L68)-IPC!$J$2+1)-1,""),IF(ISNUMBER(F68),F68/100,"")))</f>
      </c>
      <c r="F68" s="36"/>
      <c r="G68" s="33">
        <f>IF(AND(AND($N$5=1,40&lt;=$N$11),ISNUMBER(G67),ISNUMBER(E68)),G67*(1+E68),"")</f>
      </c>
      <c r="H68" s="31">
        <f>IF(NOT(AND($N$5=1,40&lt;=$N$11)),"",IF(ISNUMBER(G68),"Aplicado",IF(ISNUMBER(G67),IF($N$10=1,"Falta el IPC de "&amp;INDEX(IPC!$J$5:$J$16,MOD($N$12+1,12)+1)&amp;" de "&amp;INT(($N$12+1)/12),"Cargá el % de este ajuste en la columna F"),"")))</f>
      </c>
      <c r="J68">
        <f>IF($N$5=1,$N$7+40*$N$8,"")</f>
      </c>
      <c r="K68">
        <f>IF($N$5=1,J68-1-$N$9,"")</f>
      </c>
      <c r="L68">
        <f>IF($N$5=1,K68-$N$8,"")</f>
      </c>
    </row>
    <row r="69" spans="1:12" x14ac:dyDescent="0.25">
      <c r="A69" s="34">
        <f>IF(AND($N$5=1,41&lt;=$N$11),"41° ajuste","")</f>
      </c>
      <c r="B69" s="34">
        <f>IF(AND($N$5=1,41&lt;=$N$11),INDEX(IPC!$J$5:$J$16,MOD(J69,12)+1)&amp;" de "&amp;INT((J69)/12),"")</f>
      </c>
      <c r="C69" s="34">
        <f>IF(AND(AND($N$5=1,41&lt;=$N$11),$N$10=1),INDEX(IPC!$J$5:$J$16,MOD(L69,12)+1)&amp;" de "&amp;INT((L69)/12),"")</f>
      </c>
      <c r="D69" s="34">
        <f>IF(AND(AND($N$5=1,41&lt;=$N$11),$N$10=1),INDEX(IPC!$J$5:$J$16,MOD(K69,12)+1)&amp;" de "&amp;INT((K69)/12),"")</f>
      </c>
      <c r="E69" s="35">
        <f>IF(NOT(AND($N$5=1,41&lt;=$N$11)),"",IF($N$10=1,IF(AND($N$14=1,K69&lt;=$N$12),INDEX(IPC!$D$5:$D$173,(K69)-IPC!$J$2+1)/INDEX(IPC!$D$5:$D$173,(L69)-IPC!$J$2+1)-1,""),IF(ISNUMBER(F69),F69/100,"")))</f>
      </c>
      <c r="F69" s="36"/>
      <c r="G69" s="37">
        <f>IF(AND(AND($N$5=1,41&lt;=$N$11),ISNUMBER(G68),ISNUMBER(E69)),G68*(1+E69),"")</f>
      </c>
      <c r="H69" s="34">
        <f>IF(NOT(AND($N$5=1,41&lt;=$N$11)),"",IF(ISNUMBER(G69),"Aplicado",IF(ISNUMBER(G68),IF($N$10=1,"Falta el IPC de "&amp;INDEX(IPC!$J$5:$J$16,MOD($N$12+1,12)+1)&amp;" de "&amp;INT(($N$12+1)/12),"Cargá el % de este ajuste en la columna F"),"")))</f>
      </c>
      <c r="J69">
        <f>IF($N$5=1,$N$7+41*$N$8,"")</f>
      </c>
      <c r="K69">
        <f>IF($N$5=1,J69-1-$N$9,"")</f>
      </c>
      <c r="L69">
        <f>IF($N$5=1,K69-$N$8,"")</f>
      </c>
    </row>
    <row r="70" spans="1:12" x14ac:dyDescent="0.25">
      <c r="A70" s="31">
        <f>IF(AND($N$5=1,42&lt;=$N$11),"42° ajuste","")</f>
      </c>
      <c r="B70" s="31">
        <f>IF(AND($N$5=1,42&lt;=$N$11),INDEX(IPC!$J$5:$J$16,MOD(J70,12)+1)&amp;" de "&amp;INT((J70)/12),"")</f>
      </c>
      <c r="C70" s="31">
        <f>IF(AND(AND($N$5=1,42&lt;=$N$11),$N$10=1),INDEX(IPC!$J$5:$J$16,MOD(L70,12)+1)&amp;" de "&amp;INT((L70)/12),"")</f>
      </c>
      <c r="D70" s="31">
        <f>IF(AND(AND($N$5=1,42&lt;=$N$11),$N$10=1),INDEX(IPC!$J$5:$J$16,MOD(K70,12)+1)&amp;" de "&amp;INT((K70)/12),"")</f>
      </c>
      <c r="E70" s="38">
        <f>IF(NOT(AND($N$5=1,42&lt;=$N$11)),"",IF($N$10=1,IF(AND($N$14=1,K70&lt;=$N$12),INDEX(IPC!$D$5:$D$173,(K70)-IPC!$J$2+1)/INDEX(IPC!$D$5:$D$173,(L70)-IPC!$J$2+1)-1,""),IF(ISNUMBER(F70),F70/100,"")))</f>
      </c>
      <c r="F70" s="36"/>
      <c r="G70" s="33">
        <f>IF(AND(AND($N$5=1,42&lt;=$N$11),ISNUMBER(G69),ISNUMBER(E70)),G69*(1+E70),"")</f>
      </c>
      <c r="H70" s="31">
        <f>IF(NOT(AND($N$5=1,42&lt;=$N$11)),"",IF(ISNUMBER(G70),"Aplicado",IF(ISNUMBER(G69),IF($N$10=1,"Falta el IPC de "&amp;INDEX(IPC!$J$5:$J$16,MOD($N$12+1,12)+1)&amp;" de "&amp;INT(($N$12+1)/12),"Cargá el % de este ajuste en la columna F"),"")))</f>
      </c>
      <c r="J70">
        <f>IF($N$5=1,$N$7+42*$N$8,"")</f>
      </c>
      <c r="K70">
        <f>IF($N$5=1,J70-1-$N$9,"")</f>
      </c>
      <c r="L70">
        <f>IF($N$5=1,K70-$N$8,"")</f>
      </c>
    </row>
    <row r="71" spans="1:12" x14ac:dyDescent="0.25">
      <c r="A71" s="34">
        <f>IF(AND($N$5=1,43&lt;=$N$11),"43° ajuste","")</f>
      </c>
      <c r="B71" s="34">
        <f>IF(AND($N$5=1,43&lt;=$N$11),INDEX(IPC!$J$5:$J$16,MOD(J71,12)+1)&amp;" de "&amp;INT((J71)/12),"")</f>
      </c>
      <c r="C71" s="34">
        <f>IF(AND(AND($N$5=1,43&lt;=$N$11),$N$10=1),INDEX(IPC!$J$5:$J$16,MOD(L71,12)+1)&amp;" de "&amp;INT((L71)/12),"")</f>
      </c>
      <c r="D71" s="34">
        <f>IF(AND(AND($N$5=1,43&lt;=$N$11),$N$10=1),INDEX(IPC!$J$5:$J$16,MOD(K71,12)+1)&amp;" de "&amp;INT((K71)/12),"")</f>
      </c>
      <c r="E71" s="35">
        <f>IF(NOT(AND($N$5=1,43&lt;=$N$11)),"",IF($N$10=1,IF(AND($N$14=1,K71&lt;=$N$12),INDEX(IPC!$D$5:$D$173,(K71)-IPC!$J$2+1)/INDEX(IPC!$D$5:$D$173,(L71)-IPC!$J$2+1)-1,""),IF(ISNUMBER(F71),F71/100,"")))</f>
      </c>
      <c r="F71" s="36"/>
      <c r="G71" s="37">
        <f>IF(AND(AND($N$5=1,43&lt;=$N$11),ISNUMBER(G70),ISNUMBER(E71)),G70*(1+E71),"")</f>
      </c>
      <c r="H71" s="34">
        <f>IF(NOT(AND($N$5=1,43&lt;=$N$11)),"",IF(ISNUMBER(G71),"Aplicado",IF(ISNUMBER(G70),IF($N$10=1,"Falta el IPC de "&amp;INDEX(IPC!$J$5:$J$16,MOD($N$12+1,12)+1)&amp;" de "&amp;INT(($N$12+1)/12),"Cargá el % de este ajuste en la columna F"),"")))</f>
      </c>
      <c r="J71">
        <f>IF($N$5=1,$N$7+43*$N$8,"")</f>
      </c>
      <c r="K71">
        <f>IF($N$5=1,J71-1-$N$9,"")</f>
      </c>
      <c r="L71">
        <f>IF($N$5=1,K71-$N$8,"")</f>
      </c>
    </row>
    <row r="72" spans="1:12" x14ac:dyDescent="0.25">
      <c r="A72" s="31">
        <f>IF(AND($N$5=1,44&lt;=$N$11),"44° ajuste","")</f>
      </c>
      <c r="B72" s="31">
        <f>IF(AND($N$5=1,44&lt;=$N$11),INDEX(IPC!$J$5:$J$16,MOD(J72,12)+1)&amp;" de "&amp;INT((J72)/12),"")</f>
      </c>
      <c r="C72" s="31">
        <f>IF(AND(AND($N$5=1,44&lt;=$N$11),$N$10=1),INDEX(IPC!$J$5:$J$16,MOD(L72,12)+1)&amp;" de "&amp;INT((L72)/12),"")</f>
      </c>
      <c r="D72" s="31">
        <f>IF(AND(AND($N$5=1,44&lt;=$N$11),$N$10=1),INDEX(IPC!$J$5:$J$16,MOD(K72,12)+1)&amp;" de "&amp;INT((K72)/12),"")</f>
      </c>
      <c r="E72" s="38">
        <f>IF(NOT(AND($N$5=1,44&lt;=$N$11)),"",IF($N$10=1,IF(AND($N$14=1,K72&lt;=$N$12),INDEX(IPC!$D$5:$D$173,(K72)-IPC!$J$2+1)/INDEX(IPC!$D$5:$D$173,(L72)-IPC!$J$2+1)-1,""),IF(ISNUMBER(F72),F72/100,"")))</f>
      </c>
      <c r="F72" s="36"/>
      <c r="G72" s="33">
        <f>IF(AND(AND($N$5=1,44&lt;=$N$11),ISNUMBER(G71),ISNUMBER(E72)),G71*(1+E72),"")</f>
      </c>
      <c r="H72" s="31">
        <f>IF(NOT(AND($N$5=1,44&lt;=$N$11)),"",IF(ISNUMBER(G72),"Aplicado",IF(ISNUMBER(G71),IF($N$10=1,"Falta el IPC de "&amp;INDEX(IPC!$J$5:$J$16,MOD($N$12+1,12)+1)&amp;" de "&amp;INT(($N$12+1)/12),"Cargá el % de este ajuste en la columna F"),"")))</f>
      </c>
      <c r="J72">
        <f>IF($N$5=1,$N$7+44*$N$8,"")</f>
      </c>
      <c r="K72">
        <f>IF($N$5=1,J72-1-$N$9,"")</f>
      </c>
      <c r="L72">
        <f>IF($N$5=1,K72-$N$8,"")</f>
      </c>
    </row>
    <row r="73" spans="1:12" x14ac:dyDescent="0.25">
      <c r="A73" s="34">
        <f>IF(AND($N$5=1,45&lt;=$N$11),"45° ajuste","")</f>
      </c>
      <c r="B73" s="34">
        <f>IF(AND($N$5=1,45&lt;=$N$11),INDEX(IPC!$J$5:$J$16,MOD(J73,12)+1)&amp;" de "&amp;INT((J73)/12),"")</f>
      </c>
      <c r="C73" s="34">
        <f>IF(AND(AND($N$5=1,45&lt;=$N$11),$N$10=1),INDEX(IPC!$J$5:$J$16,MOD(L73,12)+1)&amp;" de "&amp;INT((L73)/12),"")</f>
      </c>
      <c r="D73" s="34">
        <f>IF(AND(AND($N$5=1,45&lt;=$N$11),$N$10=1),INDEX(IPC!$J$5:$J$16,MOD(K73,12)+1)&amp;" de "&amp;INT((K73)/12),"")</f>
      </c>
      <c r="E73" s="35">
        <f>IF(NOT(AND($N$5=1,45&lt;=$N$11)),"",IF($N$10=1,IF(AND($N$14=1,K73&lt;=$N$12),INDEX(IPC!$D$5:$D$173,(K73)-IPC!$J$2+1)/INDEX(IPC!$D$5:$D$173,(L73)-IPC!$J$2+1)-1,""),IF(ISNUMBER(F73),F73/100,"")))</f>
      </c>
      <c r="F73" s="36"/>
      <c r="G73" s="37">
        <f>IF(AND(AND($N$5=1,45&lt;=$N$11),ISNUMBER(G72),ISNUMBER(E73)),G72*(1+E73),"")</f>
      </c>
      <c r="H73" s="34">
        <f>IF(NOT(AND($N$5=1,45&lt;=$N$11)),"",IF(ISNUMBER(G73),"Aplicado",IF(ISNUMBER(G72),IF($N$10=1,"Falta el IPC de "&amp;INDEX(IPC!$J$5:$J$16,MOD($N$12+1,12)+1)&amp;" de "&amp;INT(($N$12+1)/12),"Cargá el % de este ajuste en la columna F"),"")))</f>
      </c>
      <c r="J73">
        <f>IF($N$5=1,$N$7+45*$N$8,"")</f>
      </c>
      <c r="K73">
        <f>IF($N$5=1,J73-1-$N$9,"")</f>
      </c>
      <c r="L73">
        <f>IF($N$5=1,K73-$N$8,"")</f>
      </c>
    </row>
    <row r="74" spans="1:12" x14ac:dyDescent="0.25">
      <c r="A74" s="31">
        <f>IF(AND($N$5=1,46&lt;=$N$11),"46° ajuste","")</f>
      </c>
      <c r="B74" s="31">
        <f>IF(AND($N$5=1,46&lt;=$N$11),INDEX(IPC!$J$5:$J$16,MOD(J74,12)+1)&amp;" de "&amp;INT((J74)/12),"")</f>
      </c>
      <c r="C74" s="31">
        <f>IF(AND(AND($N$5=1,46&lt;=$N$11),$N$10=1),INDEX(IPC!$J$5:$J$16,MOD(L74,12)+1)&amp;" de "&amp;INT((L74)/12),"")</f>
      </c>
      <c r="D74" s="31">
        <f>IF(AND(AND($N$5=1,46&lt;=$N$11),$N$10=1),INDEX(IPC!$J$5:$J$16,MOD(K74,12)+1)&amp;" de "&amp;INT((K74)/12),"")</f>
      </c>
      <c r="E74" s="38">
        <f>IF(NOT(AND($N$5=1,46&lt;=$N$11)),"",IF($N$10=1,IF(AND($N$14=1,K74&lt;=$N$12),INDEX(IPC!$D$5:$D$173,(K74)-IPC!$J$2+1)/INDEX(IPC!$D$5:$D$173,(L74)-IPC!$J$2+1)-1,""),IF(ISNUMBER(F74),F74/100,"")))</f>
      </c>
      <c r="F74" s="36"/>
      <c r="G74" s="33">
        <f>IF(AND(AND($N$5=1,46&lt;=$N$11),ISNUMBER(G73),ISNUMBER(E74)),G73*(1+E74),"")</f>
      </c>
      <c r="H74" s="31">
        <f>IF(NOT(AND($N$5=1,46&lt;=$N$11)),"",IF(ISNUMBER(G74),"Aplicado",IF(ISNUMBER(G73),IF($N$10=1,"Falta el IPC de "&amp;INDEX(IPC!$J$5:$J$16,MOD($N$12+1,12)+1)&amp;" de "&amp;INT(($N$12+1)/12),"Cargá el % de este ajuste en la columna F"),"")))</f>
      </c>
      <c r="J74">
        <f>IF($N$5=1,$N$7+46*$N$8,"")</f>
      </c>
      <c r="K74">
        <f>IF($N$5=1,J74-1-$N$9,"")</f>
      </c>
      <c r="L74">
        <f>IF($N$5=1,K74-$N$8,"")</f>
      </c>
    </row>
    <row r="75" spans="1:12" x14ac:dyDescent="0.25">
      <c r="A75" s="34">
        <f>IF(AND($N$5=1,47&lt;=$N$11),"47° ajuste","")</f>
      </c>
      <c r="B75" s="34">
        <f>IF(AND($N$5=1,47&lt;=$N$11),INDEX(IPC!$J$5:$J$16,MOD(J75,12)+1)&amp;" de "&amp;INT((J75)/12),"")</f>
      </c>
      <c r="C75" s="34">
        <f>IF(AND(AND($N$5=1,47&lt;=$N$11),$N$10=1),INDEX(IPC!$J$5:$J$16,MOD(L75,12)+1)&amp;" de "&amp;INT((L75)/12),"")</f>
      </c>
      <c r="D75" s="34">
        <f>IF(AND(AND($N$5=1,47&lt;=$N$11),$N$10=1),INDEX(IPC!$J$5:$J$16,MOD(K75,12)+1)&amp;" de "&amp;INT((K75)/12),"")</f>
      </c>
      <c r="E75" s="35">
        <f>IF(NOT(AND($N$5=1,47&lt;=$N$11)),"",IF($N$10=1,IF(AND($N$14=1,K75&lt;=$N$12),INDEX(IPC!$D$5:$D$173,(K75)-IPC!$J$2+1)/INDEX(IPC!$D$5:$D$173,(L75)-IPC!$J$2+1)-1,""),IF(ISNUMBER(F75),F75/100,"")))</f>
      </c>
      <c r="F75" s="36"/>
      <c r="G75" s="37">
        <f>IF(AND(AND($N$5=1,47&lt;=$N$11),ISNUMBER(G74),ISNUMBER(E75)),G74*(1+E75),"")</f>
      </c>
      <c r="H75" s="34">
        <f>IF(NOT(AND($N$5=1,47&lt;=$N$11)),"",IF(ISNUMBER(G75),"Aplicado",IF(ISNUMBER(G74),IF($N$10=1,"Falta el IPC de "&amp;INDEX(IPC!$J$5:$J$16,MOD($N$12+1,12)+1)&amp;" de "&amp;INT(($N$12+1)/12),"Cargá el % de este ajuste en la columna F"),"")))</f>
      </c>
      <c r="J75">
        <f>IF($N$5=1,$N$7+47*$N$8,"")</f>
      </c>
      <c r="K75">
        <f>IF($N$5=1,J75-1-$N$9,"")</f>
      </c>
      <c r="L75">
        <f>IF($N$5=1,K75-$N$8,"")</f>
      </c>
    </row>
    <row r="76" spans="1:12" x14ac:dyDescent="0.25">
      <c r="A76" s="31">
        <f>IF(AND($N$5=1,48&lt;=$N$11),"48° ajuste","")</f>
      </c>
      <c r="B76" s="31">
        <f>IF(AND($N$5=1,48&lt;=$N$11),INDEX(IPC!$J$5:$J$16,MOD(J76,12)+1)&amp;" de "&amp;INT((J76)/12),"")</f>
      </c>
      <c r="C76" s="31">
        <f>IF(AND(AND($N$5=1,48&lt;=$N$11),$N$10=1),INDEX(IPC!$J$5:$J$16,MOD(L76,12)+1)&amp;" de "&amp;INT((L76)/12),"")</f>
      </c>
      <c r="D76" s="31">
        <f>IF(AND(AND($N$5=1,48&lt;=$N$11),$N$10=1),INDEX(IPC!$J$5:$J$16,MOD(K76,12)+1)&amp;" de "&amp;INT((K76)/12),"")</f>
      </c>
      <c r="E76" s="38">
        <f>IF(NOT(AND($N$5=1,48&lt;=$N$11)),"",IF($N$10=1,IF(AND($N$14=1,K76&lt;=$N$12),INDEX(IPC!$D$5:$D$173,(K76)-IPC!$J$2+1)/INDEX(IPC!$D$5:$D$173,(L76)-IPC!$J$2+1)-1,""),IF(ISNUMBER(F76),F76/100,"")))</f>
      </c>
      <c r="F76" s="36"/>
      <c r="G76" s="33">
        <f>IF(AND(AND($N$5=1,48&lt;=$N$11),ISNUMBER(G75),ISNUMBER(E76)),G75*(1+E76),"")</f>
      </c>
      <c r="H76" s="31">
        <f>IF(NOT(AND($N$5=1,48&lt;=$N$11)),"",IF(ISNUMBER(G76),"Aplicado",IF(ISNUMBER(G75),IF($N$10=1,"Falta el IPC de "&amp;INDEX(IPC!$J$5:$J$16,MOD($N$12+1,12)+1)&amp;" de "&amp;INT(($N$12+1)/12),"Cargá el % de este ajuste en la columna F"),"")))</f>
      </c>
      <c r="J76">
        <f>IF($N$5=1,$N$7+48*$N$8,"")</f>
      </c>
      <c r="K76">
        <f>IF($N$5=1,J76-1-$N$9,"")</f>
      </c>
      <c r="L76">
        <f>IF($N$5=1,K76-$N$8,"")</f>
      </c>
    </row>
    <row r="77" spans="1:12" x14ac:dyDescent="0.25">
      <c r="A77" s="34">
        <f>IF(AND($N$5=1,49&lt;=$N$11),"49° ajuste","")</f>
      </c>
      <c r="B77" s="34">
        <f>IF(AND($N$5=1,49&lt;=$N$11),INDEX(IPC!$J$5:$J$16,MOD(J77,12)+1)&amp;" de "&amp;INT((J77)/12),"")</f>
      </c>
      <c r="C77" s="34">
        <f>IF(AND(AND($N$5=1,49&lt;=$N$11),$N$10=1),INDEX(IPC!$J$5:$J$16,MOD(L77,12)+1)&amp;" de "&amp;INT((L77)/12),"")</f>
      </c>
      <c r="D77" s="34">
        <f>IF(AND(AND($N$5=1,49&lt;=$N$11),$N$10=1),INDEX(IPC!$J$5:$J$16,MOD(K77,12)+1)&amp;" de "&amp;INT((K77)/12),"")</f>
      </c>
      <c r="E77" s="35">
        <f>IF(NOT(AND($N$5=1,49&lt;=$N$11)),"",IF($N$10=1,IF(AND($N$14=1,K77&lt;=$N$12),INDEX(IPC!$D$5:$D$173,(K77)-IPC!$J$2+1)/INDEX(IPC!$D$5:$D$173,(L77)-IPC!$J$2+1)-1,""),IF(ISNUMBER(F77),F77/100,"")))</f>
      </c>
      <c r="F77" s="36"/>
      <c r="G77" s="37">
        <f>IF(AND(AND($N$5=1,49&lt;=$N$11),ISNUMBER(G76),ISNUMBER(E77)),G76*(1+E77),"")</f>
      </c>
      <c r="H77" s="34">
        <f>IF(NOT(AND($N$5=1,49&lt;=$N$11)),"",IF(ISNUMBER(G77),"Aplicado",IF(ISNUMBER(G76),IF($N$10=1,"Falta el IPC de "&amp;INDEX(IPC!$J$5:$J$16,MOD($N$12+1,12)+1)&amp;" de "&amp;INT(($N$12+1)/12),"Cargá el % de este ajuste en la columna F"),"")))</f>
      </c>
      <c r="J77">
        <f>IF($N$5=1,$N$7+49*$N$8,"")</f>
      </c>
      <c r="K77">
        <f>IF($N$5=1,J77-1-$N$9,"")</f>
      </c>
      <c r="L77">
        <f>IF($N$5=1,K77-$N$8,"")</f>
      </c>
    </row>
    <row r="78" spans="1:12" x14ac:dyDescent="0.25">
      <c r="A78" s="31">
        <f>IF(AND($N$5=1,50&lt;=$N$11),"50° ajuste","")</f>
      </c>
      <c r="B78" s="31">
        <f>IF(AND($N$5=1,50&lt;=$N$11),INDEX(IPC!$J$5:$J$16,MOD(J78,12)+1)&amp;" de "&amp;INT((J78)/12),"")</f>
      </c>
      <c r="C78" s="31">
        <f>IF(AND(AND($N$5=1,50&lt;=$N$11),$N$10=1),INDEX(IPC!$J$5:$J$16,MOD(L78,12)+1)&amp;" de "&amp;INT((L78)/12),"")</f>
      </c>
      <c r="D78" s="31">
        <f>IF(AND(AND($N$5=1,50&lt;=$N$11),$N$10=1),INDEX(IPC!$J$5:$J$16,MOD(K78,12)+1)&amp;" de "&amp;INT((K78)/12),"")</f>
      </c>
      <c r="E78" s="38">
        <f>IF(NOT(AND($N$5=1,50&lt;=$N$11)),"",IF($N$10=1,IF(AND($N$14=1,K78&lt;=$N$12),INDEX(IPC!$D$5:$D$173,(K78)-IPC!$J$2+1)/INDEX(IPC!$D$5:$D$173,(L78)-IPC!$J$2+1)-1,""),IF(ISNUMBER(F78),F78/100,"")))</f>
      </c>
      <c r="F78" s="36"/>
      <c r="G78" s="33">
        <f>IF(AND(AND($N$5=1,50&lt;=$N$11),ISNUMBER(G77),ISNUMBER(E78)),G77*(1+E78),"")</f>
      </c>
      <c r="H78" s="31">
        <f>IF(NOT(AND($N$5=1,50&lt;=$N$11)),"",IF(ISNUMBER(G78),"Aplicado",IF(ISNUMBER(G77),IF($N$10=1,"Falta el IPC de "&amp;INDEX(IPC!$J$5:$J$16,MOD($N$12+1,12)+1)&amp;" de "&amp;INT(($N$12+1)/12),"Cargá el % de este ajuste en la columna F"),"")))</f>
      </c>
      <c r="J78">
        <f>IF($N$5=1,$N$7+50*$N$8,"")</f>
      </c>
      <c r="K78">
        <f>IF($N$5=1,J78-1-$N$9,"")</f>
      </c>
      <c r="L78">
        <f>IF($N$5=1,K78-$N$8,"")</f>
      </c>
    </row>
    <row r="79" spans="1:12" x14ac:dyDescent="0.25">
      <c r="A79" s="34">
        <f>IF(AND($N$5=1,51&lt;=$N$11),"51° ajuste","")</f>
      </c>
      <c r="B79" s="34">
        <f>IF(AND($N$5=1,51&lt;=$N$11),INDEX(IPC!$J$5:$J$16,MOD(J79,12)+1)&amp;" de "&amp;INT((J79)/12),"")</f>
      </c>
      <c r="C79" s="34">
        <f>IF(AND(AND($N$5=1,51&lt;=$N$11),$N$10=1),INDEX(IPC!$J$5:$J$16,MOD(L79,12)+1)&amp;" de "&amp;INT((L79)/12),"")</f>
      </c>
      <c r="D79" s="34">
        <f>IF(AND(AND($N$5=1,51&lt;=$N$11),$N$10=1),INDEX(IPC!$J$5:$J$16,MOD(K79,12)+1)&amp;" de "&amp;INT((K79)/12),"")</f>
      </c>
      <c r="E79" s="35">
        <f>IF(NOT(AND($N$5=1,51&lt;=$N$11)),"",IF($N$10=1,IF(AND($N$14=1,K79&lt;=$N$12),INDEX(IPC!$D$5:$D$173,(K79)-IPC!$J$2+1)/INDEX(IPC!$D$5:$D$173,(L79)-IPC!$J$2+1)-1,""),IF(ISNUMBER(F79),F79/100,"")))</f>
      </c>
      <c r="F79" s="36"/>
      <c r="G79" s="37">
        <f>IF(AND(AND($N$5=1,51&lt;=$N$11),ISNUMBER(G78),ISNUMBER(E79)),G78*(1+E79),"")</f>
      </c>
      <c r="H79" s="34">
        <f>IF(NOT(AND($N$5=1,51&lt;=$N$11)),"",IF(ISNUMBER(G79),"Aplicado",IF(ISNUMBER(G78),IF($N$10=1,"Falta el IPC de "&amp;INDEX(IPC!$J$5:$J$16,MOD($N$12+1,12)+1)&amp;" de "&amp;INT(($N$12+1)/12),"Cargá el % de este ajuste en la columna F"),"")))</f>
      </c>
      <c r="J79">
        <f>IF($N$5=1,$N$7+51*$N$8,"")</f>
      </c>
      <c r="K79">
        <f>IF($N$5=1,J79-1-$N$9,"")</f>
      </c>
      <c r="L79">
        <f>IF($N$5=1,K79-$N$8,"")</f>
      </c>
    </row>
    <row r="80" spans="1:12" x14ac:dyDescent="0.25">
      <c r="A80" s="31">
        <f>IF(AND($N$5=1,52&lt;=$N$11),"52° ajuste","")</f>
      </c>
      <c r="B80" s="31">
        <f>IF(AND($N$5=1,52&lt;=$N$11),INDEX(IPC!$J$5:$J$16,MOD(J80,12)+1)&amp;" de "&amp;INT((J80)/12),"")</f>
      </c>
      <c r="C80" s="31">
        <f>IF(AND(AND($N$5=1,52&lt;=$N$11),$N$10=1),INDEX(IPC!$J$5:$J$16,MOD(L80,12)+1)&amp;" de "&amp;INT((L80)/12),"")</f>
      </c>
      <c r="D80" s="31">
        <f>IF(AND(AND($N$5=1,52&lt;=$N$11),$N$10=1),INDEX(IPC!$J$5:$J$16,MOD(K80,12)+1)&amp;" de "&amp;INT((K80)/12),"")</f>
      </c>
      <c r="E80" s="38">
        <f>IF(NOT(AND($N$5=1,52&lt;=$N$11)),"",IF($N$10=1,IF(AND($N$14=1,K80&lt;=$N$12),INDEX(IPC!$D$5:$D$173,(K80)-IPC!$J$2+1)/INDEX(IPC!$D$5:$D$173,(L80)-IPC!$J$2+1)-1,""),IF(ISNUMBER(F80),F80/100,"")))</f>
      </c>
      <c r="F80" s="36"/>
      <c r="G80" s="33">
        <f>IF(AND(AND($N$5=1,52&lt;=$N$11),ISNUMBER(G79),ISNUMBER(E80)),G79*(1+E80),"")</f>
      </c>
      <c r="H80" s="31">
        <f>IF(NOT(AND($N$5=1,52&lt;=$N$11)),"",IF(ISNUMBER(G80),"Aplicado",IF(ISNUMBER(G79),IF($N$10=1,"Falta el IPC de "&amp;INDEX(IPC!$J$5:$J$16,MOD($N$12+1,12)+1)&amp;" de "&amp;INT(($N$12+1)/12),"Cargá el % de este ajuste en la columna F"),"")))</f>
      </c>
      <c r="J80">
        <f>IF($N$5=1,$N$7+52*$N$8,"")</f>
      </c>
      <c r="K80">
        <f>IF($N$5=1,J80-1-$N$9,"")</f>
      </c>
      <c r="L80">
        <f>IF($N$5=1,K80-$N$8,"")</f>
      </c>
    </row>
    <row r="81" spans="1:12" x14ac:dyDescent="0.25">
      <c r="A81" s="34">
        <f>IF(AND($N$5=1,53&lt;=$N$11),"53° ajuste","")</f>
      </c>
      <c r="B81" s="34">
        <f>IF(AND($N$5=1,53&lt;=$N$11),INDEX(IPC!$J$5:$J$16,MOD(J81,12)+1)&amp;" de "&amp;INT((J81)/12),"")</f>
      </c>
      <c r="C81" s="34">
        <f>IF(AND(AND($N$5=1,53&lt;=$N$11),$N$10=1),INDEX(IPC!$J$5:$J$16,MOD(L81,12)+1)&amp;" de "&amp;INT((L81)/12),"")</f>
      </c>
      <c r="D81" s="34">
        <f>IF(AND(AND($N$5=1,53&lt;=$N$11),$N$10=1),INDEX(IPC!$J$5:$J$16,MOD(K81,12)+1)&amp;" de "&amp;INT((K81)/12),"")</f>
      </c>
      <c r="E81" s="35">
        <f>IF(NOT(AND($N$5=1,53&lt;=$N$11)),"",IF($N$10=1,IF(AND($N$14=1,K81&lt;=$N$12),INDEX(IPC!$D$5:$D$173,(K81)-IPC!$J$2+1)/INDEX(IPC!$D$5:$D$173,(L81)-IPC!$J$2+1)-1,""),IF(ISNUMBER(F81),F81/100,"")))</f>
      </c>
      <c r="F81" s="36"/>
      <c r="G81" s="37">
        <f>IF(AND(AND($N$5=1,53&lt;=$N$11),ISNUMBER(G80),ISNUMBER(E81)),G80*(1+E81),"")</f>
      </c>
      <c r="H81" s="34">
        <f>IF(NOT(AND($N$5=1,53&lt;=$N$11)),"",IF(ISNUMBER(G81),"Aplicado",IF(ISNUMBER(G80),IF($N$10=1,"Falta el IPC de "&amp;INDEX(IPC!$J$5:$J$16,MOD($N$12+1,12)+1)&amp;" de "&amp;INT(($N$12+1)/12),"Cargá el % de este ajuste en la columna F"),"")))</f>
      </c>
      <c r="J81">
        <f>IF($N$5=1,$N$7+53*$N$8,"")</f>
      </c>
      <c r="K81">
        <f>IF($N$5=1,J81-1-$N$9,"")</f>
      </c>
      <c r="L81">
        <f>IF($N$5=1,K81-$N$8,"")</f>
      </c>
    </row>
    <row r="82" spans="1:12" x14ac:dyDescent="0.25">
      <c r="A82" s="31">
        <f>IF(AND($N$5=1,54&lt;=$N$11),"54° ajuste","")</f>
      </c>
      <c r="B82" s="31">
        <f>IF(AND($N$5=1,54&lt;=$N$11),INDEX(IPC!$J$5:$J$16,MOD(J82,12)+1)&amp;" de "&amp;INT((J82)/12),"")</f>
      </c>
      <c r="C82" s="31">
        <f>IF(AND(AND($N$5=1,54&lt;=$N$11),$N$10=1),INDEX(IPC!$J$5:$J$16,MOD(L82,12)+1)&amp;" de "&amp;INT((L82)/12),"")</f>
      </c>
      <c r="D82" s="31">
        <f>IF(AND(AND($N$5=1,54&lt;=$N$11),$N$10=1),INDEX(IPC!$J$5:$J$16,MOD(K82,12)+1)&amp;" de "&amp;INT((K82)/12),"")</f>
      </c>
      <c r="E82" s="38">
        <f>IF(NOT(AND($N$5=1,54&lt;=$N$11)),"",IF($N$10=1,IF(AND($N$14=1,K82&lt;=$N$12),INDEX(IPC!$D$5:$D$173,(K82)-IPC!$J$2+1)/INDEX(IPC!$D$5:$D$173,(L82)-IPC!$J$2+1)-1,""),IF(ISNUMBER(F82),F82/100,"")))</f>
      </c>
      <c r="F82" s="36"/>
      <c r="G82" s="33">
        <f>IF(AND(AND($N$5=1,54&lt;=$N$11),ISNUMBER(G81),ISNUMBER(E82)),G81*(1+E82),"")</f>
      </c>
      <c r="H82" s="31">
        <f>IF(NOT(AND($N$5=1,54&lt;=$N$11)),"",IF(ISNUMBER(G82),"Aplicado",IF(ISNUMBER(G81),IF($N$10=1,"Falta el IPC de "&amp;INDEX(IPC!$J$5:$J$16,MOD($N$12+1,12)+1)&amp;" de "&amp;INT(($N$12+1)/12),"Cargá el % de este ajuste en la columna F"),"")))</f>
      </c>
      <c r="J82">
        <f>IF($N$5=1,$N$7+54*$N$8,"")</f>
      </c>
      <c r="K82">
        <f>IF($N$5=1,J82-1-$N$9,"")</f>
      </c>
      <c r="L82">
        <f>IF($N$5=1,K82-$N$8,"")</f>
      </c>
    </row>
    <row r="83" spans="1:12" x14ac:dyDescent="0.25">
      <c r="A83" s="34">
        <f>IF(AND($N$5=1,55&lt;=$N$11),"55° ajuste","")</f>
      </c>
      <c r="B83" s="34">
        <f>IF(AND($N$5=1,55&lt;=$N$11),INDEX(IPC!$J$5:$J$16,MOD(J83,12)+1)&amp;" de "&amp;INT((J83)/12),"")</f>
      </c>
      <c r="C83" s="34">
        <f>IF(AND(AND($N$5=1,55&lt;=$N$11),$N$10=1),INDEX(IPC!$J$5:$J$16,MOD(L83,12)+1)&amp;" de "&amp;INT((L83)/12),"")</f>
      </c>
      <c r="D83" s="34">
        <f>IF(AND(AND($N$5=1,55&lt;=$N$11),$N$10=1),INDEX(IPC!$J$5:$J$16,MOD(K83,12)+1)&amp;" de "&amp;INT((K83)/12),"")</f>
      </c>
      <c r="E83" s="35">
        <f>IF(NOT(AND($N$5=1,55&lt;=$N$11)),"",IF($N$10=1,IF(AND($N$14=1,K83&lt;=$N$12),INDEX(IPC!$D$5:$D$173,(K83)-IPC!$J$2+1)/INDEX(IPC!$D$5:$D$173,(L83)-IPC!$J$2+1)-1,""),IF(ISNUMBER(F83),F83/100,"")))</f>
      </c>
      <c r="F83" s="36"/>
      <c r="G83" s="37">
        <f>IF(AND(AND($N$5=1,55&lt;=$N$11),ISNUMBER(G82),ISNUMBER(E83)),G82*(1+E83),"")</f>
      </c>
      <c r="H83" s="34">
        <f>IF(NOT(AND($N$5=1,55&lt;=$N$11)),"",IF(ISNUMBER(G83),"Aplicado",IF(ISNUMBER(G82),IF($N$10=1,"Falta el IPC de "&amp;INDEX(IPC!$J$5:$J$16,MOD($N$12+1,12)+1)&amp;" de "&amp;INT(($N$12+1)/12),"Cargá el % de este ajuste en la columna F"),"")))</f>
      </c>
      <c r="J83">
        <f>IF($N$5=1,$N$7+55*$N$8,"")</f>
      </c>
      <c r="K83">
        <f>IF($N$5=1,J83-1-$N$9,"")</f>
      </c>
      <c r="L83">
        <f>IF($N$5=1,K83-$N$8,"")</f>
      </c>
    </row>
    <row r="84" spans="1:12" x14ac:dyDescent="0.25">
      <c r="A84" s="31">
        <f>IF(AND($N$5=1,56&lt;=$N$11),"56° ajuste","")</f>
      </c>
      <c r="B84" s="31">
        <f>IF(AND($N$5=1,56&lt;=$N$11),INDEX(IPC!$J$5:$J$16,MOD(J84,12)+1)&amp;" de "&amp;INT((J84)/12),"")</f>
      </c>
      <c r="C84" s="31">
        <f>IF(AND(AND($N$5=1,56&lt;=$N$11),$N$10=1),INDEX(IPC!$J$5:$J$16,MOD(L84,12)+1)&amp;" de "&amp;INT((L84)/12),"")</f>
      </c>
      <c r="D84" s="31">
        <f>IF(AND(AND($N$5=1,56&lt;=$N$11),$N$10=1),INDEX(IPC!$J$5:$J$16,MOD(K84,12)+1)&amp;" de "&amp;INT((K84)/12),"")</f>
      </c>
      <c r="E84" s="38">
        <f>IF(NOT(AND($N$5=1,56&lt;=$N$11)),"",IF($N$10=1,IF(AND($N$14=1,K84&lt;=$N$12),INDEX(IPC!$D$5:$D$173,(K84)-IPC!$J$2+1)/INDEX(IPC!$D$5:$D$173,(L84)-IPC!$J$2+1)-1,""),IF(ISNUMBER(F84),F84/100,"")))</f>
      </c>
      <c r="F84" s="36"/>
      <c r="G84" s="33">
        <f>IF(AND(AND($N$5=1,56&lt;=$N$11),ISNUMBER(G83),ISNUMBER(E84)),G83*(1+E84),"")</f>
      </c>
      <c r="H84" s="31">
        <f>IF(NOT(AND($N$5=1,56&lt;=$N$11)),"",IF(ISNUMBER(G84),"Aplicado",IF(ISNUMBER(G83),IF($N$10=1,"Falta el IPC de "&amp;INDEX(IPC!$J$5:$J$16,MOD($N$12+1,12)+1)&amp;" de "&amp;INT(($N$12+1)/12),"Cargá el % de este ajuste en la columna F"),"")))</f>
      </c>
      <c r="J84">
        <f>IF($N$5=1,$N$7+56*$N$8,"")</f>
      </c>
      <c r="K84">
        <f>IF($N$5=1,J84-1-$N$9,"")</f>
      </c>
      <c r="L84">
        <f>IF($N$5=1,K84-$N$8,"")</f>
      </c>
    </row>
    <row r="85" spans="1:12" x14ac:dyDescent="0.25">
      <c r="A85" s="34">
        <f>IF(AND($N$5=1,57&lt;=$N$11),"57° ajuste","")</f>
      </c>
      <c r="B85" s="34">
        <f>IF(AND($N$5=1,57&lt;=$N$11),INDEX(IPC!$J$5:$J$16,MOD(J85,12)+1)&amp;" de "&amp;INT((J85)/12),"")</f>
      </c>
      <c r="C85" s="34">
        <f>IF(AND(AND($N$5=1,57&lt;=$N$11),$N$10=1),INDEX(IPC!$J$5:$J$16,MOD(L85,12)+1)&amp;" de "&amp;INT((L85)/12),"")</f>
      </c>
      <c r="D85" s="34">
        <f>IF(AND(AND($N$5=1,57&lt;=$N$11),$N$10=1),INDEX(IPC!$J$5:$J$16,MOD(K85,12)+1)&amp;" de "&amp;INT((K85)/12),"")</f>
      </c>
      <c r="E85" s="35">
        <f>IF(NOT(AND($N$5=1,57&lt;=$N$11)),"",IF($N$10=1,IF(AND($N$14=1,K85&lt;=$N$12),INDEX(IPC!$D$5:$D$173,(K85)-IPC!$J$2+1)/INDEX(IPC!$D$5:$D$173,(L85)-IPC!$J$2+1)-1,""),IF(ISNUMBER(F85),F85/100,"")))</f>
      </c>
      <c r="F85" s="36"/>
      <c r="G85" s="37">
        <f>IF(AND(AND($N$5=1,57&lt;=$N$11),ISNUMBER(G84),ISNUMBER(E85)),G84*(1+E85),"")</f>
      </c>
      <c r="H85" s="34">
        <f>IF(NOT(AND($N$5=1,57&lt;=$N$11)),"",IF(ISNUMBER(G85),"Aplicado",IF(ISNUMBER(G84),IF($N$10=1,"Falta el IPC de "&amp;INDEX(IPC!$J$5:$J$16,MOD($N$12+1,12)+1)&amp;" de "&amp;INT(($N$12+1)/12),"Cargá el % de este ajuste en la columna F"),"")))</f>
      </c>
      <c r="J85">
        <f>IF($N$5=1,$N$7+57*$N$8,"")</f>
      </c>
      <c r="K85">
        <f>IF($N$5=1,J85-1-$N$9,"")</f>
      </c>
      <c r="L85">
        <f>IF($N$5=1,K85-$N$8,"")</f>
      </c>
    </row>
    <row r="86" spans="1:12" x14ac:dyDescent="0.25">
      <c r="A86" s="31">
        <f>IF(AND($N$5=1,58&lt;=$N$11),"58° ajuste","")</f>
      </c>
      <c r="B86" s="31">
        <f>IF(AND($N$5=1,58&lt;=$N$11),INDEX(IPC!$J$5:$J$16,MOD(J86,12)+1)&amp;" de "&amp;INT((J86)/12),"")</f>
      </c>
      <c r="C86" s="31">
        <f>IF(AND(AND($N$5=1,58&lt;=$N$11),$N$10=1),INDEX(IPC!$J$5:$J$16,MOD(L86,12)+1)&amp;" de "&amp;INT((L86)/12),"")</f>
      </c>
      <c r="D86" s="31">
        <f>IF(AND(AND($N$5=1,58&lt;=$N$11),$N$10=1),INDEX(IPC!$J$5:$J$16,MOD(K86,12)+1)&amp;" de "&amp;INT((K86)/12),"")</f>
      </c>
      <c r="E86" s="38">
        <f>IF(NOT(AND($N$5=1,58&lt;=$N$11)),"",IF($N$10=1,IF(AND($N$14=1,K86&lt;=$N$12),INDEX(IPC!$D$5:$D$173,(K86)-IPC!$J$2+1)/INDEX(IPC!$D$5:$D$173,(L86)-IPC!$J$2+1)-1,""),IF(ISNUMBER(F86),F86/100,"")))</f>
      </c>
      <c r="F86" s="36"/>
      <c r="G86" s="33">
        <f>IF(AND(AND($N$5=1,58&lt;=$N$11),ISNUMBER(G85),ISNUMBER(E86)),G85*(1+E86),"")</f>
      </c>
      <c r="H86" s="31">
        <f>IF(NOT(AND($N$5=1,58&lt;=$N$11)),"",IF(ISNUMBER(G86),"Aplicado",IF(ISNUMBER(G85),IF($N$10=1,"Falta el IPC de "&amp;INDEX(IPC!$J$5:$J$16,MOD($N$12+1,12)+1)&amp;" de "&amp;INT(($N$12+1)/12),"Cargá el % de este ajuste en la columna F"),"")))</f>
      </c>
      <c r="J86">
        <f>IF($N$5=1,$N$7+58*$N$8,"")</f>
      </c>
      <c r="K86">
        <f>IF($N$5=1,J86-1-$N$9,"")</f>
      </c>
      <c r="L86">
        <f>IF($N$5=1,K86-$N$8,"")</f>
      </c>
    </row>
    <row r="87" spans="1:12" x14ac:dyDescent="0.25">
      <c r="A87" s="34">
        <f>IF(AND($N$5=1,59&lt;=$N$11),"59° ajuste","")</f>
      </c>
      <c r="B87" s="34">
        <f>IF(AND($N$5=1,59&lt;=$N$11),INDEX(IPC!$J$5:$J$16,MOD(J87,12)+1)&amp;" de "&amp;INT((J87)/12),"")</f>
      </c>
      <c r="C87" s="34">
        <f>IF(AND(AND($N$5=1,59&lt;=$N$11),$N$10=1),INDEX(IPC!$J$5:$J$16,MOD(L87,12)+1)&amp;" de "&amp;INT((L87)/12),"")</f>
      </c>
      <c r="D87" s="34">
        <f>IF(AND(AND($N$5=1,59&lt;=$N$11),$N$10=1),INDEX(IPC!$J$5:$J$16,MOD(K87,12)+1)&amp;" de "&amp;INT((K87)/12),"")</f>
      </c>
      <c r="E87" s="35">
        <f>IF(NOT(AND($N$5=1,59&lt;=$N$11)),"",IF($N$10=1,IF(AND($N$14=1,K87&lt;=$N$12),INDEX(IPC!$D$5:$D$173,(K87)-IPC!$J$2+1)/INDEX(IPC!$D$5:$D$173,(L87)-IPC!$J$2+1)-1,""),IF(ISNUMBER(F87),F87/100,"")))</f>
      </c>
      <c r="F87" s="36"/>
      <c r="G87" s="37">
        <f>IF(AND(AND($N$5=1,59&lt;=$N$11),ISNUMBER(G86),ISNUMBER(E87)),G86*(1+E87),"")</f>
      </c>
      <c r="H87" s="34">
        <f>IF(NOT(AND($N$5=1,59&lt;=$N$11)),"",IF(ISNUMBER(G87),"Aplicado",IF(ISNUMBER(G86),IF($N$10=1,"Falta el IPC de "&amp;INDEX(IPC!$J$5:$J$16,MOD($N$12+1,12)+1)&amp;" de "&amp;INT(($N$12+1)/12),"Cargá el % de este ajuste en la columna F"),"")))</f>
      </c>
      <c r="J87">
        <f>IF($N$5=1,$N$7+59*$N$8,"")</f>
      </c>
      <c r="K87">
        <f>IF($N$5=1,J87-1-$N$9,"")</f>
      </c>
      <c r="L87">
        <f>IF($N$5=1,K87-$N$8,"")</f>
      </c>
    </row>
    <row r="88" spans="1:12" x14ac:dyDescent="0.25">
      <c r="A88" s="31">
        <f>IF(AND($N$5=1,60&lt;=$N$11),"60° ajuste","")</f>
      </c>
      <c r="B88" s="31">
        <f>IF(AND($N$5=1,60&lt;=$N$11),INDEX(IPC!$J$5:$J$16,MOD(J88,12)+1)&amp;" de "&amp;INT((J88)/12),"")</f>
      </c>
      <c r="C88" s="31">
        <f>IF(AND(AND($N$5=1,60&lt;=$N$11),$N$10=1),INDEX(IPC!$J$5:$J$16,MOD(L88,12)+1)&amp;" de "&amp;INT((L88)/12),"")</f>
      </c>
      <c r="D88" s="31">
        <f>IF(AND(AND($N$5=1,60&lt;=$N$11),$N$10=1),INDEX(IPC!$J$5:$J$16,MOD(K88,12)+1)&amp;" de "&amp;INT((K88)/12),"")</f>
      </c>
      <c r="E88" s="38">
        <f>IF(NOT(AND($N$5=1,60&lt;=$N$11)),"",IF($N$10=1,IF(AND($N$14=1,K88&lt;=$N$12),INDEX(IPC!$D$5:$D$173,(K88)-IPC!$J$2+1)/INDEX(IPC!$D$5:$D$173,(L88)-IPC!$J$2+1)-1,""),IF(ISNUMBER(F88),F88/100,"")))</f>
      </c>
      <c r="F88" s="36"/>
      <c r="G88" s="33">
        <f>IF(AND(AND($N$5=1,60&lt;=$N$11),ISNUMBER(G87),ISNUMBER(E88)),G87*(1+E88),"")</f>
      </c>
      <c r="H88" s="31">
        <f>IF(NOT(AND($N$5=1,60&lt;=$N$11)),"",IF(ISNUMBER(G88),"Aplicado",IF(ISNUMBER(G87),IF($N$10=1,"Falta el IPC de "&amp;INDEX(IPC!$J$5:$J$16,MOD($N$12+1,12)+1)&amp;" de "&amp;INT(($N$12+1)/12),"Cargá el % de este ajuste en la columna F"),"")))</f>
      </c>
      <c r="J88">
        <f>IF($N$5=1,$N$7+60*$N$8,"")</f>
      </c>
      <c r="K88">
        <f>IF($N$5=1,J88-1-$N$9,"")</f>
      </c>
      <c r="L88">
        <f>IF($N$5=1,K88-$N$8,"")</f>
      </c>
    </row>
    <row r="90" ht="40" customHeight="1" spans="1:8" x14ac:dyDescent="0.25">
      <c r="A90" s="9" t="s">
        <v>75</v>
      </c>
      <c r="B90" s="9"/>
      <c r="C90" s="9"/>
      <c r="D90" s="9"/>
      <c r="E90" s="9"/>
      <c r="F90" s="9"/>
      <c r="G90" s="9"/>
      <c r="H90" s="9"/>
    </row>
  </sheetData>
  <sheetProtection sheet="1" formatColumns="0" formatRows="0"/>
  <mergeCells count="11">
    <mergeCell ref="A1:H1"/>
    <mergeCell ref="A2:H2"/>
    <mergeCell ref="A4:B4"/>
    <mergeCell ref="C8:H8"/>
    <mergeCell ref="C12:H12"/>
    <mergeCell ref="C13:H13"/>
    <mergeCell ref="C14:H14"/>
    <mergeCell ref="A16:B16"/>
    <mergeCell ref="B24:H24"/>
    <mergeCell ref="A26:H26"/>
    <mergeCell ref="A90:H90"/>
  </mergeCells>
  <dataValidations count="8">
    <dataValidation type="whole" showErrorMessage="1" error="La duración va en meses, entre 1 y 60. Un contrato de dos años son 24." sqref="B10">
      <formula1>1</formula1>
      <formula2>60</formula2>
    </dataValidation>
    <dataValidation type="decimal" allowBlank="1" showErrorMessage="1" error="Escribí el alquiler del primer mes, sin puntos ni signo $. Por ejemplo: 500000." sqref="B11">
      <formula1>1</formula1>
      <formula2>10000000000</formula2>
    </dataValidation>
    <dataValidation type="list" showErrorMessage="1" error="Elegí una opción de la lista." sqref="B12">
      <formula1>"IPC (INDEC),Otro índice (cargo el %)"</formula1>
    </dataValidation>
    <dataValidation type="whole" showErrorMessage="1" error="Escribí cada cuántos meses se ajusta: 3, 4, 6 o 12 son los más comunes." sqref="B13">
      <formula1>1</formula1>
      <formula2>12</formula2>
    </dataValidation>
    <dataValidation type="list" showErrorMessage="1" error="Elegí una opción de la lista." sqref="B14">
      <formula1>"Los completos antes del ajuste,Los últimos publicados"</formula1>
    </dataValidation>
    <dataValidation type="list" showErrorMessage="1" error="Elegí un mes de la lista." sqref="B8">
      <formula1>"enero,febrero,marzo,abril,mayo,junio,julio,agosto,septiembre,octubre,noviembre,diciembre"</formula1>
    </dataValidation>
    <dataValidation type="whole" allowBlank="1" showErrorMessage="1" error="Escribí el año con cuatro cifras, entre 2017 y 2040." sqref="B9">
      <formula1>2017</formula1>
      <formula2>2040</formula2>
    </dataValidation>
    <dataValidation type="decimal" allowBlank="1" showErrorMessage="1" error="Cargá el % del ajuste como número: por ejemplo 9,32 para 9,32%." sqref="F29:F88">
      <formula1>-90</formula1>
      <formula2>500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N9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22" customWidth="1"/>
    <col min="5" max="5" width="13" customWidth="1"/>
    <col min="6" max="6" width="14" customWidth="1"/>
    <col min="7" max="7" width="18" customWidth="1"/>
    <col min="8" max="8" width="46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</cols>
  <sheetData>
    <row r="1" ht="28" customHeight="1" spans="1:8" x14ac:dyDescent="0.25">
      <c r="A1" s="10" t="s">
        <v>34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76</v>
      </c>
      <c r="B2" s="11"/>
      <c r="C2" s="11"/>
      <c r="D2" s="11"/>
      <c r="E2" s="11"/>
      <c r="F2" s="11"/>
      <c r="G2" s="11"/>
      <c r="H2" s="11"/>
    </row>
    <row r="4" spans="1:2" x14ac:dyDescent="0.25">
      <c r="A4" s="4" t="s">
        <v>41</v>
      </c>
      <c r="B4" s="4"/>
    </row>
    <row r="5" spans="1:14" x14ac:dyDescent="0.25">
      <c r="A5" s="19" t="s">
        <v>42</v>
      </c>
      <c r="B5" s="20"/>
      <c r="N5">
        <f>IF(AND(N6&gt;0,ISNUMBER(B9),ISNUMBER(B11),B11&gt;0,ISNUMBER(B13),B13&gt;=1,ISNUMBER(B10),B10&gt;=1),1,0)</f>
      </c>
    </row>
    <row r="6" spans="1:14" x14ac:dyDescent="0.25">
      <c r="A6" s="19" t="s">
        <v>27</v>
      </c>
      <c r="B6" s="20"/>
      <c r="N6">
        <f>IFERROR(MATCH(B8,IPC!$J$5:$J$16,0),0)</f>
      </c>
    </row>
    <row r="7" spans="1:14" x14ac:dyDescent="0.25">
      <c r="A7" s="19" t="s">
        <v>45</v>
      </c>
      <c r="B7" s="20"/>
      <c r="N7">
        <f>IF(N5=1,B9*12+N6-1,0)</f>
      </c>
    </row>
    <row r="8" spans="1:14" x14ac:dyDescent="0.25">
      <c r="A8" s="19" t="s">
        <v>46</v>
      </c>
      <c r="B8" s="20"/>
      <c r="C8" s="21" t="s">
        <v>48</v>
      </c>
      <c r="D8" s="21"/>
      <c r="E8" s="21"/>
      <c r="F8" s="21"/>
      <c r="G8" s="21"/>
      <c r="H8" s="21"/>
      <c r="N8">
        <f>IF(N5=1,INT(B13),1)</f>
      </c>
    </row>
    <row r="9" spans="1:14" x14ac:dyDescent="0.25">
      <c r="A9" s="19" t="s">
        <v>49</v>
      </c>
      <c r="B9" s="22"/>
      <c r="N9">
        <f>IF(B14="Los últimos publicados",1,0)</f>
      </c>
    </row>
    <row r="10" spans="1:14" x14ac:dyDescent="0.25">
      <c r="A10" s="19" t="s">
        <v>50</v>
      </c>
      <c r="B10" s="22">
        <v>24</v>
      </c>
      <c r="N10">
        <f>IF(B12="Otro índice (cargo el %)",0,1)</f>
      </c>
    </row>
    <row r="11" spans="1:14" x14ac:dyDescent="0.25">
      <c r="A11" s="19" t="s">
        <v>51</v>
      </c>
      <c r="B11" s="23"/>
      <c r="N11">
        <f>IF(N5=1,MIN(INT((B10-1)/N8),60),0)</f>
      </c>
    </row>
    <row r="12" ht="30" customHeight="1" spans="1:14" x14ac:dyDescent="0.25">
      <c r="A12" s="19" t="s">
        <v>52</v>
      </c>
      <c r="B12" s="20" t="s">
        <v>53</v>
      </c>
      <c r="C12" s="21" t="s">
        <v>54</v>
      </c>
      <c r="D12" s="21"/>
      <c r="E12" s="21"/>
      <c r="F12" s="21"/>
      <c r="G12" s="21"/>
      <c r="H12" s="21"/>
      <c r="N12">
        <f>IPC!$J$3</f>
      </c>
    </row>
    <row r="13" spans="1:14" x14ac:dyDescent="0.25">
      <c r="A13" s="19" t="s">
        <v>55</v>
      </c>
      <c r="B13" s="22">
        <v>3</v>
      </c>
      <c r="C13" s="21" t="s">
        <v>56</v>
      </c>
      <c r="D13" s="21"/>
      <c r="E13" s="21"/>
      <c r="F13" s="21"/>
      <c r="G13" s="21"/>
      <c r="H13" s="21"/>
      <c r="N13">
        <f>IPC!$J$2</f>
      </c>
    </row>
    <row r="14" ht="42" customHeight="1" spans="1:14" x14ac:dyDescent="0.25">
      <c r="A14" s="19" t="s">
        <v>57</v>
      </c>
      <c r="B14" s="20" t="s">
        <v>58</v>
      </c>
      <c r="C14" s="21" t="s">
        <v>59</v>
      </c>
      <c r="D14" s="21"/>
      <c r="E14" s="21"/>
      <c r="F14" s="21"/>
      <c r="G14" s="21"/>
      <c r="H14" s="21"/>
      <c r="N14">
        <f>IF(N5=0,0,IF(N10=0,1,IF(AND(N7-1-N9&gt;=N13,N7-1-N9&lt;=N12),1,0)))</f>
      </c>
    </row>
    <row r="15" ht="6" customHeight="1" spans="14:14" x14ac:dyDescent="0.25">
      <c r="N15">
        <f>COUNT(G29:G88)</f>
      </c>
    </row>
    <row r="16" spans="1:14" x14ac:dyDescent="0.25">
      <c r="A16" s="4" t="s">
        <v>60</v>
      </c>
      <c r="B16" s="4"/>
      <c r="N16">
        <f>IF(N5=1,INDEX(G28:G88,N15+1),"")</f>
      </c>
    </row>
    <row r="17" spans="1:14" x14ac:dyDescent="0.25">
      <c r="A17" s="19" t="s">
        <v>61</v>
      </c>
      <c r="B17" s="24">
        <f>N16</f>
      </c>
      <c r="N17">
        <f>N15+1</f>
      </c>
    </row>
    <row r="18" spans="1:14" x14ac:dyDescent="0.25">
      <c r="A18" s="19" t="s">
        <v>29</v>
      </c>
      <c r="B18" s="25">
        <f>IF(N5=1,INDEX(B28:B88,N15+1),"")</f>
      </c>
      <c r="N18">
        <f>IF(AND(N5=1,N17&lt;=N11),1,0)</f>
      </c>
    </row>
    <row r="19" spans="1:14" x14ac:dyDescent="0.25">
      <c r="A19" s="19" t="s">
        <v>62</v>
      </c>
      <c r="B19" s="26">
        <f>IF(N5=1,N15,"")</f>
      </c>
      <c r="N19">
        <f>N7+N17*N8-1-N9</f>
      </c>
    </row>
    <row r="20" spans="1:14" x14ac:dyDescent="0.25">
      <c r="A20" s="19" t="s">
        <v>63</v>
      </c>
      <c r="B20" s="27">
        <f>IF(N5=1,N16/B11-1,"")</f>
      </c>
      <c r="N20">
        <f>N19-N12</f>
      </c>
    </row>
    <row r="21" spans="1:14" x14ac:dyDescent="0.25">
      <c r="A21" s="19" t="s">
        <v>30</v>
      </c>
      <c r="B21" s="25">
        <f>IF(N18=1,INDEX(B28:B88,N17+1),IF(N5=1,"No quedan ajustes antes de que termine",""))</f>
      </c>
      <c r="N21">
        <f>INDEX(IPC!$D$5:$D$173,(N12)-IPC!$J$2+1)/INDEX(IPC!$D$5:$D$173,(N12-1)-IPC!$J$2+1)-1</f>
      </c>
    </row>
    <row r="22" spans="1:14" x14ac:dyDescent="0.25">
      <c r="A22" s="19" t="s">
        <v>64</v>
      </c>
      <c r="B22" s="28">
        <f>N22</f>
      </c>
      <c r="N22">
        <f>IF(AND(N18=1,N10=1,N14=1,N20&gt;0,N20&lt;=12),N16*INDEX(IPC!$D$5:$D$173,(N12)-IPC!$J$2+1)*(1+N21)^N20/INDEX(IPC!$D$5:$D$173,(N19-N8)-IPC!$J$2+1),"")</f>
      </c>
    </row>
    <row r="23" spans="1:14" x14ac:dyDescent="0.25">
      <c r="A23" s="19" t="s">
        <v>65</v>
      </c>
      <c r="B23" s="25">
        <f>IF(N5=1,INDEX(IPC!$J$5:$J$16,MOD(N7+B10-1,12)+1)&amp;" de "&amp;INT((N7+B10-1)/12),"")</f>
      </c>
      <c r="N23">
        <f>IF(ISNUMBER(N22),ROUND(N22,0),"")</f>
      </c>
    </row>
    <row r="24" ht="46" customHeight="1" spans="1:14" x14ac:dyDescent="0.25">
      <c r="A24" s="19" t="s">
        <v>66</v>
      </c>
      <c r="B24" s="29">
        <f>IF(N5=0,"Completá las celdas amarillas de arriba y acá aparece el cronograma de aumentos.",IF(N14=0,"Todavía no está publicado el IPC de "&amp;INDEX(IPC!$J$5:$J$16,MOD(N7-1-N9,12)+1)&amp;" de "&amp;INT((N7-1-N9)/12)&amp;", que es la base de este contrato. Mientras tanto se cobra el valor inicial.",IF(N18=0,"No quedan ajustes: el contrato termina en "&amp;INDEX(IPC!$J$5:$J$16,MOD(N7+B10-1,12)+1)&amp;" de "&amp;INT((N7+B10-1)/12)&amp;".",IF(N10=1,"El próximo ajuste rige desde "&amp;B21&amp;". Se calcula cuando el INDEC publique el IPC de "&amp;INDEX(IPC!$J$5:$J$16,MOD(N19,12)+1)&amp;" de "&amp;INT((N19)/12)&amp;" (sale entre el 10 y el 15 del mes siguiente)"&amp;IF(ISNUMBER(N22),". Si la inflación siguiera como el último mes, el alquiler quedaría en unos $ "&amp;N24&amp;".","."),"El próximo ajuste rige desde "&amp;B21&amp;": cuando lo tengas, cargá el % del índice pactado en la columna F del cronograma."))))</f>
      </c>
      <c r="C24" s="29"/>
      <c r="D24" s="29"/>
      <c r="E24" s="29"/>
      <c r="F24" s="29"/>
      <c r="G24" s="29"/>
      <c r="H24" s="29"/>
      <c r="N24">
        <f>IF(ISNUMBER(N23),IF(N23&gt;=1000000000,INT(N23/1000000000)&amp;"."&amp;RIGHT("00"&amp;INT(MOD(N23,1000000000)/1000000),3)&amp;"."&amp;RIGHT("00"&amp;INT(MOD(N23,1000000)/1000),3)&amp;"."&amp;RIGHT("00"&amp;INT(MOD(N23,1000)/1),3),IF(N23&gt;=1000000,INT(N23/1000000)&amp;"."&amp;RIGHT("00"&amp;INT(MOD(N23,1000000)/1000),3)&amp;"."&amp;RIGHT("00"&amp;INT(MOD(N23,1000)/1),3),IF(N23&gt;=1000,INT(N23/1000)&amp;"."&amp;RIGHT("00"&amp;INT(MOD(N23,1000)/1),3),""&amp;N23))),"")</f>
      </c>
    </row>
    <row r="26" spans="1:8" x14ac:dyDescent="0.25">
      <c r="A26" s="4" t="s">
        <v>67</v>
      </c>
      <c r="B26" s="4"/>
      <c r="C26" s="4"/>
      <c r="D26" s="4"/>
      <c r="E26" s="4"/>
      <c r="F26" s="4"/>
      <c r="G26" s="4"/>
      <c r="H26" s="4"/>
    </row>
    <row r="27" ht="30" customHeight="1" spans="1:8" x14ac:dyDescent="0.25">
      <c r="A27" s="30" t="s">
        <v>68</v>
      </c>
      <c r="B27" s="30" t="s">
        <v>29</v>
      </c>
      <c r="C27" s="30" t="s">
        <v>69</v>
      </c>
      <c r="D27" s="30" t="s">
        <v>70</v>
      </c>
      <c r="E27" s="30" t="s">
        <v>71</v>
      </c>
      <c r="F27" s="30" t="s">
        <v>72</v>
      </c>
      <c r="G27" s="30" t="s">
        <v>73</v>
      </c>
      <c r="H27" s="30" t="s">
        <v>74</v>
      </c>
    </row>
    <row r="28" spans="1:12" x14ac:dyDescent="0.25">
      <c r="A28" s="31">
        <f>IF($N$5=1,"Valor inicial","")</f>
      </c>
      <c r="B28" s="31">
        <f>IF($N$5=1,INDEX(IPC!$J$5:$J$16,MOD(J28,12)+1)&amp;" de "&amp;INT((J28)/12),"")</f>
      </c>
      <c r="C28" s="31"/>
      <c r="D28" s="31"/>
      <c r="E28" s="31"/>
      <c r="F28" s="32"/>
      <c r="G28" s="33">
        <f>IF($N$5=1,B11,"")</f>
      </c>
      <c r="H28" s="31">
        <f>IF($N$5=1,"Valor inicial del contrato","")</f>
      </c>
      <c r="J28">
        <f>IF($N$5=1,$N$7+0*$N$8,"")</f>
      </c>
      <c r="K28">
        <f>IF($N$5=1,J28-1-$N$9,"")</f>
      </c>
      <c r="L28">
        <f>IF($N$5=1,K28-$N$8,"")</f>
      </c>
    </row>
    <row r="29" spans="1:12" x14ac:dyDescent="0.25">
      <c r="A29" s="34">
        <f>IF(AND($N$5=1,1&lt;=$N$11),"1° ajuste","")</f>
      </c>
      <c r="B29" s="34">
        <f>IF(AND($N$5=1,1&lt;=$N$11),INDEX(IPC!$J$5:$J$16,MOD(J29,12)+1)&amp;" de "&amp;INT((J29)/12),"")</f>
      </c>
      <c r="C29" s="34">
        <f>IF(AND(AND($N$5=1,1&lt;=$N$11),$N$10=1),INDEX(IPC!$J$5:$J$16,MOD(L29,12)+1)&amp;" de "&amp;INT((L29)/12),"")</f>
      </c>
      <c r="D29" s="34">
        <f>IF(AND(AND($N$5=1,1&lt;=$N$11),$N$10=1),INDEX(IPC!$J$5:$J$16,MOD(K29,12)+1)&amp;" de "&amp;INT((K29)/12),"")</f>
      </c>
      <c r="E29" s="35">
        <f>IF(NOT(AND($N$5=1,1&lt;=$N$11)),"",IF($N$10=1,IF(AND($N$14=1,K29&lt;=$N$12),INDEX(IPC!$D$5:$D$173,(K29)-IPC!$J$2+1)/INDEX(IPC!$D$5:$D$173,(L29)-IPC!$J$2+1)-1,""),IF(ISNUMBER(F29),F29/100,"")))</f>
      </c>
      <c r="F29" s="36"/>
      <c r="G29" s="37">
        <f>IF(AND(AND($N$5=1,1&lt;=$N$11),ISNUMBER(G28),ISNUMBER(E29)),G28*(1+E29),"")</f>
      </c>
      <c r="H29" s="34">
        <f>IF(NOT(AND($N$5=1,1&lt;=$N$11)),"",IF(ISNUMBER(G29),"Aplicado",IF(ISNUMBER(G28),IF($N$10=1,"Falta el IPC de "&amp;INDEX(IPC!$J$5:$J$16,MOD($N$12+1,12)+1)&amp;" de "&amp;INT(($N$12+1)/12),"Cargá el % de este ajuste en la columna F"),"")))</f>
      </c>
      <c r="J29">
        <f>IF($N$5=1,$N$7+1*$N$8,"")</f>
      </c>
      <c r="K29">
        <f>IF($N$5=1,J29-1-$N$9,"")</f>
      </c>
      <c r="L29">
        <f>IF($N$5=1,K29-$N$8,"")</f>
      </c>
    </row>
    <row r="30" spans="1:12" x14ac:dyDescent="0.25">
      <c r="A30" s="31">
        <f>IF(AND($N$5=1,2&lt;=$N$11),"2° ajuste","")</f>
      </c>
      <c r="B30" s="31">
        <f>IF(AND($N$5=1,2&lt;=$N$11),INDEX(IPC!$J$5:$J$16,MOD(J30,12)+1)&amp;" de "&amp;INT((J30)/12),"")</f>
      </c>
      <c r="C30" s="31">
        <f>IF(AND(AND($N$5=1,2&lt;=$N$11),$N$10=1),INDEX(IPC!$J$5:$J$16,MOD(L30,12)+1)&amp;" de "&amp;INT((L30)/12),"")</f>
      </c>
      <c r="D30" s="31">
        <f>IF(AND(AND($N$5=1,2&lt;=$N$11),$N$10=1),INDEX(IPC!$J$5:$J$16,MOD(K30,12)+1)&amp;" de "&amp;INT((K30)/12),"")</f>
      </c>
      <c r="E30" s="38">
        <f>IF(NOT(AND($N$5=1,2&lt;=$N$11)),"",IF($N$10=1,IF(AND($N$14=1,K30&lt;=$N$12),INDEX(IPC!$D$5:$D$173,(K30)-IPC!$J$2+1)/INDEX(IPC!$D$5:$D$173,(L30)-IPC!$J$2+1)-1,""),IF(ISNUMBER(F30),F30/100,"")))</f>
      </c>
      <c r="F30" s="36"/>
      <c r="G30" s="33">
        <f>IF(AND(AND($N$5=1,2&lt;=$N$11),ISNUMBER(G29),ISNUMBER(E30)),G29*(1+E30),"")</f>
      </c>
      <c r="H30" s="31">
        <f>IF(NOT(AND($N$5=1,2&lt;=$N$11)),"",IF(ISNUMBER(G30),"Aplicado",IF(ISNUMBER(G29),IF($N$10=1,"Falta el IPC de "&amp;INDEX(IPC!$J$5:$J$16,MOD($N$12+1,12)+1)&amp;" de "&amp;INT(($N$12+1)/12),"Cargá el % de este ajuste en la columna F"),"")))</f>
      </c>
      <c r="J30">
        <f>IF($N$5=1,$N$7+2*$N$8,"")</f>
      </c>
      <c r="K30">
        <f>IF($N$5=1,J30-1-$N$9,"")</f>
      </c>
      <c r="L30">
        <f>IF($N$5=1,K30-$N$8,"")</f>
      </c>
    </row>
    <row r="31" spans="1:12" x14ac:dyDescent="0.25">
      <c r="A31" s="34">
        <f>IF(AND($N$5=1,3&lt;=$N$11),"3° ajuste","")</f>
      </c>
      <c r="B31" s="34">
        <f>IF(AND($N$5=1,3&lt;=$N$11),INDEX(IPC!$J$5:$J$16,MOD(J31,12)+1)&amp;" de "&amp;INT((J31)/12),"")</f>
      </c>
      <c r="C31" s="34">
        <f>IF(AND(AND($N$5=1,3&lt;=$N$11),$N$10=1),INDEX(IPC!$J$5:$J$16,MOD(L31,12)+1)&amp;" de "&amp;INT((L31)/12),"")</f>
      </c>
      <c r="D31" s="34">
        <f>IF(AND(AND($N$5=1,3&lt;=$N$11),$N$10=1),INDEX(IPC!$J$5:$J$16,MOD(K31,12)+1)&amp;" de "&amp;INT((K31)/12),"")</f>
      </c>
      <c r="E31" s="35">
        <f>IF(NOT(AND($N$5=1,3&lt;=$N$11)),"",IF($N$10=1,IF(AND($N$14=1,K31&lt;=$N$12),INDEX(IPC!$D$5:$D$173,(K31)-IPC!$J$2+1)/INDEX(IPC!$D$5:$D$173,(L31)-IPC!$J$2+1)-1,""),IF(ISNUMBER(F31),F31/100,"")))</f>
      </c>
      <c r="F31" s="36"/>
      <c r="G31" s="37">
        <f>IF(AND(AND($N$5=1,3&lt;=$N$11),ISNUMBER(G30),ISNUMBER(E31)),G30*(1+E31),"")</f>
      </c>
      <c r="H31" s="34">
        <f>IF(NOT(AND($N$5=1,3&lt;=$N$11)),"",IF(ISNUMBER(G31),"Aplicado",IF(ISNUMBER(G30),IF($N$10=1,"Falta el IPC de "&amp;INDEX(IPC!$J$5:$J$16,MOD($N$12+1,12)+1)&amp;" de "&amp;INT(($N$12+1)/12),"Cargá el % de este ajuste en la columna F"),"")))</f>
      </c>
      <c r="J31">
        <f>IF($N$5=1,$N$7+3*$N$8,"")</f>
      </c>
      <c r="K31">
        <f>IF($N$5=1,J31-1-$N$9,"")</f>
      </c>
      <c r="L31">
        <f>IF($N$5=1,K31-$N$8,"")</f>
      </c>
    </row>
    <row r="32" spans="1:12" x14ac:dyDescent="0.25">
      <c r="A32" s="31">
        <f>IF(AND($N$5=1,4&lt;=$N$11),"4° ajuste","")</f>
      </c>
      <c r="B32" s="31">
        <f>IF(AND($N$5=1,4&lt;=$N$11),INDEX(IPC!$J$5:$J$16,MOD(J32,12)+1)&amp;" de "&amp;INT((J32)/12),"")</f>
      </c>
      <c r="C32" s="31">
        <f>IF(AND(AND($N$5=1,4&lt;=$N$11),$N$10=1),INDEX(IPC!$J$5:$J$16,MOD(L32,12)+1)&amp;" de "&amp;INT((L32)/12),"")</f>
      </c>
      <c r="D32" s="31">
        <f>IF(AND(AND($N$5=1,4&lt;=$N$11),$N$10=1),INDEX(IPC!$J$5:$J$16,MOD(K32,12)+1)&amp;" de "&amp;INT((K32)/12),"")</f>
      </c>
      <c r="E32" s="38">
        <f>IF(NOT(AND($N$5=1,4&lt;=$N$11)),"",IF($N$10=1,IF(AND($N$14=1,K32&lt;=$N$12),INDEX(IPC!$D$5:$D$173,(K32)-IPC!$J$2+1)/INDEX(IPC!$D$5:$D$173,(L32)-IPC!$J$2+1)-1,""),IF(ISNUMBER(F32),F32/100,"")))</f>
      </c>
      <c r="F32" s="36"/>
      <c r="G32" s="33">
        <f>IF(AND(AND($N$5=1,4&lt;=$N$11),ISNUMBER(G31),ISNUMBER(E32)),G31*(1+E32),"")</f>
      </c>
      <c r="H32" s="31">
        <f>IF(NOT(AND($N$5=1,4&lt;=$N$11)),"",IF(ISNUMBER(G32),"Aplicado",IF(ISNUMBER(G31),IF($N$10=1,"Falta el IPC de "&amp;INDEX(IPC!$J$5:$J$16,MOD($N$12+1,12)+1)&amp;" de "&amp;INT(($N$12+1)/12),"Cargá el % de este ajuste en la columna F"),"")))</f>
      </c>
      <c r="J32">
        <f>IF($N$5=1,$N$7+4*$N$8,"")</f>
      </c>
      <c r="K32">
        <f>IF($N$5=1,J32-1-$N$9,"")</f>
      </c>
      <c r="L32">
        <f>IF($N$5=1,K32-$N$8,"")</f>
      </c>
    </row>
    <row r="33" spans="1:12" x14ac:dyDescent="0.25">
      <c r="A33" s="34">
        <f>IF(AND($N$5=1,5&lt;=$N$11),"5° ajuste","")</f>
      </c>
      <c r="B33" s="34">
        <f>IF(AND($N$5=1,5&lt;=$N$11),INDEX(IPC!$J$5:$J$16,MOD(J33,12)+1)&amp;" de "&amp;INT((J33)/12),"")</f>
      </c>
      <c r="C33" s="34">
        <f>IF(AND(AND($N$5=1,5&lt;=$N$11),$N$10=1),INDEX(IPC!$J$5:$J$16,MOD(L33,12)+1)&amp;" de "&amp;INT((L33)/12),"")</f>
      </c>
      <c r="D33" s="34">
        <f>IF(AND(AND($N$5=1,5&lt;=$N$11),$N$10=1),INDEX(IPC!$J$5:$J$16,MOD(K33,12)+1)&amp;" de "&amp;INT((K33)/12),"")</f>
      </c>
      <c r="E33" s="35">
        <f>IF(NOT(AND($N$5=1,5&lt;=$N$11)),"",IF($N$10=1,IF(AND($N$14=1,K33&lt;=$N$12),INDEX(IPC!$D$5:$D$173,(K33)-IPC!$J$2+1)/INDEX(IPC!$D$5:$D$173,(L33)-IPC!$J$2+1)-1,""),IF(ISNUMBER(F33),F33/100,"")))</f>
      </c>
      <c r="F33" s="36"/>
      <c r="G33" s="37">
        <f>IF(AND(AND($N$5=1,5&lt;=$N$11),ISNUMBER(G32),ISNUMBER(E33)),G32*(1+E33),"")</f>
      </c>
      <c r="H33" s="34">
        <f>IF(NOT(AND($N$5=1,5&lt;=$N$11)),"",IF(ISNUMBER(G33),"Aplicado",IF(ISNUMBER(G32),IF($N$10=1,"Falta el IPC de "&amp;INDEX(IPC!$J$5:$J$16,MOD($N$12+1,12)+1)&amp;" de "&amp;INT(($N$12+1)/12),"Cargá el % de este ajuste en la columna F"),"")))</f>
      </c>
      <c r="J33">
        <f>IF($N$5=1,$N$7+5*$N$8,"")</f>
      </c>
      <c r="K33">
        <f>IF($N$5=1,J33-1-$N$9,"")</f>
      </c>
      <c r="L33">
        <f>IF($N$5=1,K33-$N$8,"")</f>
      </c>
    </row>
    <row r="34" spans="1:12" x14ac:dyDescent="0.25">
      <c r="A34" s="31">
        <f>IF(AND($N$5=1,6&lt;=$N$11),"6° ajuste","")</f>
      </c>
      <c r="B34" s="31">
        <f>IF(AND($N$5=1,6&lt;=$N$11),INDEX(IPC!$J$5:$J$16,MOD(J34,12)+1)&amp;" de "&amp;INT((J34)/12),"")</f>
      </c>
      <c r="C34" s="31">
        <f>IF(AND(AND($N$5=1,6&lt;=$N$11),$N$10=1),INDEX(IPC!$J$5:$J$16,MOD(L34,12)+1)&amp;" de "&amp;INT((L34)/12),"")</f>
      </c>
      <c r="D34" s="31">
        <f>IF(AND(AND($N$5=1,6&lt;=$N$11),$N$10=1),INDEX(IPC!$J$5:$J$16,MOD(K34,12)+1)&amp;" de "&amp;INT((K34)/12),"")</f>
      </c>
      <c r="E34" s="38">
        <f>IF(NOT(AND($N$5=1,6&lt;=$N$11)),"",IF($N$10=1,IF(AND($N$14=1,K34&lt;=$N$12),INDEX(IPC!$D$5:$D$173,(K34)-IPC!$J$2+1)/INDEX(IPC!$D$5:$D$173,(L34)-IPC!$J$2+1)-1,""),IF(ISNUMBER(F34),F34/100,"")))</f>
      </c>
      <c r="F34" s="36"/>
      <c r="G34" s="33">
        <f>IF(AND(AND($N$5=1,6&lt;=$N$11),ISNUMBER(G33),ISNUMBER(E34)),G33*(1+E34),"")</f>
      </c>
      <c r="H34" s="31">
        <f>IF(NOT(AND($N$5=1,6&lt;=$N$11)),"",IF(ISNUMBER(G34),"Aplicado",IF(ISNUMBER(G33),IF($N$10=1,"Falta el IPC de "&amp;INDEX(IPC!$J$5:$J$16,MOD($N$12+1,12)+1)&amp;" de "&amp;INT(($N$12+1)/12),"Cargá el % de este ajuste en la columna F"),"")))</f>
      </c>
      <c r="J34">
        <f>IF($N$5=1,$N$7+6*$N$8,"")</f>
      </c>
      <c r="K34">
        <f>IF($N$5=1,J34-1-$N$9,"")</f>
      </c>
      <c r="L34">
        <f>IF($N$5=1,K34-$N$8,"")</f>
      </c>
    </row>
    <row r="35" spans="1:12" x14ac:dyDescent="0.25">
      <c r="A35" s="34">
        <f>IF(AND($N$5=1,7&lt;=$N$11),"7° ajuste","")</f>
      </c>
      <c r="B35" s="34">
        <f>IF(AND($N$5=1,7&lt;=$N$11),INDEX(IPC!$J$5:$J$16,MOD(J35,12)+1)&amp;" de "&amp;INT((J35)/12),"")</f>
      </c>
      <c r="C35" s="34">
        <f>IF(AND(AND($N$5=1,7&lt;=$N$11),$N$10=1),INDEX(IPC!$J$5:$J$16,MOD(L35,12)+1)&amp;" de "&amp;INT((L35)/12),"")</f>
      </c>
      <c r="D35" s="34">
        <f>IF(AND(AND($N$5=1,7&lt;=$N$11),$N$10=1),INDEX(IPC!$J$5:$J$16,MOD(K35,12)+1)&amp;" de "&amp;INT((K35)/12),"")</f>
      </c>
      <c r="E35" s="35">
        <f>IF(NOT(AND($N$5=1,7&lt;=$N$11)),"",IF($N$10=1,IF(AND($N$14=1,K35&lt;=$N$12),INDEX(IPC!$D$5:$D$173,(K35)-IPC!$J$2+1)/INDEX(IPC!$D$5:$D$173,(L35)-IPC!$J$2+1)-1,""),IF(ISNUMBER(F35),F35/100,"")))</f>
      </c>
      <c r="F35" s="36"/>
      <c r="G35" s="37">
        <f>IF(AND(AND($N$5=1,7&lt;=$N$11),ISNUMBER(G34),ISNUMBER(E35)),G34*(1+E35),"")</f>
      </c>
      <c r="H35" s="34">
        <f>IF(NOT(AND($N$5=1,7&lt;=$N$11)),"",IF(ISNUMBER(G35),"Aplicado",IF(ISNUMBER(G34),IF($N$10=1,"Falta el IPC de "&amp;INDEX(IPC!$J$5:$J$16,MOD($N$12+1,12)+1)&amp;" de "&amp;INT(($N$12+1)/12),"Cargá el % de este ajuste en la columna F"),"")))</f>
      </c>
      <c r="J35">
        <f>IF($N$5=1,$N$7+7*$N$8,"")</f>
      </c>
      <c r="K35">
        <f>IF($N$5=1,J35-1-$N$9,"")</f>
      </c>
      <c r="L35">
        <f>IF($N$5=1,K35-$N$8,"")</f>
      </c>
    </row>
    <row r="36" spans="1:12" x14ac:dyDescent="0.25">
      <c r="A36" s="31">
        <f>IF(AND($N$5=1,8&lt;=$N$11),"8° ajuste","")</f>
      </c>
      <c r="B36" s="31">
        <f>IF(AND($N$5=1,8&lt;=$N$11),INDEX(IPC!$J$5:$J$16,MOD(J36,12)+1)&amp;" de "&amp;INT((J36)/12),"")</f>
      </c>
      <c r="C36" s="31">
        <f>IF(AND(AND($N$5=1,8&lt;=$N$11),$N$10=1),INDEX(IPC!$J$5:$J$16,MOD(L36,12)+1)&amp;" de "&amp;INT((L36)/12),"")</f>
      </c>
      <c r="D36" s="31">
        <f>IF(AND(AND($N$5=1,8&lt;=$N$11),$N$10=1),INDEX(IPC!$J$5:$J$16,MOD(K36,12)+1)&amp;" de "&amp;INT((K36)/12),"")</f>
      </c>
      <c r="E36" s="38">
        <f>IF(NOT(AND($N$5=1,8&lt;=$N$11)),"",IF($N$10=1,IF(AND($N$14=1,K36&lt;=$N$12),INDEX(IPC!$D$5:$D$173,(K36)-IPC!$J$2+1)/INDEX(IPC!$D$5:$D$173,(L36)-IPC!$J$2+1)-1,""),IF(ISNUMBER(F36),F36/100,"")))</f>
      </c>
      <c r="F36" s="36"/>
      <c r="G36" s="33">
        <f>IF(AND(AND($N$5=1,8&lt;=$N$11),ISNUMBER(G35),ISNUMBER(E36)),G35*(1+E36),"")</f>
      </c>
      <c r="H36" s="31">
        <f>IF(NOT(AND($N$5=1,8&lt;=$N$11)),"",IF(ISNUMBER(G36),"Aplicado",IF(ISNUMBER(G35),IF($N$10=1,"Falta el IPC de "&amp;INDEX(IPC!$J$5:$J$16,MOD($N$12+1,12)+1)&amp;" de "&amp;INT(($N$12+1)/12),"Cargá el % de este ajuste en la columna F"),"")))</f>
      </c>
      <c r="J36">
        <f>IF($N$5=1,$N$7+8*$N$8,"")</f>
      </c>
      <c r="K36">
        <f>IF($N$5=1,J36-1-$N$9,"")</f>
      </c>
      <c r="L36">
        <f>IF($N$5=1,K36-$N$8,"")</f>
      </c>
    </row>
    <row r="37" spans="1:12" x14ac:dyDescent="0.25">
      <c r="A37" s="34">
        <f>IF(AND($N$5=1,9&lt;=$N$11),"9° ajuste","")</f>
      </c>
      <c r="B37" s="34">
        <f>IF(AND($N$5=1,9&lt;=$N$11),INDEX(IPC!$J$5:$J$16,MOD(J37,12)+1)&amp;" de "&amp;INT((J37)/12),"")</f>
      </c>
      <c r="C37" s="34">
        <f>IF(AND(AND($N$5=1,9&lt;=$N$11),$N$10=1),INDEX(IPC!$J$5:$J$16,MOD(L37,12)+1)&amp;" de "&amp;INT((L37)/12),"")</f>
      </c>
      <c r="D37" s="34">
        <f>IF(AND(AND($N$5=1,9&lt;=$N$11),$N$10=1),INDEX(IPC!$J$5:$J$16,MOD(K37,12)+1)&amp;" de "&amp;INT((K37)/12),"")</f>
      </c>
      <c r="E37" s="35">
        <f>IF(NOT(AND($N$5=1,9&lt;=$N$11)),"",IF($N$10=1,IF(AND($N$14=1,K37&lt;=$N$12),INDEX(IPC!$D$5:$D$173,(K37)-IPC!$J$2+1)/INDEX(IPC!$D$5:$D$173,(L37)-IPC!$J$2+1)-1,""),IF(ISNUMBER(F37),F37/100,"")))</f>
      </c>
      <c r="F37" s="36"/>
      <c r="G37" s="37">
        <f>IF(AND(AND($N$5=1,9&lt;=$N$11),ISNUMBER(G36),ISNUMBER(E37)),G36*(1+E37),"")</f>
      </c>
      <c r="H37" s="34">
        <f>IF(NOT(AND($N$5=1,9&lt;=$N$11)),"",IF(ISNUMBER(G37),"Aplicado",IF(ISNUMBER(G36),IF($N$10=1,"Falta el IPC de "&amp;INDEX(IPC!$J$5:$J$16,MOD($N$12+1,12)+1)&amp;" de "&amp;INT(($N$12+1)/12),"Cargá el % de este ajuste en la columna F"),"")))</f>
      </c>
      <c r="J37">
        <f>IF($N$5=1,$N$7+9*$N$8,"")</f>
      </c>
      <c r="K37">
        <f>IF($N$5=1,J37-1-$N$9,"")</f>
      </c>
      <c r="L37">
        <f>IF($N$5=1,K37-$N$8,"")</f>
      </c>
    </row>
    <row r="38" spans="1:12" x14ac:dyDescent="0.25">
      <c r="A38" s="31">
        <f>IF(AND($N$5=1,10&lt;=$N$11),"10° ajuste","")</f>
      </c>
      <c r="B38" s="31">
        <f>IF(AND($N$5=1,10&lt;=$N$11),INDEX(IPC!$J$5:$J$16,MOD(J38,12)+1)&amp;" de "&amp;INT((J38)/12),"")</f>
      </c>
      <c r="C38" s="31">
        <f>IF(AND(AND($N$5=1,10&lt;=$N$11),$N$10=1),INDEX(IPC!$J$5:$J$16,MOD(L38,12)+1)&amp;" de "&amp;INT((L38)/12),"")</f>
      </c>
      <c r="D38" s="31">
        <f>IF(AND(AND($N$5=1,10&lt;=$N$11),$N$10=1),INDEX(IPC!$J$5:$J$16,MOD(K38,12)+1)&amp;" de "&amp;INT((K38)/12),"")</f>
      </c>
      <c r="E38" s="38">
        <f>IF(NOT(AND($N$5=1,10&lt;=$N$11)),"",IF($N$10=1,IF(AND($N$14=1,K38&lt;=$N$12),INDEX(IPC!$D$5:$D$173,(K38)-IPC!$J$2+1)/INDEX(IPC!$D$5:$D$173,(L38)-IPC!$J$2+1)-1,""),IF(ISNUMBER(F38),F38/100,"")))</f>
      </c>
      <c r="F38" s="36"/>
      <c r="G38" s="33">
        <f>IF(AND(AND($N$5=1,10&lt;=$N$11),ISNUMBER(G37),ISNUMBER(E38)),G37*(1+E38),"")</f>
      </c>
      <c r="H38" s="31">
        <f>IF(NOT(AND($N$5=1,10&lt;=$N$11)),"",IF(ISNUMBER(G38),"Aplicado",IF(ISNUMBER(G37),IF($N$10=1,"Falta el IPC de "&amp;INDEX(IPC!$J$5:$J$16,MOD($N$12+1,12)+1)&amp;" de "&amp;INT(($N$12+1)/12),"Cargá el % de este ajuste en la columna F"),"")))</f>
      </c>
      <c r="J38">
        <f>IF($N$5=1,$N$7+10*$N$8,"")</f>
      </c>
      <c r="K38">
        <f>IF($N$5=1,J38-1-$N$9,"")</f>
      </c>
      <c r="L38">
        <f>IF($N$5=1,K38-$N$8,"")</f>
      </c>
    </row>
    <row r="39" spans="1:12" x14ac:dyDescent="0.25">
      <c r="A39" s="34">
        <f>IF(AND($N$5=1,11&lt;=$N$11),"11° ajuste","")</f>
      </c>
      <c r="B39" s="34">
        <f>IF(AND($N$5=1,11&lt;=$N$11),INDEX(IPC!$J$5:$J$16,MOD(J39,12)+1)&amp;" de "&amp;INT((J39)/12),"")</f>
      </c>
      <c r="C39" s="34">
        <f>IF(AND(AND($N$5=1,11&lt;=$N$11),$N$10=1),INDEX(IPC!$J$5:$J$16,MOD(L39,12)+1)&amp;" de "&amp;INT((L39)/12),"")</f>
      </c>
      <c r="D39" s="34">
        <f>IF(AND(AND($N$5=1,11&lt;=$N$11),$N$10=1),INDEX(IPC!$J$5:$J$16,MOD(K39,12)+1)&amp;" de "&amp;INT((K39)/12),"")</f>
      </c>
      <c r="E39" s="35">
        <f>IF(NOT(AND($N$5=1,11&lt;=$N$11)),"",IF($N$10=1,IF(AND($N$14=1,K39&lt;=$N$12),INDEX(IPC!$D$5:$D$173,(K39)-IPC!$J$2+1)/INDEX(IPC!$D$5:$D$173,(L39)-IPC!$J$2+1)-1,""),IF(ISNUMBER(F39),F39/100,"")))</f>
      </c>
      <c r="F39" s="36"/>
      <c r="G39" s="37">
        <f>IF(AND(AND($N$5=1,11&lt;=$N$11),ISNUMBER(G38),ISNUMBER(E39)),G38*(1+E39),"")</f>
      </c>
      <c r="H39" s="34">
        <f>IF(NOT(AND($N$5=1,11&lt;=$N$11)),"",IF(ISNUMBER(G39),"Aplicado",IF(ISNUMBER(G38),IF($N$10=1,"Falta el IPC de "&amp;INDEX(IPC!$J$5:$J$16,MOD($N$12+1,12)+1)&amp;" de "&amp;INT(($N$12+1)/12),"Cargá el % de este ajuste en la columna F"),"")))</f>
      </c>
      <c r="J39">
        <f>IF($N$5=1,$N$7+11*$N$8,"")</f>
      </c>
      <c r="K39">
        <f>IF($N$5=1,J39-1-$N$9,"")</f>
      </c>
      <c r="L39">
        <f>IF($N$5=1,K39-$N$8,"")</f>
      </c>
    </row>
    <row r="40" spans="1:12" x14ac:dyDescent="0.25">
      <c r="A40" s="31">
        <f>IF(AND($N$5=1,12&lt;=$N$11),"12° ajuste","")</f>
      </c>
      <c r="B40" s="31">
        <f>IF(AND($N$5=1,12&lt;=$N$11),INDEX(IPC!$J$5:$J$16,MOD(J40,12)+1)&amp;" de "&amp;INT((J40)/12),"")</f>
      </c>
      <c r="C40" s="31">
        <f>IF(AND(AND($N$5=1,12&lt;=$N$11),$N$10=1),INDEX(IPC!$J$5:$J$16,MOD(L40,12)+1)&amp;" de "&amp;INT((L40)/12),"")</f>
      </c>
      <c r="D40" s="31">
        <f>IF(AND(AND($N$5=1,12&lt;=$N$11),$N$10=1),INDEX(IPC!$J$5:$J$16,MOD(K40,12)+1)&amp;" de "&amp;INT((K40)/12),"")</f>
      </c>
      <c r="E40" s="38">
        <f>IF(NOT(AND($N$5=1,12&lt;=$N$11)),"",IF($N$10=1,IF(AND($N$14=1,K40&lt;=$N$12),INDEX(IPC!$D$5:$D$173,(K40)-IPC!$J$2+1)/INDEX(IPC!$D$5:$D$173,(L40)-IPC!$J$2+1)-1,""),IF(ISNUMBER(F40),F40/100,"")))</f>
      </c>
      <c r="F40" s="36"/>
      <c r="G40" s="33">
        <f>IF(AND(AND($N$5=1,12&lt;=$N$11),ISNUMBER(G39),ISNUMBER(E40)),G39*(1+E40),"")</f>
      </c>
      <c r="H40" s="31">
        <f>IF(NOT(AND($N$5=1,12&lt;=$N$11)),"",IF(ISNUMBER(G40),"Aplicado",IF(ISNUMBER(G39),IF($N$10=1,"Falta el IPC de "&amp;INDEX(IPC!$J$5:$J$16,MOD($N$12+1,12)+1)&amp;" de "&amp;INT(($N$12+1)/12),"Cargá el % de este ajuste en la columna F"),"")))</f>
      </c>
      <c r="J40">
        <f>IF($N$5=1,$N$7+12*$N$8,"")</f>
      </c>
      <c r="K40">
        <f>IF($N$5=1,J40-1-$N$9,"")</f>
      </c>
      <c r="L40">
        <f>IF($N$5=1,K40-$N$8,"")</f>
      </c>
    </row>
    <row r="41" spans="1:12" x14ac:dyDescent="0.25">
      <c r="A41" s="34">
        <f>IF(AND($N$5=1,13&lt;=$N$11),"13° ajuste","")</f>
      </c>
      <c r="B41" s="34">
        <f>IF(AND($N$5=1,13&lt;=$N$11),INDEX(IPC!$J$5:$J$16,MOD(J41,12)+1)&amp;" de "&amp;INT((J41)/12),"")</f>
      </c>
      <c r="C41" s="34">
        <f>IF(AND(AND($N$5=1,13&lt;=$N$11),$N$10=1),INDEX(IPC!$J$5:$J$16,MOD(L41,12)+1)&amp;" de "&amp;INT((L41)/12),"")</f>
      </c>
      <c r="D41" s="34">
        <f>IF(AND(AND($N$5=1,13&lt;=$N$11),$N$10=1),INDEX(IPC!$J$5:$J$16,MOD(K41,12)+1)&amp;" de "&amp;INT((K41)/12),"")</f>
      </c>
      <c r="E41" s="35">
        <f>IF(NOT(AND($N$5=1,13&lt;=$N$11)),"",IF($N$10=1,IF(AND($N$14=1,K41&lt;=$N$12),INDEX(IPC!$D$5:$D$173,(K41)-IPC!$J$2+1)/INDEX(IPC!$D$5:$D$173,(L41)-IPC!$J$2+1)-1,""),IF(ISNUMBER(F41),F41/100,"")))</f>
      </c>
      <c r="F41" s="36"/>
      <c r="G41" s="37">
        <f>IF(AND(AND($N$5=1,13&lt;=$N$11),ISNUMBER(G40),ISNUMBER(E41)),G40*(1+E41),"")</f>
      </c>
      <c r="H41" s="34">
        <f>IF(NOT(AND($N$5=1,13&lt;=$N$11)),"",IF(ISNUMBER(G41),"Aplicado",IF(ISNUMBER(G40),IF($N$10=1,"Falta el IPC de "&amp;INDEX(IPC!$J$5:$J$16,MOD($N$12+1,12)+1)&amp;" de "&amp;INT(($N$12+1)/12),"Cargá el % de este ajuste en la columna F"),"")))</f>
      </c>
      <c r="J41">
        <f>IF($N$5=1,$N$7+13*$N$8,"")</f>
      </c>
      <c r="K41">
        <f>IF($N$5=1,J41-1-$N$9,"")</f>
      </c>
      <c r="L41">
        <f>IF($N$5=1,K41-$N$8,"")</f>
      </c>
    </row>
    <row r="42" spans="1:12" x14ac:dyDescent="0.25">
      <c r="A42" s="31">
        <f>IF(AND($N$5=1,14&lt;=$N$11),"14° ajuste","")</f>
      </c>
      <c r="B42" s="31">
        <f>IF(AND($N$5=1,14&lt;=$N$11),INDEX(IPC!$J$5:$J$16,MOD(J42,12)+1)&amp;" de "&amp;INT((J42)/12),"")</f>
      </c>
      <c r="C42" s="31">
        <f>IF(AND(AND($N$5=1,14&lt;=$N$11),$N$10=1),INDEX(IPC!$J$5:$J$16,MOD(L42,12)+1)&amp;" de "&amp;INT((L42)/12),"")</f>
      </c>
      <c r="D42" s="31">
        <f>IF(AND(AND($N$5=1,14&lt;=$N$11),$N$10=1),INDEX(IPC!$J$5:$J$16,MOD(K42,12)+1)&amp;" de "&amp;INT((K42)/12),"")</f>
      </c>
      <c r="E42" s="38">
        <f>IF(NOT(AND($N$5=1,14&lt;=$N$11)),"",IF($N$10=1,IF(AND($N$14=1,K42&lt;=$N$12),INDEX(IPC!$D$5:$D$173,(K42)-IPC!$J$2+1)/INDEX(IPC!$D$5:$D$173,(L42)-IPC!$J$2+1)-1,""),IF(ISNUMBER(F42),F42/100,"")))</f>
      </c>
      <c r="F42" s="36"/>
      <c r="G42" s="33">
        <f>IF(AND(AND($N$5=1,14&lt;=$N$11),ISNUMBER(G41),ISNUMBER(E42)),G41*(1+E42),"")</f>
      </c>
      <c r="H42" s="31">
        <f>IF(NOT(AND($N$5=1,14&lt;=$N$11)),"",IF(ISNUMBER(G42),"Aplicado",IF(ISNUMBER(G41),IF($N$10=1,"Falta el IPC de "&amp;INDEX(IPC!$J$5:$J$16,MOD($N$12+1,12)+1)&amp;" de "&amp;INT(($N$12+1)/12),"Cargá el % de este ajuste en la columna F"),"")))</f>
      </c>
      <c r="J42">
        <f>IF($N$5=1,$N$7+14*$N$8,"")</f>
      </c>
      <c r="K42">
        <f>IF($N$5=1,J42-1-$N$9,"")</f>
      </c>
      <c r="L42">
        <f>IF($N$5=1,K42-$N$8,"")</f>
      </c>
    </row>
    <row r="43" spans="1:12" x14ac:dyDescent="0.25">
      <c r="A43" s="34">
        <f>IF(AND($N$5=1,15&lt;=$N$11),"15° ajuste","")</f>
      </c>
      <c r="B43" s="34">
        <f>IF(AND($N$5=1,15&lt;=$N$11),INDEX(IPC!$J$5:$J$16,MOD(J43,12)+1)&amp;" de "&amp;INT((J43)/12),"")</f>
      </c>
      <c r="C43" s="34">
        <f>IF(AND(AND($N$5=1,15&lt;=$N$11),$N$10=1),INDEX(IPC!$J$5:$J$16,MOD(L43,12)+1)&amp;" de "&amp;INT((L43)/12),"")</f>
      </c>
      <c r="D43" s="34">
        <f>IF(AND(AND($N$5=1,15&lt;=$N$11),$N$10=1),INDEX(IPC!$J$5:$J$16,MOD(K43,12)+1)&amp;" de "&amp;INT((K43)/12),"")</f>
      </c>
      <c r="E43" s="35">
        <f>IF(NOT(AND($N$5=1,15&lt;=$N$11)),"",IF($N$10=1,IF(AND($N$14=1,K43&lt;=$N$12),INDEX(IPC!$D$5:$D$173,(K43)-IPC!$J$2+1)/INDEX(IPC!$D$5:$D$173,(L43)-IPC!$J$2+1)-1,""),IF(ISNUMBER(F43),F43/100,"")))</f>
      </c>
      <c r="F43" s="36"/>
      <c r="G43" s="37">
        <f>IF(AND(AND($N$5=1,15&lt;=$N$11),ISNUMBER(G42),ISNUMBER(E43)),G42*(1+E43),"")</f>
      </c>
      <c r="H43" s="34">
        <f>IF(NOT(AND($N$5=1,15&lt;=$N$11)),"",IF(ISNUMBER(G43),"Aplicado",IF(ISNUMBER(G42),IF($N$10=1,"Falta el IPC de "&amp;INDEX(IPC!$J$5:$J$16,MOD($N$12+1,12)+1)&amp;" de "&amp;INT(($N$12+1)/12),"Cargá el % de este ajuste en la columna F"),"")))</f>
      </c>
      <c r="J43">
        <f>IF($N$5=1,$N$7+15*$N$8,"")</f>
      </c>
      <c r="K43">
        <f>IF($N$5=1,J43-1-$N$9,"")</f>
      </c>
      <c r="L43">
        <f>IF($N$5=1,K43-$N$8,"")</f>
      </c>
    </row>
    <row r="44" spans="1:12" x14ac:dyDescent="0.25">
      <c r="A44" s="31">
        <f>IF(AND($N$5=1,16&lt;=$N$11),"16° ajuste","")</f>
      </c>
      <c r="B44" s="31">
        <f>IF(AND($N$5=1,16&lt;=$N$11),INDEX(IPC!$J$5:$J$16,MOD(J44,12)+1)&amp;" de "&amp;INT((J44)/12),"")</f>
      </c>
      <c r="C44" s="31">
        <f>IF(AND(AND($N$5=1,16&lt;=$N$11),$N$10=1),INDEX(IPC!$J$5:$J$16,MOD(L44,12)+1)&amp;" de "&amp;INT((L44)/12),"")</f>
      </c>
      <c r="D44" s="31">
        <f>IF(AND(AND($N$5=1,16&lt;=$N$11),$N$10=1),INDEX(IPC!$J$5:$J$16,MOD(K44,12)+1)&amp;" de "&amp;INT((K44)/12),"")</f>
      </c>
      <c r="E44" s="38">
        <f>IF(NOT(AND($N$5=1,16&lt;=$N$11)),"",IF($N$10=1,IF(AND($N$14=1,K44&lt;=$N$12),INDEX(IPC!$D$5:$D$173,(K44)-IPC!$J$2+1)/INDEX(IPC!$D$5:$D$173,(L44)-IPC!$J$2+1)-1,""),IF(ISNUMBER(F44),F44/100,"")))</f>
      </c>
      <c r="F44" s="36"/>
      <c r="G44" s="33">
        <f>IF(AND(AND($N$5=1,16&lt;=$N$11),ISNUMBER(G43),ISNUMBER(E44)),G43*(1+E44),"")</f>
      </c>
      <c r="H44" s="31">
        <f>IF(NOT(AND($N$5=1,16&lt;=$N$11)),"",IF(ISNUMBER(G44),"Aplicado",IF(ISNUMBER(G43),IF($N$10=1,"Falta el IPC de "&amp;INDEX(IPC!$J$5:$J$16,MOD($N$12+1,12)+1)&amp;" de "&amp;INT(($N$12+1)/12),"Cargá el % de este ajuste en la columna F"),"")))</f>
      </c>
      <c r="J44">
        <f>IF($N$5=1,$N$7+16*$N$8,"")</f>
      </c>
      <c r="K44">
        <f>IF($N$5=1,J44-1-$N$9,"")</f>
      </c>
      <c r="L44">
        <f>IF($N$5=1,K44-$N$8,"")</f>
      </c>
    </row>
    <row r="45" spans="1:12" x14ac:dyDescent="0.25">
      <c r="A45" s="34">
        <f>IF(AND($N$5=1,17&lt;=$N$11),"17° ajuste","")</f>
      </c>
      <c r="B45" s="34">
        <f>IF(AND($N$5=1,17&lt;=$N$11),INDEX(IPC!$J$5:$J$16,MOD(J45,12)+1)&amp;" de "&amp;INT((J45)/12),"")</f>
      </c>
      <c r="C45" s="34">
        <f>IF(AND(AND($N$5=1,17&lt;=$N$11),$N$10=1),INDEX(IPC!$J$5:$J$16,MOD(L45,12)+1)&amp;" de "&amp;INT((L45)/12),"")</f>
      </c>
      <c r="D45" s="34">
        <f>IF(AND(AND($N$5=1,17&lt;=$N$11),$N$10=1),INDEX(IPC!$J$5:$J$16,MOD(K45,12)+1)&amp;" de "&amp;INT((K45)/12),"")</f>
      </c>
      <c r="E45" s="35">
        <f>IF(NOT(AND($N$5=1,17&lt;=$N$11)),"",IF($N$10=1,IF(AND($N$14=1,K45&lt;=$N$12),INDEX(IPC!$D$5:$D$173,(K45)-IPC!$J$2+1)/INDEX(IPC!$D$5:$D$173,(L45)-IPC!$J$2+1)-1,""),IF(ISNUMBER(F45),F45/100,"")))</f>
      </c>
      <c r="F45" s="36"/>
      <c r="G45" s="37">
        <f>IF(AND(AND($N$5=1,17&lt;=$N$11),ISNUMBER(G44),ISNUMBER(E45)),G44*(1+E45),"")</f>
      </c>
      <c r="H45" s="34">
        <f>IF(NOT(AND($N$5=1,17&lt;=$N$11)),"",IF(ISNUMBER(G45),"Aplicado",IF(ISNUMBER(G44),IF($N$10=1,"Falta el IPC de "&amp;INDEX(IPC!$J$5:$J$16,MOD($N$12+1,12)+1)&amp;" de "&amp;INT(($N$12+1)/12),"Cargá el % de este ajuste en la columna F"),"")))</f>
      </c>
      <c r="J45">
        <f>IF($N$5=1,$N$7+17*$N$8,"")</f>
      </c>
      <c r="K45">
        <f>IF($N$5=1,J45-1-$N$9,"")</f>
      </c>
      <c r="L45">
        <f>IF($N$5=1,K45-$N$8,"")</f>
      </c>
    </row>
    <row r="46" spans="1:12" x14ac:dyDescent="0.25">
      <c r="A46" s="31">
        <f>IF(AND($N$5=1,18&lt;=$N$11),"18° ajuste","")</f>
      </c>
      <c r="B46" s="31">
        <f>IF(AND($N$5=1,18&lt;=$N$11),INDEX(IPC!$J$5:$J$16,MOD(J46,12)+1)&amp;" de "&amp;INT((J46)/12),"")</f>
      </c>
      <c r="C46" s="31">
        <f>IF(AND(AND($N$5=1,18&lt;=$N$11),$N$10=1),INDEX(IPC!$J$5:$J$16,MOD(L46,12)+1)&amp;" de "&amp;INT((L46)/12),"")</f>
      </c>
      <c r="D46" s="31">
        <f>IF(AND(AND($N$5=1,18&lt;=$N$11),$N$10=1),INDEX(IPC!$J$5:$J$16,MOD(K46,12)+1)&amp;" de "&amp;INT((K46)/12),"")</f>
      </c>
      <c r="E46" s="38">
        <f>IF(NOT(AND($N$5=1,18&lt;=$N$11)),"",IF($N$10=1,IF(AND($N$14=1,K46&lt;=$N$12),INDEX(IPC!$D$5:$D$173,(K46)-IPC!$J$2+1)/INDEX(IPC!$D$5:$D$173,(L46)-IPC!$J$2+1)-1,""),IF(ISNUMBER(F46),F46/100,"")))</f>
      </c>
      <c r="F46" s="36"/>
      <c r="G46" s="33">
        <f>IF(AND(AND($N$5=1,18&lt;=$N$11),ISNUMBER(G45),ISNUMBER(E46)),G45*(1+E46),"")</f>
      </c>
      <c r="H46" s="31">
        <f>IF(NOT(AND($N$5=1,18&lt;=$N$11)),"",IF(ISNUMBER(G46),"Aplicado",IF(ISNUMBER(G45),IF($N$10=1,"Falta el IPC de "&amp;INDEX(IPC!$J$5:$J$16,MOD($N$12+1,12)+1)&amp;" de "&amp;INT(($N$12+1)/12),"Cargá el % de este ajuste en la columna F"),"")))</f>
      </c>
      <c r="J46">
        <f>IF($N$5=1,$N$7+18*$N$8,"")</f>
      </c>
      <c r="K46">
        <f>IF($N$5=1,J46-1-$N$9,"")</f>
      </c>
      <c r="L46">
        <f>IF($N$5=1,K46-$N$8,"")</f>
      </c>
    </row>
    <row r="47" spans="1:12" x14ac:dyDescent="0.25">
      <c r="A47" s="34">
        <f>IF(AND($N$5=1,19&lt;=$N$11),"19° ajuste","")</f>
      </c>
      <c r="B47" s="34">
        <f>IF(AND($N$5=1,19&lt;=$N$11),INDEX(IPC!$J$5:$J$16,MOD(J47,12)+1)&amp;" de "&amp;INT((J47)/12),"")</f>
      </c>
      <c r="C47" s="34">
        <f>IF(AND(AND($N$5=1,19&lt;=$N$11),$N$10=1),INDEX(IPC!$J$5:$J$16,MOD(L47,12)+1)&amp;" de "&amp;INT((L47)/12),"")</f>
      </c>
      <c r="D47" s="34">
        <f>IF(AND(AND($N$5=1,19&lt;=$N$11),$N$10=1),INDEX(IPC!$J$5:$J$16,MOD(K47,12)+1)&amp;" de "&amp;INT((K47)/12),"")</f>
      </c>
      <c r="E47" s="35">
        <f>IF(NOT(AND($N$5=1,19&lt;=$N$11)),"",IF($N$10=1,IF(AND($N$14=1,K47&lt;=$N$12),INDEX(IPC!$D$5:$D$173,(K47)-IPC!$J$2+1)/INDEX(IPC!$D$5:$D$173,(L47)-IPC!$J$2+1)-1,""),IF(ISNUMBER(F47),F47/100,"")))</f>
      </c>
      <c r="F47" s="36"/>
      <c r="G47" s="37">
        <f>IF(AND(AND($N$5=1,19&lt;=$N$11),ISNUMBER(G46),ISNUMBER(E47)),G46*(1+E47),"")</f>
      </c>
      <c r="H47" s="34">
        <f>IF(NOT(AND($N$5=1,19&lt;=$N$11)),"",IF(ISNUMBER(G47),"Aplicado",IF(ISNUMBER(G46),IF($N$10=1,"Falta el IPC de "&amp;INDEX(IPC!$J$5:$J$16,MOD($N$12+1,12)+1)&amp;" de "&amp;INT(($N$12+1)/12),"Cargá el % de este ajuste en la columna F"),"")))</f>
      </c>
      <c r="J47">
        <f>IF($N$5=1,$N$7+19*$N$8,"")</f>
      </c>
      <c r="K47">
        <f>IF($N$5=1,J47-1-$N$9,"")</f>
      </c>
      <c r="L47">
        <f>IF($N$5=1,K47-$N$8,"")</f>
      </c>
    </row>
    <row r="48" spans="1:12" x14ac:dyDescent="0.25">
      <c r="A48" s="31">
        <f>IF(AND($N$5=1,20&lt;=$N$11),"20° ajuste","")</f>
      </c>
      <c r="B48" s="31">
        <f>IF(AND($N$5=1,20&lt;=$N$11),INDEX(IPC!$J$5:$J$16,MOD(J48,12)+1)&amp;" de "&amp;INT((J48)/12),"")</f>
      </c>
      <c r="C48" s="31">
        <f>IF(AND(AND($N$5=1,20&lt;=$N$11),$N$10=1),INDEX(IPC!$J$5:$J$16,MOD(L48,12)+1)&amp;" de "&amp;INT((L48)/12),"")</f>
      </c>
      <c r="D48" s="31">
        <f>IF(AND(AND($N$5=1,20&lt;=$N$11),$N$10=1),INDEX(IPC!$J$5:$J$16,MOD(K48,12)+1)&amp;" de "&amp;INT((K48)/12),"")</f>
      </c>
      <c r="E48" s="38">
        <f>IF(NOT(AND($N$5=1,20&lt;=$N$11)),"",IF($N$10=1,IF(AND($N$14=1,K48&lt;=$N$12),INDEX(IPC!$D$5:$D$173,(K48)-IPC!$J$2+1)/INDEX(IPC!$D$5:$D$173,(L48)-IPC!$J$2+1)-1,""),IF(ISNUMBER(F48),F48/100,"")))</f>
      </c>
      <c r="F48" s="36"/>
      <c r="G48" s="33">
        <f>IF(AND(AND($N$5=1,20&lt;=$N$11),ISNUMBER(G47),ISNUMBER(E48)),G47*(1+E48),"")</f>
      </c>
      <c r="H48" s="31">
        <f>IF(NOT(AND($N$5=1,20&lt;=$N$11)),"",IF(ISNUMBER(G48),"Aplicado",IF(ISNUMBER(G47),IF($N$10=1,"Falta el IPC de "&amp;INDEX(IPC!$J$5:$J$16,MOD($N$12+1,12)+1)&amp;" de "&amp;INT(($N$12+1)/12),"Cargá el % de este ajuste en la columna F"),"")))</f>
      </c>
      <c r="J48">
        <f>IF($N$5=1,$N$7+20*$N$8,"")</f>
      </c>
      <c r="K48">
        <f>IF($N$5=1,J48-1-$N$9,"")</f>
      </c>
      <c r="L48">
        <f>IF($N$5=1,K48-$N$8,"")</f>
      </c>
    </row>
    <row r="49" spans="1:12" x14ac:dyDescent="0.25">
      <c r="A49" s="34">
        <f>IF(AND($N$5=1,21&lt;=$N$11),"21° ajuste","")</f>
      </c>
      <c r="B49" s="34">
        <f>IF(AND($N$5=1,21&lt;=$N$11),INDEX(IPC!$J$5:$J$16,MOD(J49,12)+1)&amp;" de "&amp;INT((J49)/12),"")</f>
      </c>
      <c r="C49" s="34">
        <f>IF(AND(AND($N$5=1,21&lt;=$N$11),$N$10=1),INDEX(IPC!$J$5:$J$16,MOD(L49,12)+1)&amp;" de "&amp;INT((L49)/12),"")</f>
      </c>
      <c r="D49" s="34">
        <f>IF(AND(AND($N$5=1,21&lt;=$N$11),$N$10=1),INDEX(IPC!$J$5:$J$16,MOD(K49,12)+1)&amp;" de "&amp;INT((K49)/12),"")</f>
      </c>
      <c r="E49" s="35">
        <f>IF(NOT(AND($N$5=1,21&lt;=$N$11)),"",IF($N$10=1,IF(AND($N$14=1,K49&lt;=$N$12),INDEX(IPC!$D$5:$D$173,(K49)-IPC!$J$2+1)/INDEX(IPC!$D$5:$D$173,(L49)-IPC!$J$2+1)-1,""),IF(ISNUMBER(F49),F49/100,"")))</f>
      </c>
      <c r="F49" s="36"/>
      <c r="G49" s="37">
        <f>IF(AND(AND($N$5=1,21&lt;=$N$11),ISNUMBER(G48),ISNUMBER(E49)),G48*(1+E49),"")</f>
      </c>
      <c r="H49" s="34">
        <f>IF(NOT(AND($N$5=1,21&lt;=$N$11)),"",IF(ISNUMBER(G49),"Aplicado",IF(ISNUMBER(G48),IF($N$10=1,"Falta el IPC de "&amp;INDEX(IPC!$J$5:$J$16,MOD($N$12+1,12)+1)&amp;" de "&amp;INT(($N$12+1)/12),"Cargá el % de este ajuste en la columna F"),"")))</f>
      </c>
      <c r="J49">
        <f>IF($N$5=1,$N$7+21*$N$8,"")</f>
      </c>
      <c r="K49">
        <f>IF($N$5=1,J49-1-$N$9,"")</f>
      </c>
      <c r="L49">
        <f>IF($N$5=1,K49-$N$8,"")</f>
      </c>
    </row>
    <row r="50" spans="1:12" x14ac:dyDescent="0.25">
      <c r="A50" s="31">
        <f>IF(AND($N$5=1,22&lt;=$N$11),"22° ajuste","")</f>
      </c>
      <c r="B50" s="31">
        <f>IF(AND($N$5=1,22&lt;=$N$11),INDEX(IPC!$J$5:$J$16,MOD(J50,12)+1)&amp;" de "&amp;INT((J50)/12),"")</f>
      </c>
      <c r="C50" s="31">
        <f>IF(AND(AND($N$5=1,22&lt;=$N$11),$N$10=1),INDEX(IPC!$J$5:$J$16,MOD(L50,12)+1)&amp;" de "&amp;INT((L50)/12),"")</f>
      </c>
      <c r="D50" s="31">
        <f>IF(AND(AND($N$5=1,22&lt;=$N$11),$N$10=1),INDEX(IPC!$J$5:$J$16,MOD(K50,12)+1)&amp;" de "&amp;INT((K50)/12),"")</f>
      </c>
      <c r="E50" s="38">
        <f>IF(NOT(AND($N$5=1,22&lt;=$N$11)),"",IF($N$10=1,IF(AND($N$14=1,K50&lt;=$N$12),INDEX(IPC!$D$5:$D$173,(K50)-IPC!$J$2+1)/INDEX(IPC!$D$5:$D$173,(L50)-IPC!$J$2+1)-1,""),IF(ISNUMBER(F50),F50/100,"")))</f>
      </c>
      <c r="F50" s="36"/>
      <c r="G50" s="33">
        <f>IF(AND(AND($N$5=1,22&lt;=$N$11),ISNUMBER(G49),ISNUMBER(E50)),G49*(1+E50),"")</f>
      </c>
      <c r="H50" s="31">
        <f>IF(NOT(AND($N$5=1,22&lt;=$N$11)),"",IF(ISNUMBER(G50),"Aplicado",IF(ISNUMBER(G49),IF($N$10=1,"Falta el IPC de "&amp;INDEX(IPC!$J$5:$J$16,MOD($N$12+1,12)+1)&amp;" de "&amp;INT(($N$12+1)/12),"Cargá el % de este ajuste en la columna F"),"")))</f>
      </c>
      <c r="J50">
        <f>IF($N$5=1,$N$7+22*$N$8,"")</f>
      </c>
      <c r="K50">
        <f>IF($N$5=1,J50-1-$N$9,"")</f>
      </c>
      <c r="L50">
        <f>IF($N$5=1,K50-$N$8,"")</f>
      </c>
    </row>
    <row r="51" spans="1:12" x14ac:dyDescent="0.25">
      <c r="A51" s="34">
        <f>IF(AND($N$5=1,23&lt;=$N$11),"23° ajuste","")</f>
      </c>
      <c r="B51" s="34">
        <f>IF(AND($N$5=1,23&lt;=$N$11),INDEX(IPC!$J$5:$J$16,MOD(J51,12)+1)&amp;" de "&amp;INT((J51)/12),"")</f>
      </c>
      <c r="C51" s="34">
        <f>IF(AND(AND($N$5=1,23&lt;=$N$11),$N$10=1),INDEX(IPC!$J$5:$J$16,MOD(L51,12)+1)&amp;" de "&amp;INT((L51)/12),"")</f>
      </c>
      <c r="D51" s="34">
        <f>IF(AND(AND($N$5=1,23&lt;=$N$11),$N$10=1),INDEX(IPC!$J$5:$J$16,MOD(K51,12)+1)&amp;" de "&amp;INT((K51)/12),"")</f>
      </c>
      <c r="E51" s="35">
        <f>IF(NOT(AND($N$5=1,23&lt;=$N$11)),"",IF($N$10=1,IF(AND($N$14=1,K51&lt;=$N$12),INDEX(IPC!$D$5:$D$173,(K51)-IPC!$J$2+1)/INDEX(IPC!$D$5:$D$173,(L51)-IPC!$J$2+1)-1,""),IF(ISNUMBER(F51),F51/100,"")))</f>
      </c>
      <c r="F51" s="36"/>
      <c r="G51" s="37">
        <f>IF(AND(AND($N$5=1,23&lt;=$N$11),ISNUMBER(G50),ISNUMBER(E51)),G50*(1+E51),"")</f>
      </c>
      <c r="H51" s="34">
        <f>IF(NOT(AND($N$5=1,23&lt;=$N$11)),"",IF(ISNUMBER(G51),"Aplicado",IF(ISNUMBER(G50),IF($N$10=1,"Falta el IPC de "&amp;INDEX(IPC!$J$5:$J$16,MOD($N$12+1,12)+1)&amp;" de "&amp;INT(($N$12+1)/12),"Cargá el % de este ajuste en la columna F"),"")))</f>
      </c>
      <c r="J51">
        <f>IF($N$5=1,$N$7+23*$N$8,"")</f>
      </c>
      <c r="K51">
        <f>IF($N$5=1,J51-1-$N$9,"")</f>
      </c>
      <c r="L51">
        <f>IF($N$5=1,K51-$N$8,"")</f>
      </c>
    </row>
    <row r="52" spans="1:12" x14ac:dyDescent="0.25">
      <c r="A52" s="31">
        <f>IF(AND($N$5=1,24&lt;=$N$11),"24° ajuste","")</f>
      </c>
      <c r="B52" s="31">
        <f>IF(AND($N$5=1,24&lt;=$N$11),INDEX(IPC!$J$5:$J$16,MOD(J52,12)+1)&amp;" de "&amp;INT((J52)/12),"")</f>
      </c>
      <c r="C52" s="31">
        <f>IF(AND(AND($N$5=1,24&lt;=$N$11),$N$10=1),INDEX(IPC!$J$5:$J$16,MOD(L52,12)+1)&amp;" de "&amp;INT((L52)/12),"")</f>
      </c>
      <c r="D52" s="31">
        <f>IF(AND(AND($N$5=1,24&lt;=$N$11),$N$10=1),INDEX(IPC!$J$5:$J$16,MOD(K52,12)+1)&amp;" de "&amp;INT((K52)/12),"")</f>
      </c>
      <c r="E52" s="38">
        <f>IF(NOT(AND($N$5=1,24&lt;=$N$11)),"",IF($N$10=1,IF(AND($N$14=1,K52&lt;=$N$12),INDEX(IPC!$D$5:$D$173,(K52)-IPC!$J$2+1)/INDEX(IPC!$D$5:$D$173,(L52)-IPC!$J$2+1)-1,""),IF(ISNUMBER(F52),F52/100,"")))</f>
      </c>
      <c r="F52" s="36"/>
      <c r="G52" s="33">
        <f>IF(AND(AND($N$5=1,24&lt;=$N$11),ISNUMBER(G51),ISNUMBER(E52)),G51*(1+E52),"")</f>
      </c>
      <c r="H52" s="31">
        <f>IF(NOT(AND($N$5=1,24&lt;=$N$11)),"",IF(ISNUMBER(G52),"Aplicado",IF(ISNUMBER(G51),IF($N$10=1,"Falta el IPC de "&amp;INDEX(IPC!$J$5:$J$16,MOD($N$12+1,12)+1)&amp;" de "&amp;INT(($N$12+1)/12),"Cargá el % de este ajuste en la columna F"),"")))</f>
      </c>
      <c r="J52">
        <f>IF($N$5=1,$N$7+24*$N$8,"")</f>
      </c>
      <c r="K52">
        <f>IF($N$5=1,J52-1-$N$9,"")</f>
      </c>
      <c r="L52">
        <f>IF($N$5=1,K52-$N$8,"")</f>
      </c>
    </row>
    <row r="53" spans="1:12" x14ac:dyDescent="0.25">
      <c r="A53" s="34">
        <f>IF(AND($N$5=1,25&lt;=$N$11),"25° ajuste","")</f>
      </c>
      <c r="B53" s="34">
        <f>IF(AND($N$5=1,25&lt;=$N$11),INDEX(IPC!$J$5:$J$16,MOD(J53,12)+1)&amp;" de "&amp;INT((J53)/12),"")</f>
      </c>
      <c r="C53" s="34">
        <f>IF(AND(AND($N$5=1,25&lt;=$N$11),$N$10=1),INDEX(IPC!$J$5:$J$16,MOD(L53,12)+1)&amp;" de "&amp;INT((L53)/12),"")</f>
      </c>
      <c r="D53" s="34">
        <f>IF(AND(AND($N$5=1,25&lt;=$N$11),$N$10=1),INDEX(IPC!$J$5:$J$16,MOD(K53,12)+1)&amp;" de "&amp;INT((K53)/12),"")</f>
      </c>
      <c r="E53" s="35">
        <f>IF(NOT(AND($N$5=1,25&lt;=$N$11)),"",IF($N$10=1,IF(AND($N$14=1,K53&lt;=$N$12),INDEX(IPC!$D$5:$D$173,(K53)-IPC!$J$2+1)/INDEX(IPC!$D$5:$D$173,(L53)-IPC!$J$2+1)-1,""),IF(ISNUMBER(F53),F53/100,"")))</f>
      </c>
      <c r="F53" s="36"/>
      <c r="G53" s="37">
        <f>IF(AND(AND($N$5=1,25&lt;=$N$11),ISNUMBER(G52),ISNUMBER(E53)),G52*(1+E53),"")</f>
      </c>
      <c r="H53" s="34">
        <f>IF(NOT(AND($N$5=1,25&lt;=$N$11)),"",IF(ISNUMBER(G53),"Aplicado",IF(ISNUMBER(G52),IF($N$10=1,"Falta el IPC de "&amp;INDEX(IPC!$J$5:$J$16,MOD($N$12+1,12)+1)&amp;" de "&amp;INT(($N$12+1)/12),"Cargá el % de este ajuste en la columna F"),"")))</f>
      </c>
      <c r="J53">
        <f>IF($N$5=1,$N$7+25*$N$8,"")</f>
      </c>
      <c r="K53">
        <f>IF($N$5=1,J53-1-$N$9,"")</f>
      </c>
      <c r="L53">
        <f>IF($N$5=1,K53-$N$8,"")</f>
      </c>
    </row>
    <row r="54" spans="1:12" x14ac:dyDescent="0.25">
      <c r="A54" s="31">
        <f>IF(AND($N$5=1,26&lt;=$N$11),"26° ajuste","")</f>
      </c>
      <c r="B54" s="31">
        <f>IF(AND($N$5=1,26&lt;=$N$11),INDEX(IPC!$J$5:$J$16,MOD(J54,12)+1)&amp;" de "&amp;INT((J54)/12),"")</f>
      </c>
      <c r="C54" s="31">
        <f>IF(AND(AND($N$5=1,26&lt;=$N$11),$N$10=1),INDEX(IPC!$J$5:$J$16,MOD(L54,12)+1)&amp;" de "&amp;INT((L54)/12),"")</f>
      </c>
      <c r="D54" s="31">
        <f>IF(AND(AND($N$5=1,26&lt;=$N$11),$N$10=1),INDEX(IPC!$J$5:$J$16,MOD(K54,12)+1)&amp;" de "&amp;INT((K54)/12),"")</f>
      </c>
      <c r="E54" s="38">
        <f>IF(NOT(AND($N$5=1,26&lt;=$N$11)),"",IF($N$10=1,IF(AND($N$14=1,K54&lt;=$N$12),INDEX(IPC!$D$5:$D$173,(K54)-IPC!$J$2+1)/INDEX(IPC!$D$5:$D$173,(L54)-IPC!$J$2+1)-1,""),IF(ISNUMBER(F54),F54/100,"")))</f>
      </c>
      <c r="F54" s="36"/>
      <c r="G54" s="33">
        <f>IF(AND(AND($N$5=1,26&lt;=$N$11),ISNUMBER(G53),ISNUMBER(E54)),G53*(1+E54),"")</f>
      </c>
      <c r="H54" s="31">
        <f>IF(NOT(AND($N$5=1,26&lt;=$N$11)),"",IF(ISNUMBER(G54),"Aplicado",IF(ISNUMBER(G53),IF($N$10=1,"Falta el IPC de "&amp;INDEX(IPC!$J$5:$J$16,MOD($N$12+1,12)+1)&amp;" de "&amp;INT(($N$12+1)/12),"Cargá el % de este ajuste en la columna F"),"")))</f>
      </c>
      <c r="J54">
        <f>IF($N$5=1,$N$7+26*$N$8,"")</f>
      </c>
      <c r="K54">
        <f>IF($N$5=1,J54-1-$N$9,"")</f>
      </c>
      <c r="L54">
        <f>IF($N$5=1,K54-$N$8,"")</f>
      </c>
    </row>
    <row r="55" spans="1:12" x14ac:dyDescent="0.25">
      <c r="A55" s="34">
        <f>IF(AND($N$5=1,27&lt;=$N$11),"27° ajuste","")</f>
      </c>
      <c r="B55" s="34">
        <f>IF(AND($N$5=1,27&lt;=$N$11),INDEX(IPC!$J$5:$J$16,MOD(J55,12)+1)&amp;" de "&amp;INT((J55)/12),"")</f>
      </c>
      <c r="C55" s="34">
        <f>IF(AND(AND($N$5=1,27&lt;=$N$11),$N$10=1),INDEX(IPC!$J$5:$J$16,MOD(L55,12)+1)&amp;" de "&amp;INT((L55)/12),"")</f>
      </c>
      <c r="D55" s="34">
        <f>IF(AND(AND($N$5=1,27&lt;=$N$11),$N$10=1),INDEX(IPC!$J$5:$J$16,MOD(K55,12)+1)&amp;" de "&amp;INT((K55)/12),"")</f>
      </c>
      <c r="E55" s="35">
        <f>IF(NOT(AND($N$5=1,27&lt;=$N$11)),"",IF($N$10=1,IF(AND($N$14=1,K55&lt;=$N$12),INDEX(IPC!$D$5:$D$173,(K55)-IPC!$J$2+1)/INDEX(IPC!$D$5:$D$173,(L55)-IPC!$J$2+1)-1,""),IF(ISNUMBER(F55),F55/100,"")))</f>
      </c>
      <c r="F55" s="36"/>
      <c r="G55" s="37">
        <f>IF(AND(AND($N$5=1,27&lt;=$N$11),ISNUMBER(G54),ISNUMBER(E55)),G54*(1+E55),"")</f>
      </c>
      <c r="H55" s="34">
        <f>IF(NOT(AND($N$5=1,27&lt;=$N$11)),"",IF(ISNUMBER(G55),"Aplicado",IF(ISNUMBER(G54),IF($N$10=1,"Falta el IPC de "&amp;INDEX(IPC!$J$5:$J$16,MOD($N$12+1,12)+1)&amp;" de "&amp;INT(($N$12+1)/12),"Cargá el % de este ajuste en la columna F"),"")))</f>
      </c>
      <c r="J55">
        <f>IF($N$5=1,$N$7+27*$N$8,"")</f>
      </c>
      <c r="K55">
        <f>IF($N$5=1,J55-1-$N$9,"")</f>
      </c>
      <c r="L55">
        <f>IF($N$5=1,K55-$N$8,"")</f>
      </c>
    </row>
    <row r="56" spans="1:12" x14ac:dyDescent="0.25">
      <c r="A56" s="31">
        <f>IF(AND($N$5=1,28&lt;=$N$11),"28° ajuste","")</f>
      </c>
      <c r="B56" s="31">
        <f>IF(AND($N$5=1,28&lt;=$N$11),INDEX(IPC!$J$5:$J$16,MOD(J56,12)+1)&amp;" de "&amp;INT((J56)/12),"")</f>
      </c>
      <c r="C56" s="31">
        <f>IF(AND(AND($N$5=1,28&lt;=$N$11),$N$10=1),INDEX(IPC!$J$5:$J$16,MOD(L56,12)+1)&amp;" de "&amp;INT((L56)/12),"")</f>
      </c>
      <c r="D56" s="31">
        <f>IF(AND(AND($N$5=1,28&lt;=$N$11),$N$10=1),INDEX(IPC!$J$5:$J$16,MOD(K56,12)+1)&amp;" de "&amp;INT((K56)/12),"")</f>
      </c>
      <c r="E56" s="38">
        <f>IF(NOT(AND($N$5=1,28&lt;=$N$11)),"",IF($N$10=1,IF(AND($N$14=1,K56&lt;=$N$12),INDEX(IPC!$D$5:$D$173,(K56)-IPC!$J$2+1)/INDEX(IPC!$D$5:$D$173,(L56)-IPC!$J$2+1)-1,""),IF(ISNUMBER(F56),F56/100,"")))</f>
      </c>
      <c r="F56" s="36"/>
      <c r="G56" s="33">
        <f>IF(AND(AND($N$5=1,28&lt;=$N$11),ISNUMBER(G55),ISNUMBER(E56)),G55*(1+E56),"")</f>
      </c>
      <c r="H56" s="31">
        <f>IF(NOT(AND($N$5=1,28&lt;=$N$11)),"",IF(ISNUMBER(G56),"Aplicado",IF(ISNUMBER(G55),IF($N$10=1,"Falta el IPC de "&amp;INDEX(IPC!$J$5:$J$16,MOD($N$12+1,12)+1)&amp;" de "&amp;INT(($N$12+1)/12),"Cargá el % de este ajuste en la columna F"),"")))</f>
      </c>
      <c r="J56">
        <f>IF($N$5=1,$N$7+28*$N$8,"")</f>
      </c>
      <c r="K56">
        <f>IF($N$5=1,J56-1-$N$9,"")</f>
      </c>
      <c r="L56">
        <f>IF($N$5=1,K56-$N$8,"")</f>
      </c>
    </row>
    <row r="57" spans="1:12" x14ac:dyDescent="0.25">
      <c r="A57" s="34">
        <f>IF(AND($N$5=1,29&lt;=$N$11),"29° ajuste","")</f>
      </c>
      <c r="B57" s="34">
        <f>IF(AND($N$5=1,29&lt;=$N$11),INDEX(IPC!$J$5:$J$16,MOD(J57,12)+1)&amp;" de "&amp;INT((J57)/12),"")</f>
      </c>
      <c r="C57" s="34">
        <f>IF(AND(AND($N$5=1,29&lt;=$N$11),$N$10=1),INDEX(IPC!$J$5:$J$16,MOD(L57,12)+1)&amp;" de "&amp;INT((L57)/12),"")</f>
      </c>
      <c r="D57" s="34">
        <f>IF(AND(AND($N$5=1,29&lt;=$N$11),$N$10=1),INDEX(IPC!$J$5:$J$16,MOD(K57,12)+1)&amp;" de "&amp;INT((K57)/12),"")</f>
      </c>
      <c r="E57" s="35">
        <f>IF(NOT(AND($N$5=1,29&lt;=$N$11)),"",IF($N$10=1,IF(AND($N$14=1,K57&lt;=$N$12),INDEX(IPC!$D$5:$D$173,(K57)-IPC!$J$2+1)/INDEX(IPC!$D$5:$D$173,(L57)-IPC!$J$2+1)-1,""),IF(ISNUMBER(F57),F57/100,"")))</f>
      </c>
      <c r="F57" s="36"/>
      <c r="G57" s="37">
        <f>IF(AND(AND($N$5=1,29&lt;=$N$11),ISNUMBER(G56),ISNUMBER(E57)),G56*(1+E57),"")</f>
      </c>
      <c r="H57" s="34">
        <f>IF(NOT(AND($N$5=1,29&lt;=$N$11)),"",IF(ISNUMBER(G57),"Aplicado",IF(ISNUMBER(G56),IF($N$10=1,"Falta el IPC de "&amp;INDEX(IPC!$J$5:$J$16,MOD($N$12+1,12)+1)&amp;" de "&amp;INT(($N$12+1)/12),"Cargá el % de este ajuste en la columna F"),"")))</f>
      </c>
      <c r="J57">
        <f>IF($N$5=1,$N$7+29*$N$8,"")</f>
      </c>
      <c r="K57">
        <f>IF($N$5=1,J57-1-$N$9,"")</f>
      </c>
      <c r="L57">
        <f>IF($N$5=1,K57-$N$8,"")</f>
      </c>
    </row>
    <row r="58" spans="1:12" x14ac:dyDescent="0.25">
      <c r="A58" s="31">
        <f>IF(AND($N$5=1,30&lt;=$N$11),"30° ajuste","")</f>
      </c>
      <c r="B58" s="31">
        <f>IF(AND($N$5=1,30&lt;=$N$11),INDEX(IPC!$J$5:$J$16,MOD(J58,12)+1)&amp;" de "&amp;INT((J58)/12),"")</f>
      </c>
      <c r="C58" s="31">
        <f>IF(AND(AND($N$5=1,30&lt;=$N$11),$N$10=1),INDEX(IPC!$J$5:$J$16,MOD(L58,12)+1)&amp;" de "&amp;INT((L58)/12),"")</f>
      </c>
      <c r="D58" s="31">
        <f>IF(AND(AND($N$5=1,30&lt;=$N$11),$N$10=1),INDEX(IPC!$J$5:$J$16,MOD(K58,12)+1)&amp;" de "&amp;INT((K58)/12),"")</f>
      </c>
      <c r="E58" s="38">
        <f>IF(NOT(AND($N$5=1,30&lt;=$N$11)),"",IF($N$10=1,IF(AND($N$14=1,K58&lt;=$N$12),INDEX(IPC!$D$5:$D$173,(K58)-IPC!$J$2+1)/INDEX(IPC!$D$5:$D$173,(L58)-IPC!$J$2+1)-1,""),IF(ISNUMBER(F58),F58/100,"")))</f>
      </c>
      <c r="F58" s="36"/>
      <c r="G58" s="33">
        <f>IF(AND(AND($N$5=1,30&lt;=$N$11),ISNUMBER(G57),ISNUMBER(E58)),G57*(1+E58),"")</f>
      </c>
      <c r="H58" s="31">
        <f>IF(NOT(AND($N$5=1,30&lt;=$N$11)),"",IF(ISNUMBER(G58),"Aplicado",IF(ISNUMBER(G57),IF($N$10=1,"Falta el IPC de "&amp;INDEX(IPC!$J$5:$J$16,MOD($N$12+1,12)+1)&amp;" de "&amp;INT(($N$12+1)/12),"Cargá el % de este ajuste en la columna F"),"")))</f>
      </c>
      <c r="J58">
        <f>IF($N$5=1,$N$7+30*$N$8,"")</f>
      </c>
      <c r="K58">
        <f>IF($N$5=1,J58-1-$N$9,"")</f>
      </c>
      <c r="L58">
        <f>IF($N$5=1,K58-$N$8,"")</f>
      </c>
    </row>
    <row r="59" spans="1:12" x14ac:dyDescent="0.25">
      <c r="A59" s="34">
        <f>IF(AND($N$5=1,31&lt;=$N$11),"31° ajuste","")</f>
      </c>
      <c r="B59" s="34">
        <f>IF(AND($N$5=1,31&lt;=$N$11),INDEX(IPC!$J$5:$J$16,MOD(J59,12)+1)&amp;" de "&amp;INT((J59)/12),"")</f>
      </c>
      <c r="C59" s="34">
        <f>IF(AND(AND($N$5=1,31&lt;=$N$11),$N$10=1),INDEX(IPC!$J$5:$J$16,MOD(L59,12)+1)&amp;" de "&amp;INT((L59)/12),"")</f>
      </c>
      <c r="D59" s="34">
        <f>IF(AND(AND($N$5=1,31&lt;=$N$11),$N$10=1),INDEX(IPC!$J$5:$J$16,MOD(K59,12)+1)&amp;" de "&amp;INT((K59)/12),"")</f>
      </c>
      <c r="E59" s="35">
        <f>IF(NOT(AND($N$5=1,31&lt;=$N$11)),"",IF($N$10=1,IF(AND($N$14=1,K59&lt;=$N$12),INDEX(IPC!$D$5:$D$173,(K59)-IPC!$J$2+1)/INDEX(IPC!$D$5:$D$173,(L59)-IPC!$J$2+1)-1,""),IF(ISNUMBER(F59),F59/100,"")))</f>
      </c>
      <c r="F59" s="36"/>
      <c r="G59" s="37">
        <f>IF(AND(AND($N$5=1,31&lt;=$N$11),ISNUMBER(G58),ISNUMBER(E59)),G58*(1+E59),"")</f>
      </c>
      <c r="H59" s="34">
        <f>IF(NOT(AND($N$5=1,31&lt;=$N$11)),"",IF(ISNUMBER(G59),"Aplicado",IF(ISNUMBER(G58),IF($N$10=1,"Falta el IPC de "&amp;INDEX(IPC!$J$5:$J$16,MOD($N$12+1,12)+1)&amp;" de "&amp;INT(($N$12+1)/12),"Cargá el % de este ajuste en la columna F"),"")))</f>
      </c>
      <c r="J59">
        <f>IF($N$5=1,$N$7+31*$N$8,"")</f>
      </c>
      <c r="K59">
        <f>IF($N$5=1,J59-1-$N$9,"")</f>
      </c>
      <c r="L59">
        <f>IF($N$5=1,K59-$N$8,"")</f>
      </c>
    </row>
    <row r="60" spans="1:12" x14ac:dyDescent="0.25">
      <c r="A60" s="31">
        <f>IF(AND($N$5=1,32&lt;=$N$11),"32° ajuste","")</f>
      </c>
      <c r="B60" s="31">
        <f>IF(AND($N$5=1,32&lt;=$N$11),INDEX(IPC!$J$5:$J$16,MOD(J60,12)+1)&amp;" de "&amp;INT((J60)/12),"")</f>
      </c>
      <c r="C60" s="31">
        <f>IF(AND(AND($N$5=1,32&lt;=$N$11),$N$10=1),INDEX(IPC!$J$5:$J$16,MOD(L60,12)+1)&amp;" de "&amp;INT((L60)/12),"")</f>
      </c>
      <c r="D60" s="31">
        <f>IF(AND(AND($N$5=1,32&lt;=$N$11),$N$10=1),INDEX(IPC!$J$5:$J$16,MOD(K60,12)+1)&amp;" de "&amp;INT((K60)/12),"")</f>
      </c>
      <c r="E60" s="38">
        <f>IF(NOT(AND($N$5=1,32&lt;=$N$11)),"",IF($N$10=1,IF(AND($N$14=1,K60&lt;=$N$12),INDEX(IPC!$D$5:$D$173,(K60)-IPC!$J$2+1)/INDEX(IPC!$D$5:$D$173,(L60)-IPC!$J$2+1)-1,""),IF(ISNUMBER(F60),F60/100,"")))</f>
      </c>
      <c r="F60" s="36"/>
      <c r="G60" s="33">
        <f>IF(AND(AND($N$5=1,32&lt;=$N$11),ISNUMBER(G59),ISNUMBER(E60)),G59*(1+E60),"")</f>
      </c>
      <c r="H60" s="31">
        <f>IF(NOT(AND($N$5=1,32&lt;=$N$11)),"",IF(ISNUMBER(G60),"Aplicado",IF(ISNUMBER(G59),IF($N$10=1,"Falta el IPC de "&amp;INDEX(IPC!$J$5:$J$16,MOD($N$12+1,12)+1)&amp;" de "&amp;INT(($N$12+1)/12),"Cargá el % de este ajuste en la columna F"),"")))</f>
      </c>
      <c r="J60">
        <f>IF($N$5=1,$N$7+32*$N$8,"")</f>
      </c>
      <c r="K60">
        <f>IF($N$5=1,J60-1-$N$9,"")</f>
      </c>
      <c r="L60">
        <f>IF($N$5=1,K60-$N$8,"")</f>
      </c>
    </row>
    <row r="61" spans="1:12" x14ac:dyDescent="0.25">
      <c r="A61" s="34">
        <f>IF(AND($N$5=1,33&lt;=$N$11),"33° ajuste","")</f>
      </c>
      <c r="B61" s="34">
        <f>IF(AND($N$5=1,33&lt;=$N$11),INDEX(IPC!$J$5:$J$16,MOD(J61,12)+1)&amp;" de "&amp;INT((J61)/12),"")</f>
      </c>
      <c r="C61" s="34">
        <f>IF(AND(AND($N$5=1,33&lt;=$N$11),$N$10=1),INDEX(IPC!$J$5:$J$16,MOD(L61,12)+1)&amp;" de "&amp;INT((L61)/12),"")</f>
      </c>
      <c r="D61" s="34">
        <f>IF(AND(AND($N$5=1,33&lt;=$N$11),$N$10=1),INDEX(IPC!$J$5:$J$16,MOD(K61,12)+1)&amp;" de "&amp;INT((K61)/12),"")</f>
      </c>
      <c r="E61" s="35">
        <f>IF(NOT(AND($N$5=1,33&lt;=$N$11)),"",IF($N$10=1,IF(AND($N$14=1,K61&lt;=$N$12),INDEX(IPC!$D$5:$D$173,(K61)-IPC!$J$2+1)/INDEX(IPC!$D$5:$D$173,(L61)-IPC!$J$2+1)-1,""),IF(ISNUMBER(F61),F61/100,"")))</f>
      </c>
      <c r="F61" s="36"/>
      <c r="G61" s="37">
        <f>IF(AND(AND($N$5=1,33&lt;=$N$11),ISNUMBER(G60),ISNUMBER(E61)),G60*(1+E61),"")</f>
      </c>
      <c r="H61" s="34">
        <f>IF(NOT(AND($N$5=1,33&lt;=$N$11)),"",IF(ISNUMBER(G61),"Aplicado",IF(ISNUMBER(G60),IF($N$10=1,"Falta el IPC de "&amp;INDEX(IPC!$J$5:$J$16,MOD($N$12+1,12)+1)&amp;" de "&amp;INT(($N$12+1)/12),"Cargá el % de este ajuste en la columna F"),"")))</f>
      </c>
      <c r="J61">
        <f>IF($N$5=1,$N$7+33*$N$8,"")</f>
      </c>
      <c r="K61">
        <f>IF($N$5=1,J61-1-$N$9,"")</f>
      </c>
      <c r="L61">
        <f>IF($N$5=1,K61-$N$8,"")</f>
      </c>
    </row>
    <row r="62" spans="1:12" x14ac:dyDescent="0.25">
      <c r="A62" s="31">
        <f>IF(AND($N$5=1,34&lt;=$N$11),"34° ajuste","")</f>
      </c>
      <c r="B62" s="31">
        <f>IF(AND($N$5=1,34&lt;=$N$11),INDEX(IPC!$J$5:$J$16,MOD(J62,12)+1)&amp;" de "&amp;INT((J62)/12),"")</f>
      </c>
      <c r="C62" s="31">
        <f>IF(AND(AND($N$5=1,34&lt;=$N$11),$N$10=1),INDEX(IPC!$J$5:$J$16,MOD(L62,12)+1)&amp;" de "&amp;INT((L62)/12),"")</f>
      </c>
      <c r="D62" s="31">
        <f>IF(AND(AND($N$5=1,34&lt;=$N$11),$N$10=1),INDEX(IPC!$J$5:$J$16,MOD(K62,12)+1)&amp;" de "&amp;INT((K62)/12),"")</f>
      </c>
      <c r="E62" s="38">
        <f>IF(NOT(AND($N$5=1,34&lt;=$N$11)),"",IF($N$10=1,IF(AND($N$14=1,K62&lt;=$N$12),INDEX(IPC!$D$5:$D$173,(K62)-IPC!$J$2+1)/INDEX(IPC!$D$5:$D$173,(L62)-IPC!$J$2+1)-1,""),IF(ISNUMBER(F62),F62/100,"")))</f>
      </c>
      <c r="F62" s="36"/>
      <c r="G62" s="33">
        <f>IF(AND(AND($N$5=1,34&lt;=$N$11),ISNUMBER(G61),ISNUMBER(E62)),G61*(1+E62),"")</f>
      </c>
      <c r="H62" s="31">
        <f>IF(NOT(AND($N$5=1,34&lt;=$N$11)),"",IF(ISNUMBER(G62),"Aplicado",IF(ISNUMBER(G61),IF($N$10=1,"Falta el IPC de "&amp;INDEX(IPC!$J$5:$J$16,MOD($N$12+1,12)+1)&amp;" de "&amp;INT(($N$12+1)/12),"Cargá el % de este ajuste en la columna F"),"")))</f>
      </c>
      <c r="J62">
        <f>IF($N$5=1,$N$7+34*$N$8,"")</f>
      </c>
      <c r="K62">
        <f>IF($N$5=1,J62-1-$N$9,"")</f>
      </c>
      <c r="L62">
        <f>IF($N$5=1,K62-$N$8,"")</f>
      </c>
    </row>
    <row r="63" spans="1:12" x14ac:dyDescent="0.25">
      <c r="A63" s="34">
        <f>IF(AND($N$5=1,35&lt;=$N$11),"35° ajuste","")</f>
      </c>
      <c r="B63" s="34">
        <f>IF(AND($N$5=1,35&lt;=$N$11),INDEX(IPC!$J$5:$J$16,MOD(J63,12)+1)&amp;" de "&amp;INT((J63)/12),"")</f>
      </c>
      <c r="C63" s="34">
        <f>IF(AND(AND($N$5=1,35&lt;=$N$11),$N$10=1),INDEX(IPC!$J$5:$J$16,MOD(L63,12)+1)&amp;" de "&amp;INT((L63)/12),"")</f>
      </c>
      <c r="D63" s="34">
        <f>IF(AND(AND($N$5=1,35&lt;=$N$11),$N$10=1),INDEX(IPC!$J$5:$J$16,MOD(K63,12)+1)&amp;" de "&amp;INT((K63)/12),"")</f>
      </c>
      <c r="E63" s="35">
        <f>IF(NOT(AND($N$5=1,35&lt;=$N$11)),"",IF($N$10=1,IF(AND($N$14=1,K63&lt;=$N$12),INDEX(IPC!$D$5:$D$173,(K63)-IPC!$J$2+1)/INDEX(IPC!$D$5:$D$173,(L63)-IPC!$J$2+1)-1,""),IF(ISNUMBER(F63),F63/100,"")))</f>
      </c>
      <c r="F63" s="36"/>
      <c r="G63" s="37">
        <f>IF(AND(AND($N$5=1,35&lt;=$N$11),ISNUMBER(G62),ISNUMBER(E63)),G62*(1+E63),"")</f>
      </c>
      <c r="H63" s="34">
        <f>IF(NOT(AND($N$5=1,35&lt;=$N$11)),"",IF(ISNUMBER(G63),"Aplicado",IF(ISNUMBER(G62),IF($N$10=1,"Falta el IPC de "&amp;INDEX(IPC!$J$5:$J$16,MOD($N$12+1,12)+1)&amp;" de "&amp;INT(($N$12+1)/12),"Cargá el % de este ajuste en la columna F"),"")))</f>
      </c>
      <c r="J63">
        <f>IF($N$5=1,$N$7+35*$N$8,"")</f>
      </c>
      <c r="K63">
        <f>IF($N$5=1,J63-1-$N$9,"")</f>
      </c>
      <c r="L63">
        <f>IF($N$5=1,K63-$N$8,"")</f>
      </c>
    </row>
    <row r="64" spans="1:12" x14ac:dyDescent="0.25">
      <c r="A64" s="31">
        <f>IF(AND($N$5=1,36&lt;=$N$11),"36° ajuste","")</f>
      </c>
      <c r="B64" s="31">
        <f>IF(AND($N$5=1,36&lt;=$N$11),INDEX(IPC!$J$5:$J$16,MOD(J64,12)+1)&amp;" de "&amp;INT((J64)/12),"")</f>
      </c>
      <c r="C64" s="31">
        <f>IF(AND(AND($N$5=1,36&lt;=$N$11),$N$10=1),INDEX(IPC!$J$5:$J$16,MOD(L64,12)+1)&amp;" de "&amp;INT((L64)/12),"")</f>
      </c>
      <c r="D64" s="31">
        <f>IF(AND(AND($N$5=1,36&lt;=$N$11),$N$10=1),INDEX(IPC!$J$5:$J$16,MOD(K64,12)+1)&amp;" de "&amp;INT((K64)/12),"")</f>
      </c>
      <c r="E64" s="38">
        <f>IF(NOT(AND($N$5=1,36&lt;=$N$11)),"",IF($N$10=1,IF(AND($N$14=1,K64&lt;=$N$12),INDEX(IPC!$D$5:$D$173,(K64)-IPC!$J$2+1)/INDEX(IPC!$D$5:$D$173,(L64)-IPC!$J$2+1)-1,""),IF(ISNUMBER(F64),F64/100,"")))</f>
      </c>
      <c r="F64" s="36"/>
      <c r="G64" s="33">
        <f>IF(AND(AND($N$5=1,36&lt;=$N$11),ISNUMBER(G63),ISNUMBER(E64)),G63*(1+E64),"")</f>
      </c>
      <c r="H64" s="31">
        <f>IF(NOT(AND($N$5=1,36&lt;=$N$11)),"",IF(ISNUMBER(G64),"Aplicado",IF(ISNUMBER(G63),IF($N$10=1,"Falta el IPC de "&amp;INDEX(IPC!$J$5:$J$16,MOD($N$12+1,12)+1)&amp;" de "&amp;INT(($N$12+1)/12),"Cargá el % de este ajuste en la columna F"),"")))</f>
      </c>
      <c r="J64">
        <f>IF($N$5=1,$N$7+36*$N$8,"")</f>
      </c>
      <c r="K64">
        <f>IF($N$5=1,J64-1-$N$9,"")</f>
      </c>
      <c r="L64">
        <f>IF($N$5=1,K64-$N$8,"")</f>
      </c>
    </row>
    <row r="65" spans="1:12" x14ac:dyDescent="0.25">
      <c r="A65" s="34">
        <f>IF(AND($N$5=1,37&lt;=$N$11),"37° ajuste","")</f>
      </c>
      <c r="B65" s="34">
        <f>IF(AND($N$5=1,37&lt;=$N$11),INDEX(IPC!$J$5:$J$16,MOD(J65,12)+1)&amp;" de "&amp;INT((J65)/12),"")</f>
      </c>
      <c r="C65" s="34">
        <f>IF(AND(AND($N$5=1,37&lt;=$N$11),$N$10=1),INDEX(IPC!$J$5:$J$16,MOD(L65,12)+1)&amp;" de "&amp;INT((L65)/12),"")</f>
      </c>
      <c r="D65" s="34">
        <f>IF(AND(AND($N$5=1,37&lt;=$N$11),$N$10=1),INDEX(IPC!$J$5:$J$16,MOD(K65,12)+1)&amp;" de "&amp;INT((K65)/12),"")</f>
      </c>
      <c r="E65" s="35">
        <f>IF(NOT(AND($N$5=1,37&lt;=$N$11)),"",IF($N$10=1,IF(AND($N$14=1,K65&lt;=$N$12),INDEX(IPC!$D$5:$D$173,(K65)-IPC!$J$2+1)/INDEX(IPC!$D$5:$D$173,(L65)-IPC!$J$2+1)-1,""),IF(ISNUMBER(F65),F65/100,"")))</f>
      </c>
      <c r="F65" s="36"/>
      <c r="G65" s="37">
        <f>IF(AND(AND($N$5=1,37&lt;=$N$11),ISNUMBER(G64),ISNUMBER(E65)),G64*(1+E65),"")</f>
      </c>
      <c r="H65" s="34">
        <f>IF(NOT(AND($N$5=1,37&lt;=$N$11)),"",IF(ISNUMBER(G65),"Aplicado",IF(ISNUMBER(G64),IF($N$10=1,"Falta el IPC de "&amp;INDEX(IPC!$J$5:$J$16,MOD($N$12+1,12)+1)&amp;" de "&amp;INT(($N$12+1)/12),"Cargá el % de este ajuste en la columna F"),"")))</f>
      </c>
      <c r="J65">
        <f>IF($N$5=1,$N$7+37*$N$8,"")</f>
      </c>
      <c r="K65">
        <f>IF($N$5=1,J65-1-$N$9,"")</f>
      </c>
      <c r="L65">
        <f>IF($N$5=1,K65-$N$8,"")</f>
      </c>
    </row>
    <row r="66" spans="1:12" x14ac:dyDescent="0.25">
      <c r="A66" s="31">
        <f>IF(AND($N$5=1,38&lt;=$N$11),"38° ajuste","")</f>
      </c>
      <c r="B66" s="31">
        <f>IF(AND($N$5=1,38&lt;=$N$11),INDEX(IPC!$J$5:$J$16,MOD(J66,12)+1)&amp;" de "&amp;INT((J66)/12),"")</f>
      </c>
      <c r="C66" s="31">
        <f>IF(AND(AND($N$5=1,38&lt;=$N$11),$N$10=1),INDEX(IPC!$J$5:$J$16,MOD(L66,12)+1)&amp;" de "&amp;INT((L66)/12),"")</f>
      </c>
      <c r="D66" s="31">
        <f>IF(AND(AND($N$5=1,38&lt;=$N$11),$N$10=1),INDEX(IPC!$J$5:$J$16,MOD(K66,12)+1)&amp;" de "&amp;INT((K66)/12),"")</f>
      </c>
      <c r="E66" s="38">
        <f>IF(NOT(AND($N$5=1,38&lt;=$N$11)),"",IF($N$10=1,IF(AND($N$14=1,K66&lt;=$N$12),INDEX(IPC!$D$5:$D$173,(K66)-IPC!$J$2+1)/INDEX(IPC!$D$5:$D$173,(L66)-IPC!$J$2+1)-1,""),IF(ISNUMBER(F66),F66/100,"")))</f>
      </c>
      <c r="F66" s="36"/>
      <c r="G66" s="33">
        <f>IF(AND(AND($N$5=1,38&lt;=$N$11),ISNUMBER(G65),ISNUMBER(E66)),G65*(1+E66),"")</f>
      </c>
      <c r="H66" s="31">
        <f>IF(NOT(AND($N$5=1,38&lt;=$N$11)),"",IF(ISNUMBER(G66),"Aplicado",IF(ISNUMBER(G65),IF($N$10=1,"Falta el IPC de "&amp;INDEX(IPC!$J$5:$J$16,MOD($N$12+1,12)+1)&amp;" de "&amp;INT(($N$12+1)/12),"Cargá el % de este ajuste en la columna F"),"")))</f>
      </c>
      <c r="J66">
        <f>IF($N$5=1,$N$7+38*$N$8,"")</f>
      </c>
      <c r="K66">
        <f>IF($N$5=1,J66-1-$N$9,"")</f>
      </c>
      <c r="L66">
        <f>IF($N$5=1,K66-$N$8,"")</f>
      </c>
    </row>
    <row r="67" spans="1:12" x14ac:dyDescent="0.25">
      <c r="A67" s="34">
        <f>IF(AND($N$5=1,39&lt;=$N$11),"39° ajuste","")</f>
      </c>
      <c r="B67" s="34">
        <f>IF(AND($N$5=1,39&lt;=$N$11),INDEX(IPC!$J$5:$J$16,MOD(J67,12)+1)&amp;" de "&amp;INT((J67)/12),"")</f>
      </c>
      <c r="C67" s="34">
        <f>IF(AND(AND($N$5=1,39&lt;=$N$11),$N$10=1),INDEX(IPC!$J$5:$J$16,MOD(L67,12)+1)&amp;" de "&amp;INT((L67)/12),"")</f>
      </c>
      <c r="D67" s="34">
        <f>IF(AND(AND($N$5=1,39&lt;=$N$11),$N$10=1),INDEX(IPC!$J$5:$J$16,MOD(K67,12)+1)&amp;" de "&amp;INT((K67)/12),"")</f>
      </c>
      <c r="E67" s="35">
        <f>IF(NOT(AND($N$5=1,39&lt;=$N$11)),"",IF($N$10=1,IF(AND($N$14=1,K67&lt;=$N$12),INDEX(IPC!$D$5:$D$173,(K67)-IPC!$J$2+1)/INDEX(IPC!$D$5:$D$173,(L67)-IPC!$J$2+1)-1,""),IF(ISNUMBER(F67),F67/100,"")))</f>
      </c>
      <c r="F67" s="36"/>
      <c r="G67" s="37">
        <f>IF(AND(AND($N$5=1,39&lt;=$N$11),ISNUMBER(G66),ISNUMBER(E67)),G66*(1+E67),"")</f>
      </c>
      <c r="H67" s="34">
        <f>IF(NOT(AND($N$5=1,39&lt;=$N$11)),"",IF(ISNUMBER(G67),"Aplicado",IF(ISNUMBER(G66),IF($N$10=1,"Falta el IPC de "&amp;INDEX(IPC!$J$5:$J$16,MOD($N$12+1,12)+1)&amp;" de "&amp;INT(($N$12+1)/12),"Cargá el % de este ajuste en la columna F"),"")))</f>
      </c>
      <c r="J67">
        <f>IF($N$5=1,$N$7+39*$N$8,"")</f>
      </c>
      <c r="K67">
        <f>IF($N$5=1,J67-1-$N$9,"")</f>
      </c>
      <c r="L67">
        <f>IF($N$5=1,K67-$N$8,"")</f>
      </c>
    </row>
    <row r="68" spans="1:12" x14ac:dyDescent="0.25">
      <c r="A68" s="31">
        <f>IF(AND($N$5=1,40&lt;=$N$11),"40° ajuste","")</f>
      </c>
      <c r="B68" s="31">
        <f>IF(AND($N$5=1,40&lt;=$N$11),INDEX(IPC!$J$5:$J$16,MOD(J68,12)+1)&amp;" de "&amp;INT((J68)/12),"")</f>
      </c>
      <c r="C68" s="31">
        <f>IF(AND(AND($N$5=1,40&lt;=$N$11),$N$10=1),INDEX(IPC!$J$5:$J$16,MOD(L68,12)+1)&amp;" de "&amp;INT((L68)/12),"")</f>
      </c>
      <c r="D68" s="31">
        <f>IF(AND(AND($N$5=1,40&lt;=$N$11),$N$10=1),INDEX(IPC!$J$5:$J$16,MOD(K68,12)+1)&amp;" de "&amp;INT((K68)/12),"")</f>
      </c>
      <c r="E68" s="38">
        <f>IF(NOT(AND($N$5=1,40&lt;=$N$11)),"",IF($N$10=1,IF(AND($N$14=1,K68&lt;=$N$12),INDEX(IPC!$D$5:$D$173,(K68)-IPC!$J$2+1)/INDEX(IPC!$D$5:$D$173,(L68)-IPC!$J$2+1)-1,""),IF(ISNUMBER(F68),F68/100,"")))</f>
      </c>
      <c r="F68" s="36"/>
      <c r="G68" s="33">
        <f>IF(AND(AND($N$5=1,40&lt;=$N$11),ISNUMBER(G67),ISNUMBER(E68)),G67*(1+E68),"")</f>
      </c>
      <c r="H68" s="31">
        <f>IF(NOT(AND($N$5=1,40&lt;=$N$11)),"",IF(ISNUMBER(G68),"Aplicado",IF(ISNUMBER(G67),IF($N$10=1,"Falta el IPC de "&amp;INDEX(IPC!$J$5:$J$16,MOD($N$12+1,12)+1)&amp;" de "&amp;INT(($N$12+1)/12),"Cargá el % de este ajuste en la columna F"),"")))</f>
      </c>
      <c r="J68">
        <f>IF($N$5=1,$N$7+40*$N$8,"")</f>
      </c>
      <c r="K68">
        <f>IF($N$5=1,J68-1-$N$9,"")</f>
      </c>
      <c r="L68">
        <f>IF($N$5=1,K68-$N$8,"")</f>
      </c>
    </row>
    <row r="69" spans="1:12" x14ac:dyDescent="0.25">
      <c r="A69" s="34">
        <f>IF(AND($N$5=1,41&lt;=$N$11),"41° ajuste","")</f>
      </c>
      <c r="B69" s="34">
        <f>IF(AND($N$5=1,41&lt;=$N$11),INDEX(IPC!$J$5:$J$16,MOD(J69,12)+1)&amp;" de "&amp;INT((J69)/12),"")</f>
      </c>
      <c r="C69" s="34">
        <f>IF(AND(AND($N$5=1,41&lt;=$N$11),$N$10=1),INDEX(IPC!$J$5:$J$16,MOD(L69,12)+1)&amp;" de "&amp;INT((L69)/12),"")</f>
      </c>
      <c r="D69" s="34">
        <f>IF(AND(AND($N$5=1,41&lt;=$N$11),$N$10=1),INDEX(IPC!$J$5:$J$16,MOD(K69,12)+1)&amp;" de "&amp;INT((K69)/12),"")</f>
      </c>
      <c r="E69" s="35">
        <f>IF(NOT(AND($N$5=1,41&lt;=$N$11)),"",IF($N$10=1,IF(AND($N$14=1,K69&lt;=$N$12),INDEX(IPC!$D$5:$D$173,(K69)-IPC!$J$2+1)/INDEX(IPC!$D$5:$D$173,(L69)-IPC!$J$2+1)-1,""),IF(ISNUMBER(F69),F69/100,"")))</f>
      </c>
      <c r="F69" s="36"/>
      <c r="G69" s="37">
        <f>IF(AND(AND($N$5=1,41&lt;=$N$11),ISNUMBER(G68),ISNUMBER(E69)),G68*(1+E69),"")</f>
      </c>
      <c r="H69" s="34">
        <f>IF(NOT(AND($N$5=1,41&lt;=$N$11)),"",IF(ISNUMBER(G69),"Aplicado",IF(ISNUMBER(G68),IF($N$10=1,"Falta el IPC de "&amp;INDEX(IPC!$J$5:$J$16,MOD($N$12+1,12)+1)&amp;" de "&amp;INT(($N$12+1)/12),"Cargá el % de este ajuste en la columna F"),"")))</f>
      </c>
      <c r="J69">
        <f>IF($N$5=1,$N$7+41*$N$8,"")</f>
      </c>
      <c r="K69">
        <f>IF($N$5=1,J69-1-$N$9,"")</f>
      </c>
      <c r="L69">
        <f>IF($N$5=1,K69-$N$8,"")</f>
      </c>
    </row>
    <row r="70" spans="1:12" x14ac:dyDescent="0.25">
      <c r="A70" s="31">
        <f>IF(AND($N$5=1,42&lt;=$N$11),"42° ajuste","")</f>
      </c>
      <c r="B70" s="31">
        <f>IF(AND($N$5=1,42&lt;=$N$11),INDEX(IPC!$J$5:$J$16,MOD(J70,12)+1)&amp;" de "&amp;INT((J70)/12),"")</f>
      </c>
      <c r="C70" s="31">
        <f>IF(AND(AND($N$5=1,42&lt;=$N$11),$N$10=1),INDEX(IPC!$J$5:$J$16,MOD(L70,12)+1)&amp;" de "&amp;INT((L70)/12),"")</f>
      </c>
      <c r="D70" s="31">
        <f>IF(AND(AND($N$5=1,42&lt;=$N$11),$N$10=1),INDEX(IPC!$J$5:$J$16,MOD(K70,12)+1)&amp;" de "&amp;INT((K70)/12),"")</f>
      </c>
      <c r="E70" s="38">
        <f>IF(NOT(AND($N$5=1,42&lt;=$N$11)),"",IF($N$10=1,IF(AND($N$14=1,K70&lt;=$N$12),INDEX(IPC!$D$5:$D$173,(K70)-IPC!$J$2+1)/INDEX(IPC!$D$5:$D$173,(L70)-IPC!$J$2+1)-1,""),IF(ISNUMBER(F70),F70/100,"")))</f>
      </c>
      <c r="F70" s="36"/>
      <c r="G70" s="33">
        <f>IF(AND(AND($N$5=1,42&lt;=$N$11),ISNUMBER(G69),ISNUMBER(E70)),G69*(1+E70),"")</f>
      </c>
      <c r="H70" s="31">
        <f>IF(NOT(AND($N$5=1,42&lt;=$N$11)),"",IF(ISNUMBER(G70),"Aplicado",IF(ISNUMBER(G69),IF($N$10=1,"Falta el IPC de "&amp;INDEX(IPC!$J$5:$J$16,MOD($N$12+1,12)+1)&amp;" de "&amp;INT(($N$12+1)/12),"Cargá el % de este ajuste en la columna F"),"")))</f>
      </c>
      <c r="J70">
        <f>IF($N$5=1,$N$7+42*$N$8,"")</f>
      </c>
      <c r="K70">
        <f>IF($N$5=1,J70-1-$N$9,"")</f>
      </c>
      <c r="L70">
        <f>IF($N$5=1,K70-$N$8,"")</f>
      </c>
    </row>
    <row r="71" spans="1:12" x14ac:dyDescent="0.25">
      <c r="A71" s="34">
        <f>IF(AND($N$5=1,43&lt;=$N$11),"43° ajuste","")</f>
      </c>
      <c r="B71" s="34">
        <f>IF(AND($N$5=1,43&lt;=$N$11),INDEX(IPC!$J$5:$J$16,MOD(J71,12)+1)&amp;" de "&amp;INT((J71)/12),"")</f>
      </c>
      <c r="C71" s="34">
        <f>IF(AND(AND($N$5=1,43&lt;=$N$11),$N$10=1),INDEX(IPC!$J$5:$J$16,MOD(L71,12)+1)&amp;" de "&amp;INT((L71)/12),"")</f>
      </c>
      <c r="D71" s="34">
        <f>IF(AND(AND($N$5=1,43&lt;=$N$11),$N$10=1),INDEX(IPC!$J$5:$J$16,MOD(K71,12)+1)&amp;" de "&amp;INT((K71)/12),"")</f>
      </c>
      <c r="E71" s="35">
        <f>IF(NOT(AND($N$5=1,43&lt;=$N$11)),"",IF($N$10=1,IF(AND($N$14=1,K71&lt;=$N$12),INDEX(IPC!$D$5:$D$173,(K71)-IPC!$J$2+1)/INDEX(IPC!$D$5:$D$173,(L71)-IPC!$J$2+1)-1,""),IF(ISNUMBER(F71),F71/100,"")))</f>
      </c>
      <c r="F71" s="36"/>
      <c r="G71" s="37">
        <f>IF(AND(AND($N$5=1,43&lt;=$N$11),ISNUMBER(G70),ISNUMBER(E71)),G70*(1+E71),"")</f>
      </c>
      <c r="H71" s="34">
        <f>IF(NOT(AND($N$5=1,43&lt;=$N$11)),"",IF(ISNUMBER(G71),"Aplicado",IF(ISNUMBER(G70),IF($N$10=1,"Falta el IPC de "&amp;INDEX(IPC!$J$5:$J$16,MOD($N$12+1,12)+1)&amp;" de "&amp;INT(($N$12+1)/12),"Cargá el % de este ajuste en la columna F"),"")))</f>
      </c>
      <c r="J71">
        <f>IF($N$5=1,$N$7+43*$N$8,"")</f>
      </c>
      <c r="K71">
        <f>IF($N$5=1,J71-1-$N$9,"")</f>
      </c>
      <c r="L71">
        <f>IF($N$5=1,K71-$N$8,"")</f>
      </c>
    </row>
    <row r="72" spans="1:12" x14ac:dyDescent="0.25">
      <c r="A72" s="31">
        <f>IF(AND($N$5=1,44&lt;=$N$11),"44° ajuste","")</f>
      </c>
      <c r="B72" s="31">
        <f>IF(AND($N$5=1,44&lt;=$N$11),INDEX(IPC!$J$5:$J$16,MOD(J72,12)+1)&amp;" de "&amp;INT((J72)/12),"")</f>
      </c>
      <c r="C72" s="31">
        <f>IF(AND(AND($N$5=1,44&lt;=$N$11),$N$10=1),INDEX(IPC!$J$5:$J$16,MOD(L72,12)+1)&amp;" de "&amp;INT((L72)/12),"")</f>
      </c>
      <c r="D72" s="31">
        <f>IF(AND(AND($N$5=1,44&lt;=$N$11),$N$10=1),INDEX(IPC!$J$5:$J$16,MOD(K72,12)+1)&amp;" de "&amp;INT((K72)/12),"")</f>
      </c>
      <c r="E72" s="38">
        <f>IF(NOT(AND($N$5=1,44&lt;=$N$11)),"",IF($N$10=1,IF(AND($N$14=1,K72&lt;=$N$12),INDEX(IPC!$D$5:$D$173,(K72)-IPC!$J$2+1)/INDEX(IPC!$D$5:$D$173,(L72)-IPC!$J$2+1)-1,""),IF(ISNUMBER(F72),F72/100,"")))</f>
      </c>
      <c r="F72" s="36"/>
      <c r="G72" s="33">
        <f>IF(AND(AND($N$5=1,44&lt;=$N$11),ISNUMBER(G71),ISNUMBER(E72)),G71*(1+E72),"")</f>
      </c>
      <c r="H72" s="31">
        <f>IF(NOT(AND($N$5=1,44&lt;=$N$11)),"",IF(ISNUMBER(G72),"Aplicado",IF(ISNUMBER(G71),IF($N$10=1,"Falta el IPC de "&amp;INDEX(IPC!$J$5:$J$16,MOD($N$12+1,12)+1)&amp;" de "&amp;INT(($N$12+1)/12),"Cargá el % de este ajuste en la columna F"),"")))</f>
      </c>
      <c r="J72">
        <f>IF($N$5=1,$N$7+44*$N$8,"")</f>
      </c>
      <c r="K72">
        <f>IF($N$5=1,J72-1-$N$9,"")</f>
      </c>
      <c r="L72">
        <f>IF($N$5=1,K72-$N$8,"")</f>
      </c>
    </row>
    <row r="73" spans="1:12" x14ac:dyDescent="0.25">
      <c r="A73" s="34">
        <f>IF(AND($N$5=1,45&lt;=$N$11),"45° ajuste","")</f>
      </c>
      <c r="B73" s="34">
        <f>IF(AND($N$5=1,45&lt;=$N$11),INDEX(IPC!$J$5:$J$16,MOD(J73,12)+1)&amp;" de "&amp;INT((J73)/12),"")</f>
      </c>
      <c r="C73" s="34">
        <f>IF(AND(AND($N$5=1,45&lt;=$N$11),$N$10=1),INDEX(IPC!$J$5:$J$16,MOD(L73,12)+1)&amp;" de "&amp;INT((L73)/12),"")</f>
      </c>
      <c r="D73" s="34">
        <f>IF(AND(AND($N$5=1,45&lt;=$N$11),$N$10=1),INDEX(IPC!$J$5:$J$16,MOD(K73,12)+1)&amp;" de "&amp;INT((K73)/12),"")</f>
      </c>
      <c r="E73" s="35">
        <f>IF(NOT(AND($N$5=1,45&lt;=$N$11)),"",IF($N$10=1,IF(AND($N$14=1,K73&lt;=$N$12),INDEX(IPC!$D$5:$D$173,(K73)-IPC!$J$2+1)/INDEX(IPC!$D$5:$D$173,(L73)-IPC!$J$2+1)-1,""),IF(ISNUMBER(F73),F73/100,"")))</f>
      </c>
      <c r="F73" s="36"/>
      <c r="G73" s="37">
        <f>IF(AND(AND($N$5=1,45&lt;=$N$11),ISNUMBER(G72),ISNUMBER(E73)),G72*(1+E73),"")</f>
      </c>
      <c r="H73" s="34">
        <f>IF(NOT(AND($N$5=1,45&lt;=$N$11)),"",IF(ISNUMBER(G73),"Aplicado",IF(ISNUMBER(G72),IF($N$10=1,"Falta el IPC de "&amp;INDEX(IPC!$J$5:$J$16,MOD($N$12+1,12)+1)&amp;" de "&amp;INT(($N$12+1)/12),"Cargá el % de este ajuste en la columna F"),"")))</f>
      </c>
      <c r="J73">
        <f>IF($N$5=1,$N$7+45*$N$8,"")</f>
      </c>
      <c r="K73">
        <f>IF($N$5=1,J73-1-$N$9,"")</f>
      </c>
      <c r="L73">
        <f>IF($N$5=1,K73-$N$8,"")</f>
      </c>
    </row>
    <row r="74" spans="1:12" x14ac:dyDescent="0.25">
      <c r="A74" s="31">
        <f>IF(AND($N$5=1,46&lt;=$N$11),"46° ajuste","")</f>
      </c>
      <c r="B74" s="31">
        <f>IF(AND($N$5=1,46&lt;=$N$11),INDEX(IPC!$J$5:$J$16,MOD(J74,12)+1)&amp;" de "&amp;INT((J74)/12),"")</f>
      </c>
      <c r="C74" s="31">
        <f>IF(AND(AND($N$5=1,46&lt;=$N$11),$N$10=1),INDEX(IPC!$J$5:$J$16,MOD(L74,12)+1)&amp;" de "&amp;INT((L74)/12),"")</f>
      </c>
      <c r="D74" s="31">
        <f>IF(AND(AND($N$5=1,46&lt;=$N$11),$N$10=1),INDEX(IPC!$J$5:$J$16,MOD(K74,12)+1)&amp;" de "&amp;INT((K74)/12),"")</f>
      </c>
      <c r="E74" s="38">
        <f>IF(NOT(AND($N$5=1,46&lt;=$N$11)),"",IF($N$10=1,IF(AND($N$14=1,K74&lt;=$N$12),INDEX(IPC!$D$5:$D$173,(K74)-IPC!$J$2+1)/INDEX(IPC!$D$5:$D$173,(L74)-IPC!$J$2+1)-1,""),IF(ISNUMBER(F74),F74/100,"")))</f>
      </c>
      <c r="F74" s="36"/>
      <c r="G74" s="33">
        <f>IF(AND(AND($N$5=1,46&lt;=$N$11),ISNUMBER(G73),ISNUMBER(E74)),G73*(1+E74),"")</f>
      </c>
      <c r="H74" s="31">
        <f>IF(NOT(AND($N$5=1,46&lt;=$N$11)),"",IF(ISNUMBER(G74),"Aplicado",IF(ISNUMBER(G73),IF($N$10=1,"Falta el IPC de "&amp;INDEX(IPC!$J$5:$J$16,MOD($N$12+1,12)+1)&amp;" de "&amp;INT(($N$12+1)/12),"Cargá el % de este ajuste en la columna F"),"")))</f>
      </c>
      <c r="J74">
        <f>IF($N$5=1,$N$7+46*$N$8,"")</f>
      </c>
      <c r="K74">
        <f>IF($N$5=1,J74-1-$N$9,"")</f>
      </c>
      <c r="L74">
        <f>IF($N$5=1,K74-$N$8,"")</f>
      </c>
    </row>
    <row r="75" spans="1:12" x14ac:dyDescent="0.25">
      <c r="A75" s="34">
        <f>IF(AND($N$5=1,47&lt;=$N$11),"47° ajuste","")</f>
      </c>
      <c r="B75" s="34">
        <f>IF(AND($N$5=1,47&lt;=$N$11),INDEX(IPC!$J$5:$J$16,MOD(J75,12)+1)&amp;" de "&amp;INT((J75)/12),"")</f>
      </c>
      <c r="C75" s="34">
        <f>IF(AND(AND($N$5=1,47&lt;=$N$11),$N$10=1),INDEX(IPC!$J$5:$J$16,MOD(L75,12)+1)&amp;" de "&amp;INT((L75)/12),"")</f>
      </c>
      <c r="D75" s="34">
        <f>IF(AND(AND($N$5=1,47&lt;=$N$11),$N$10=1),INDEX(IPC!$J$5:$J$16,MOD(K75,12)+1)&amp;" de "&amp;INT((K75)/12),"")</f>
      </c>
      <c r="E75" s="35">
        <f>IF(NOT(AND($N$5=1,47&lt;=$N$11)),"",IF($N$10=1,IF(AND($N$14=1,K75&lt;=$N$12),INDEX(IPC!$D$5:$D$173,(K75)-IPC!$J$2+1)/INDEX(IPC!$D$5:$D$173,(L75)-IPC!$J$2+1)-1,""),IF(ISNUMBER(F75),F75/100,"")))</f>
      </c>
      <c r="F75" s="36"/>
      <c r="G75" s="37">
        <f>IF(AND(AND($N$5=1,47&lt;=$N$11),ISNUMBER(G74),ISNUMBER(E75)),G74*(1+E75),"")</f>
      </c>
      <c r="H75" s="34">
        <f>IF(NOT(AND($N$5=1,47&lt;=$N$11)),"",IF(ISNUMBER(G75),"Aplicado",IF(ISNUMBER(G74),IF($N$10=1,"Falta el IPC de "&amp;INDEX(IPC!$J$5:$J$16,MOD($N$12+1,12)+1)&amp;" de "&amp;INT(($N$12+1)/12),"Cargá el % de este ajuste en la columna F"),"")))</f>
      </c>
      <c r="J75">
        <f>IF($N$5=1,$N$7+47*$N$8,"")</f>
      </c>
      <c r="K75">
        <f>IF($N$5=1,J75-1-$N$9,"")</f>
      </c>
      <c r="L75">
        <f>IF($N$5=1,K75-$N$8,"")</f>
      </c>
    </row>
    <row r="76" spans="1:12" x14ac:dyDescent="0.25">
      <c r="A76" s="31">
        <f>IF(AND($N$5=1,48&lt;=$N$11),"48° ajuste","")</f>
      </c>
      <c r="B76" s="31">
        <f>IF(AND($N$5=1,48&lt;=$N$11),INDEX(IPC!$J$5:$J$16,MOD(J76,12)+1)&amp;" de "&amp;INT((J76)/12),"")</f>
      </c>
      <c r="C76" s="31">
        <f>IF(AND(AND($N$5=1,48&lt;=$N$11),$N$10=1),INDEX(IPC!$J$5:$J$16,MOD(L76,12)+1)&amp;" de "&amp;INT((L76)/12),"")</f>
      </c>
      <c r="D76" s="31">
        <f>IF(AND(AND($N$5=1,48&lt;=$N$11),$N$10=1),INDEX(IPC!$J$5:$J$16,MOD(K76,12)+1)&amp;" de "&amp;INT((K76)/12),"")</f>
      </c>
      <c r="E76" s="38">
        <f>IF(NOT(AND($N$5=1,48&lt;=$N$11)),"",IF($N$10=1,IF(AND($N$14=1,K76&lt;=$N$12),INDEX(IPC!$D$5:$D$173,(K76)-IPC!$J$2+1)/INDEX(IPC!$D$5:$D$173,(L76)-IPC!$J$2+1)-1,""),IF(ISNUMBER(F76),F76/100,"")))</f>
      </c>
      <c r="F76" s="36"/>
      <c r="G76" s="33">
        <f>IF(AND(AND($N$5=1,48&lt;=$N$11),ISNUMBER(G75),ISNUMBER(E76)),G75*(1+E76),"")</f>
      </c>
      <c r="H76" s="31">
        <f>IF(NOT(AND($N$5=1,48&lt;=$N$11)),"",IF(ISNUMBER(G76),"Aplicado",IF(ISNUMBER(G75),IF($N$10=1,"Falta el IPC de "&amp;INDEX(IPC!$J$5:$J$16,MOD($N$12+1,12)+1)&amp;" de "&amp;INT(($N$12+1)/12),"Cargá el % de este ajuste en la columna F"),"")))</f>
      </c>
      <c r="J76">
        <f>IF($N$5=1,$N$7+48*$N$8,"")</f>
      </c>
      <c r="K76">
        <f>IF($N$5=1,J76-1-$N$9,"")</f>
      </c>
      <c r="L76">
        <f>IF($N$5=1,K76-$N$8,"")</f>
      </c>
    </row>
    <row r="77" spans="1:12" x14ac:dyDescent="0.25">
      <c r="A77" s="34">
        <f>IF(AND($N$5=1,49&lt;=$N$11),"49° ajuste","")</f>
      </c>
      <c r="B77" s="34">
        <f>IF(AND($N$5=1,49&lt;=$N$11),INDEX(IPC!$J$5:$J$16,MOD(J77,12)+1)&amp;" de "&amp;INT((J77)/12),"")</f>
      </c>
      <c r="C77" s="34">
        <f>IF(AND(AND($N$5=1,49&lt;=$N$11),$N$10=1),INDEX(IPC!$J$5:$J$16,MOD(L77,12)+1)&amp;" de "&amp;INT((L77)/12),"")</f>
      </c>
      <c r="D77" s="34">
        <f>IF(AND(AND($N$5=1,49&lt;=$N$11),$N$10=1),INDEX(IPC!$J$5:$J$16,MOD(K77,12)+1)&amp;" de "&amp;INT((K77)/12),"")</f>
      </c>
      <c r="E77" s="35">
        <f>IF(NOT(AND($N$5=1,49&lt;=$N$11)),"",IF($N$10=1,IF(AND($N$14=1,K77&lt;=$N$12),INDEX(IPC!$D$5:$D$173,(K77)-IPC!$J$2+1)/INDEX(IPC!$D$5:$D$173,(L77)-IPC!$J$2+1)-1,""),IF(ISNUMBER(F77),F77/100,"")))</f>
      </c>
      <c r="F77" s="36"/>
      <c r="G77" s="37">
        <f>IF(AND(AND($N$5=1,49&lt;=$N$11),ISNUMBER(G76),ISNUMBER(E77)),G76*(1+E77),"")</f>
      </c>
      <c r="H77" s="34">
        <f>IF(NOT(AND($N$5=1,49&lt;=$N$11)),"",IF(ISNUMBER(G77),"Aplicado",IF(ISNUMBER(G76),IF($N$10=1,"Falta el IPC de "&amp;INDEX(IPC!$J$5:$J$16,MOD($N$12+1,12)+1)&amp;" de "&amp;INT(($N$12+1)/12),"Cargá el % de este ajuste en la columna F"),"")))</f>
      </c>
      <c r="J77">
        <f>IF($N$5=1,$N$7+49*$N$8,"")</f>
      </c>
      <c r="K77">
        <f>IF($N$5=1,J77-1-$N$9,"")</f>
      </c>
      <c r="L77">
        <f>IF($N$5=1,K77-$N$8,"")</f>
      </c>
    </row>
    <row r="78" spans="1:12" x14ac:dyDescent="0.25">
      <c r="A78" s="31">
        <f>IF(AND($N$5=1,50&lt;=$N$11),"50° ajuste","")</f>
      </c>
      <c r="B78" s="31">
        <f>IF(AND($N$5=1,50&lt;=$N$11),INDEX(IPC!$J$5:$J$16,MOD(J78,12)+1)&amp;" de "&amp;INT((J78)/12),"")</f>
      </c>
      <c r="C78" s="31">
        <f>IF(AND(AND($N$5=1,50&lt;=$N$11),$N$10=1),INDEX(IPC!$J$5:$J$16,MOD(L78,12)+1)&amp;" de "&amp;INT((L78)/12),"")</f>
      </c>
      <c r="D78" s="31">
        <f>IF(AND(AND($N$5=1,50&lt;=$N$11),$N$10=1),INDEX(IPC!$J$5:$J$16,MOD(K78,12)+1)&amp;" de "&amp;INT((K78)/12),"")</f>
      </c>
      <c r="E78" s="38">
        <f>IF(NOT(AND($N$5=1,50&lt;=$N$11)),"",IF($N$10=1,IF(AND($N$14=1,K78&lt;=$N$12),INDEX(IPC!$D$5:$D$173,(K78)-IPC!$J$2+1)/INDEX(IPC!$D$5:$D$173,(L78)-IPC!$J$2+1)-1,""),IF(ISNUMBER(F78),F78/100,"")))</f>
      </c>
      <c r="F78" s="36"/>
      <c r="G78" s="33">
        <f>IF(AND(AND($N$5=1,50&lt;=$N$11),ISNUMBER(G77),ISNUMBER(E78)),G77*(1+E78),"")</f>
      </c>
      <c r="H78" s="31">
        <f>IF(NOT(AND($N$5=1,50&lt;=$N$11)),"",IF(ISNUMBER(G78),"Aplicado",IF(ISNUMBER(G77),IF($N$10=1,"Falta el IPC de "&amp;INDEX(IPC!$J$5:$J$16,MOD($N$12+1,12)+1)&amp;" de "&amp;INT(($N$12+1)/12),"Cargá el % de este ajuste en la columna F"),"")))</f>
      </c>
      <c r="J78">
        <f>IF($N$5=1,$N$7+50*$N$8,"")</f>
      </c>
      <c r="K78">
        <f>IF($N$5=1,J78-1-$N$9,"")</f>
      </c>
      <c r="L78">
        <f>IF($N$5=1,K78-$N$8,"")</f>
      </c>
    </row>
    <row r="79" spans="1:12" x14ac:dyDescent="0.25">
      <c r="A79" s="34">
        <f>IF(AND($N$5=1,51&lt;=$N$11),"51° ajuste","")</f>
      </c>
      <c r="B79" s="34">
        <f>IF(AND($N$5=1,51&lt;=$N$11),INDEX(IPC!$J$5:$J$16,MOD(J79,12)+1)&amp;" de "&amp;INT((J79)/12),"")</f>
      </c>
      <c r="C79" s="34">
        <f>IF(AND(AND($N$5=1,51&lt;=$N$11),$N$10=1),INDEX(IPC!$J$5:$J$16,MOD(L79,12)+1)&amp;" de "&amp;INT((L79)/12),"")</f>
      </c>
      <c r="D79" s="34">
        <f>IF(AND(AND($N$5=1,51&lt;=$N$11),$N$10=1),INDEX(IPC!$J$5:$J$16,MOD(K79,12)+1)&amp;" de "&amp;INT((K79)/12),"")</f>
      </c>
      <c r="E79" s="35">
        <f>IF(NOT(AND($N$5=1,51&lt;=$N$11)),"",IF($N$10=1,IF(AND($N$14=1,K79&lt;=$N$12),INDEX(IPC!$D$5:$D$173,(K79)-IPC!$J$2+1)/INDEX(IPC!$D$5:$D$173,(L79)-IPC!$J$2+1)-1,""),IF(ISNUMBER(F79),F79/100,"")))</f>
      </c>
      <c r="F79" s="36"/>
      <c r="G79" s="37">
        <f>IF(AND(AND($N$5=1,51&lt;=$N$11),ISNUMBER(G78),ISNUMBER(E79)),G78*(1+E79),"")</f>
      </c>
      <c r="H79" s="34">
        <f>IF(NOT(AND($N$5=1,51&lt;=$N$11)),"",IF(ISNUMBER(G79),"Aplicado",IF(ISNUMBER(G78),IF($N$10=1,"Falta el IPC de "&amp;INDEX(IPC!$J$5:$J$16,MOD($N$12+1,12)+1)&amp;" de "&amp;INT(($N$12+1)/12),"Cargá el % de este ajuste en la columna F"),"")))</f>
      </c>
      <c r="J79">
        <f>IF($N$5=1,$N$7+51*$N$8,"")</f>
      </c>
      <c r="K79">
        <f>IF($N$5=1,J79-1-$N$9,"")</f>
      </c>
      <c r="L79">
        <f>IF($N$5=1,K79-$N$8,"")</f>
      </c>
    </row>
    <row r="80" spans="1:12" x14ac:dyDescent="0.25">
      <c r="A80" s="31">
        <f>IF(AND($N$5=1,52&lt;=$N$11),"52° ajuste","")</f>
      </c>
      <c r="B80" s="31">
        <f>IF(AND($N$5=1,52&lt;=$N$11),INDEX(IPC!$J$5:$J$16,MOD(J80,12)+1)&amp;" de "&amp;INT((J80)/12),"")</f>
      </c>
      <c r="C80" s="31">
        <f>IF(AND(AND($N$5=1,52&lt;=$N$11),$N$10=1),INDEX(IPC!$J$5:$J$16,MOD(L80,12)+1)&amp;" de "&amp;INT((L80)/12),"")</f>
      </c>
      <c r="D80" s="31">
        <f>IF(AND(AND($N$5=1,52&lt;=$N$11),$N$10=1),INDEX(IPC!$J$5:$J$16,MOD(K80,12)+1)&amp;" de "&amp;INT((K80)/12),"")</f>
      </c>
      <c r="E80" s="38">
        <f>IF(NOT(AND($N$5=1,52&lt;=$N$11)),"",IF($N$10=1,IF(AND($N$14=1,K80&lt;=$N$12),INDEX(IPC!$D$5:$D$173,(K80)-IPC!$J$2+1)/INDEX(IPC!$D$5:$D$173,(L80)-IPC!$J$2+1)-1,""),IF(ISNUMBER(F80),F80/100,"")))</f>
      </c>
      <c r="F80" s="36"/>
      <c r="G80" s="33">
        <f>IF(AND(AND($N$5=1,52&lt;=$N$11),ISNUMBER(G79),ISNUMBER(E80)),G79*(1+E80),"")</f>
      </c>
      <c r="H80" s="31">
        <f>IF(NOT(AND($N$5=1,52&lt;=$N$11)),"",IF(ISNUMBER(G80),"Aplicado",IF(ISNUMBER(G79),IF($N$10=1,"Falta el IPC de "&amp;INDEX(IPC!$J$5:$J$16,MOD($N$12+1,12)+1)&amp;" de "&amp;INT(($N$12+1)/12),"Cargá el % de este ajuste en la columna F"),"")))</f>
      </c>
      <c r="J80">
        <f>IF($N$5=1,$N$7+52*$N$8,"")</f>
      </c>
      <c r="K80">
        <f>IF($N$5=1,J80-1-$N$9,"")</f>
      </c>
      <c r="L80">
        <f>IF($N$5=1,K80-$N$8,"")</f>
      </c>
    </row>
    <row r="81" spans="1:12" x14ac:dyDescent="0.25">
      <c r="A81" s="34">
        <f>IF(AND($N$5=1,53&lt;=$N$11),"53° ajuste","")</f>
      </c>
      <c r="B81" s="34">
        <f>IF(AND($N$5=1,53&lt;=$N$11),INDEX(IPC!$J$5:$J$16,MOD(J81,12)+1)&amp;" de "&amp;INT((J81)/12),"")</f>
      </c>
      <c r="C81" s="34">
        <f>IF(AND(AND($N$5=1,53&lt;=$N$11),$N$10=1),INDEX(IPC!$J$5:$J$16,MOD(L81,12)+1)&amp;" de "&amp;INT((L81)/12),"")</f>
      </c>
      <c r="D81" s="34">
        <f>IF(AND(AND($N$5=1,53&lt;=$N$11),$N$10=1),INDEX(IPC!$J$5:$J$16,MOD(K81,12)+1)&amp;" de "&amp;INT((K81)/12),"")</f>
      </c>
      <c r="E81" s="35">
        <f>IF(NOT(AND($N$5=1,53&lt;=$N$11)),"",IF($N$10=1,IF(AND($N$14=1,K81&lt;=$N$12),INDEX(IPC!$D$5:$D$173,(K81)-IPC!$J$2+1)/INDEX(IPC!$D$5:$D$173,(L81)-IPC!$J$2+1)-1,""),IF(ISNUMBER(F81),F81/100,"")))</f>
      </c>
      <c r="F81" s="36"/>
      <c r="G81" s="37">
        <f>IF(AND(AND($N$5=1,53&lt;=$N$11),ISNUMBER(G80),ISNUMBER(E81)),G80*(1+E81),"")</f>
      </c>
      <c r="H81" s="34">
        <f>IF(NOT(AND($N$5=1,53&lt;=$N$11)),"",IF(ISNUMBER(G81),"Aplicado",IF(ISNUMBER(G80),IF($N$10=1,"Falta el IPC de "&amp;INDEX(IPC!$J$5:$J$16,MOD($N$12+1,12)+1)&amp;" de "&amp;INT(($N$12+1)/12),"Cargá el % de este ajuste en la columna F"),"")))</f>
      </c>
      <c r="J81">
        <f>IF($N$5=1,$N$7+53*$N$8,"")</f>
      </c>
      <c r="K81">
        <f>IF($N$5=1,J81-1-$N$9,"")</f>
      </c>
      <c r="L81">
        <f>IF($N$5=1,K81-$N$8,"")</f>
      </c>
    </row>
    <row r="82" spans="1:12" x14ac:dyDescent="0.25">
      <c r="A82" s="31">
        <f>IF(AND($N$5=1,54&lt;=$N$11),"54° ajuste","")</f>
      </c>
      <c r="B82" s="31">
        <f>IF(AND($N$5=1,54&lt;=$N$11),INDEX(IPC!$J$5:$J$16,MOD(J82,12)+1)&amp;" de "&amp;INT((J82)/12),"")</f>
      </c>
      <c r="C82" s="31">
        <f>IF(AND(AND($N$5=1,54&lt;=$N$11),$N$10=1),INDEX(IPC!$J$5:$J$16,MOD(L82,12)+1)&amp;" de "&amp;INT((L82)/12),"")</f>
      </c>
      <c r="D82" s="31">
        <f>IF(AND(AND($N$5=1,54&lt;=$N$11),$N$10=1),INDEX(IPC!$J$5:$J$16,MOD(K82,12)+1)&amp;" de "&amp;INT((K82)/12),"")</f>
      </c>
      <c r="E82" s="38">
        <f>IF(NOT(AND($N$5=1,54&lt;=$N$11)),"",IF($N$10=1,IF(AND($N$14=1,K82&lt;=$N$12),INDEX(IPC!$D$5:$D$173,(K82)-IPC!$J$2+1)/INDEX(IPC!$D$5:$D$173,(L82)-IPC!$J$2+1)-1,""),IF(ISNUMBER(F82),F82/100,"")))</f>
      </c>
      <c r="F82" s="36"/>
      <c r="G82" s="33">
        <f>IF(AND(AND($N$5=1,54&lt;=$N$11),ISNUMBER(G81),ISNUMBER(E82)),G81*(1+E82),"")</f>
      </c>
      <c r="H82" s="31">
        <f>IF(NOT(AND($N$5=1,54&lt;=$N$11)),"",IF(ISNUMBER(G82),"Aplicado",IF(ISNUMBER(G81),IF($N$10=1,"Falta el IPC de "&amp;INDEX(IPC!$J$5:$J$16,MOD($N$12+1,12)+1)&amp;" de "&amp;INT(($N$12+1)/12),"Cargá el % de este ajuste en la columna F"),"")))</f>
      </c>
      <c r="J82">
        <f>IF($N$5=1,$N$7+54*$N$8,"")</f>
      </c>
      <c r="K82">
        <f>IF($N$5=1,J82-1-$N$9,"")</f>
      </c>
      <c r="L82">
        <f>IF($N$5=1,K82-$N$8,"")</f>
      </c>
    </row>
    <row r="83" spans="1:12" x14ac:dyDescent="0.25">
      <c r="A83" s="34">
        <f>IF(AND($N$5=1,55&lt;=$N$11),"55° ajuste","")</f>
      </c>
      <c r="B83" s="34">
        <f>IF(AND($N$5=1,55&lt;=$N$11),INDEX(IPC!$J$5:$J$16,MOD(J83,12)+1)&amp;" de "&amp;INT((J83)/12),"")</f>
      </c>
      <c r="C83" s="34">
        <f>IF(AND(AND($N$5=1,55&lt;=$N$11),$N$10=1),INDEX(IPC!$J$5:$J$16,MOD(L83,12)+1)&amp;" de "&amp;INT((L83)/12),"")</f>
      </c>
      <c r="D83" s="34">
        <f>IF(AND(AND($N$5=1,55&lt;=$N$11),$N$10=1),INDEX(IPC!$J$5:$J$16,MOD(K83,12)+1)&amp;" de "&amp;INT((K83)/12),"")</f>
      </c>
      <c r="E83" s="35">
        <f>IF(NOT(AND($N$5=1,55&lt;=$N$11)),"",IF($N$10=1,IF(AND($N$14=1,K83&lt;=$N$12),INDEX(IPC!$D$5:$D$173,(K83)-IPC!$J$2+1)/INDEX(IPC!$D$5:$D$173,(L83)-IPC!$J$2+1)-1,""),IF(ISNUMBER(F83),F83/100,"")))</f>
      </c>
      <c r="F83" s="36"/>
      <c r="G83" s="37">
        <f>IF(AND(AND($N$5=1,55&lt;=$N$11),ISNUMBER(G82),ISNUMBER(E83)),G82*(1+E83),"")</f>
      </c>
      <c r="H83" s="34">
        <f>IF(NOT(AND($N$5=1,55&lt;=$N$11)),"",IF(ISNUMBER(G83),"Aplicado",IF(ISNUMBER(G82),IF($N$10=1,"Falta el IPC de "&amp;INDEX(IPC!$J$5:$J$16,MOD($N$12+1,12)+1)&amp;" de "&amp;INT(($N$12+1)/12),"Cargá el % de este ajuste en la columna F"),"")))</f>
      </c>
      <c r="J83">
        <f>IF($N$5=1,$N$7+55*$N$8,"")</f>
      </c>
      <c r="K83">
        <f>IF($N$5=1,J83-1-$N$9,"")</f>
      </c>
      <c r="L83">
        <f>IF($N$5=1,K83-$N$8,"")</f>
      </c>
    </row>
    <row r="84" spans="1:12" x14ac:dyDescent="0.25">
      <c r="A84" s="31">
        <f>IF(AND($N$5=1,56&lt;=$N$11),"56° ajuste","")</f>
      </c>
      <c r="B84" s="31">
        <f>IF(AND($N$5=1,56&lt;=$N$11),INDEX(IPC!$J$5:$J$16,MOD(J84,12)+1)&amp;" de "&amp;INT((J84)/12),"")</f>
      </c>
      <c r="C84" s="31">
        <f>IF(AND(AND($N$5=1,56&lt;=$N$11),$N$10=1),INDEX(IPC!$J$5:$J$16,MOD(L84,12)+1)&amp;" de "&amp;INT((L84)/12),"")</f>
      </c>
      <c r="D84" s="31">
        <f>IF(AND(AND($N$5=1,56&lt;=$N$11),$N$10=1),INDEX(IPC!$J$5:$J$16,MOD(K84,12)+1)&amp;" de "&amp;INT((K84)/12),"")</f>
      </c>
      <c r="E84" s="38">
        <f>IF(NOT(AND($N$5=1,56&lt;=$N$11)),"",IF($N$10=1,IF(AND($N$14=1,K84&lt;=$N$12),INDEX(IPC!$D$5:$D$173,(K84)-IPC!$J$2+1)/INDEX(IPC!$D$5:$D$173,(L84)-IPC!$J$2+1)-1,""),IF(ISNUMBER(F84),F84/100,"")))</f>
      </c>
      <c r="F84" s="36"/>
      <c r="G84" s="33">
        <f>IF(AND(AND($N$5=1,56&lt;=$N$11),ISNUMBER(G83),ISNUMBER(E84)),G83*(1+E84),"")</f>
      </c>
      <c r="H84" s="31">
        <f>IF(NOT(AND($N$5=1,56&lt;=$N$11)),"",IF(ISNUMBER(G84),"Aplicado",IF(ISNUMBER(G83),IF($N$10=1,"Falta el IPC de "&amp;INDEX(IPC!$J$5:$J$16,MOD($N$12+1,12)+1)&amp;" de "&amp;INT(($N$12+1)/12),"Cargá el % de este ajuste en la columna F"),"")))</f>
      </c>
      <c r="J84">
        <f>IF($N$5=1,$N$7+56*$N$8,"")</f>
      </c>
      <c r="K84">
        <f>IF($N$5=1,J84-1-$N$9,"")</f>
      </c>
      <c r="L84">
        <f>IF($N$5=1,K84-$N$8,"")</f>
      </c>
    </row>
    <row r="85" spans="1:12" x14ac:dyDescent="0.25">
      <c r="A85" s="34">
        <f>IF(AND($N$5=1,57&lt;=$N$11),"57° ajuste","")</f>
      </c>
      <c r="B85" s="34">
        <f>IF(AND($N$5=1,57&lt;=$N$11),INDEX(IPC!$J$5:$J$16,MOD(J85,12)+1)&amp;" de "&amp;INT((J85)/12),"")</f>
      </c>
      <c r="C85" s="34">
        <f>IF(AND(AND($N$5=1,57&lt;=$N$11),$N$10=1),INDEX(IPC!$J$5:$J$16,MOD(L85,12)+1)&amp;" de "&amp;INT((L85)/12),"")</f>
      </c>
      <c r="D85" s="34">
        <f>IF(AND(AND($N$5=1,57&lt;=$N$11),$N$10=1),INDEX(IPC!$J$5:$J$16,MOD(K85,12)+1)&amp;" de "&amp;INT((K85)/12),"")</f>
      </c>
      <c r="E85" s="35">
        <f>IF(NOT(AND($N$5=1,57&lt;=$N$11)),"",IF($N$10=1,IF(AND($N$14=1,K85&lt;=$N$12),INDEX(IPC!$D$5:$D$173,(K85)-IPC!$J$2+1)/INDEX(IPC!$D$5:$D$173,(L85)-IPC!$J$2+1)-1,""),IF(ISNUMBER(F85),F85/100,"")))</f>
      </c>
      <c r="F85" s="36"/>
      <c r="G85" s="37">
        <f>IF(AND(AND($N$5=1,57&lt;=$N$11),ISNUMBER(G84),ISNUMBER(E85)),G84*(1+E85),"")</f>
      </c>
      <c r="H85" s="34">
        <f>IF(NOT(AND($N$5=1,57&lt;=$N$11)),"",IF(ISNUMBER(G85),"Aplicado",IF(ISNUMBER(G84),IF($N$10=1,"Falta el IPC de "&amp;INDEX(IPC!$J$5:$J$16,MOD($N$12+1,12)+1)&amp;" de "&amp;INT(($N$12+1)/12),"Cargá el % de este ajuste en la columna F"),"")))</f>
      </c>
      <c r="J85">
        <f>IF($N$5=1,$N$7+57*$N$8,"")</f>
      </c>
      <c r="K85">
        <f>IF($N$5=1,J85-1-$N$9,"")</f>
      </c>
      <c r="L85">
        <f>IF($N$5=1,K85-$N$8,"")</f>
      </c>
    </row>
    <row r="86" spans="1:12" x14ac:dyDescent="0.25">
      <c r="A86" s="31">
        <f>IF(AND($N$5=1,58&lt;=$N$11),"58° ajuste","")</f>
      </c>
      <c r="B86" s="31">
        <f>IF(AND($N$5=1,58&lt;=$N$11),INDEX(IPC!$J$5:$J$16,MOD(J86,12)+1)&amp;" de "&amp;INT((J86)/12),"")</f>
      </c>
      <c r="C86" s="31">
        <f>IF(AND(AND($N$5=1,58&lt;=$N$11),$N$10=1),INDEX(IPC!$J$5:$J$16,MOD(L86,12)+1)&amp;" de "&amp;INT((L86)/12),"")</f>
      </c>
      <c r="D86" s="31">
        <f>IF(AND(AND($N$5=1,58&lt;=$N$11),$N$10=1),INDEX(IPC!$J$5:$J$16,MOD(K86,12)+1)&amp;" de "&amp;INT((K86)/12),"")</f>
      </c>
      <c r="E86" s="38">
        <f>IF(NOT(AND($N$5=1,58&lt;=$N$11)),"",IF($N$10=1,IF(AND($N$14=1,K86&lt;=$N$12),INDEX(IPC!$D$5:$D$173,(K86)-IPC!$J$2+1)/INDEX(IPC!$D$5:$D$173,(L86)-IPC!$J$2+1)-1,""),IF(ISNUMBER(F86),F86/100,"")))</f>
      </c>
      <c r="F86" s="36"/>
      <c r="G86" s="33">
        <f>IF(AND(AND($N$5=1,58&lt;=$N$11),ISNUMBER(G85),ISNUMBER(E86)),G85*(1+E86),"")</f>
      </c>
      <c r="H86" s="31">
        <f>IF(NOT(AND($N$5=1,58&lt;=$N$11)),"",IF(ISNUMBER(G86),"Aplicado",IF(ISNUMBER(G85),IF($N$10=1,"Falta el IPC de "&amp;INDEX(IPC!$J$5:$J$16,MOD($N$12+1,12)+1)&amp;" de "&amp;INT(($N$12+1)/12),"Cargá el % de este ajuste en la columna F"),"")))</f>
      </c>
      <c r="J86">
        <f>IF($N$5=1,$N$7+58*$N$8,"")</f>
      </c>
      <c r="K86">
        <f>IF($N$5=1,J86-1-$N$9,"")</f>
      </c>
      <c r="L86">
        <f>IF($N$5=1,K86-$N$8,"")</f>
      </c>
    </row>
    <row r="87" spans="1:12" x14ac:dyDescent="0.25">
      <c r="A87" s="34">
        <f>IF(AND($N$5=1,59&lt;=$N$11),"59° ajuste","")</f>
      </c>
      <c r="B87" s="34">
        <f>IF(AND($N$5=1,59&lt;=$N$11),INDEX(IPC!$J$5:$J$16,MOD(J87,12)+1)&amp;" de "&amp;INT((J87)/12),"")</f>
      </c>
      <c r="C87" s="34">
        <f>IF(AND(AND($N$5=1,59&lt;=$N$11),$N$10=1),INDEX(IPC!$J$5:$J$16,MOD(L87,12)+1)&amp;" de "&amp;INT((L87)/12),"")</f>
      </c>
      <c r="D87" s="34">
        <f>IF(AND(AND($N$5=1,59&lt;=$N$11),$N$10=1),INDEX(IPC!$J$5:$J$16,MOD(K87,12)+1)&amp;" de "&amp;INT((K87)/12),"")</f>
      </c>
      <c r="E87" s="35">
        <f>IF(NOT(AND($N$5=1,59&lt;=$N$11)),"",IF($N$10=1,IF(AND($N$14=1,K87&lt;=$N$12),INDEX(IPC!$D$5:$D$173,(K87)-IPC!$J$2+1)/INDEX(IPC!$D$5:$D$173,(L87)-IPC!$J$2+1)-1,""),IF(ISNUMBER(F87),F87/100,"")))</f>
      </c>
      <c r="F87" s="36"/>
      <c r="G87" s="37">
        <f>IF(AND(AND($N$5=1,59&lt;=$N$11),ISNUMBER(G86),ISNUMBER(E87)),G86*(1+E87),"")</f>
      </c>
      <c r="H87" s="34">
        <f>IF(NOT(AND($N$5=1,59&lt;=$N$11)),"",IF(ISNUMBER(G87),"Aplicado",IF(ISNUMBER(G86),IF($N$10=1,"Falta el IPC de "&amp;INDEX(IPC!$J$5:$J$16,MOD($N$12+1,12)+1)&amp;" de "&amp;INT(($N$12+1)/12),"Cargá el % de este ajuste en la columna F"),"")))</f>
      </c>
      <c r="J87">
        <f>IF($N$5=1,$N$7+59*$N$8,"")</f>
      </c>
      <c r="K87">
        <f>IF($N$5=1,J87-1-$N$9,"")</f>
      </c>
      <c r="L87">
        <f>IF($N$5=1,K87-$N$8,"")</f>
      </c>
    </row>
    <row r="88" spans="1:12" x14ac:dyDescent="0.25">
      <c r="A88" s="31">
        <f>IF(AND($N$5=1,60&lt;=$N$11),"60° ajuste","")</f>
      </c>
      <c r="B88" s="31">
        <f>IF(AND($N$5=1,60&lt;=$N$11),INDEX(IPC!$J$5:$J$16,MOD(J88,12)+1)&amp;" de "&amp;INT((J88)/12),"")</f>
      </c>
      <c r="C88" s="31">
        <f>IF(AND(AND($N$5=1,60&lt;=$N$11),$N$10=1),INDEX(IPC!$J$5:$J$16,MOD(L88,12)+1)&amp;" de "&amp;INT((L88)/12),"")</f>
      </c>
      <c r="D88" s="31">
        <f>IF(AND(AND($N$5=1,60&lt;=$N$11),$N$10=1),INDEX(IPC!$J$5:$J$16,MOD(K88,12)+1)&amp;" de "&amp;INT((K88)/12),"")</f>
      </c>
      <c r="E88" s="38">
        <f>IF(NOT(AND($N$5=1,60&lt;=$N$11)),"",IF($N$10=1,IF(AND($N$14=1,K88&lt;=$N$12),INDEX(IPC!$D$5:$D$173,(K88)-IPC!$J$2+1)/INDEX(IPC!$D$5:$D$173,(L88)-IPC!$J$2+1)-1,""),IF(ISNUMBER(F88),F88/100,"")))</f>
      </c>
      <c r="F88" s="36"/>
      <c r="G88" s="33">
        <f>IF(AND(AND($N$5=1,60&lt;=$N$11),ISNUMBER(G87),ISNUMBER(E88)),G87*(1+E88),"")</f>
      </c>
      <c r="H88" s="31">
        <f>IF(NOT(AND($N$5=1,60&lt;=$N$11)),"",IF(ISNUMBER(G88),"Aplicado",IF(ISNUMBER(G87),IF($N$10=1,"Falta el IPC de "&amp;INDEX(IPC!$J$5:$J$16,MOD($N$12+1,12)+1)&amp;" de "&amp;INT(($N$12+1)/12),"Cargá el % de este ajuste en la columna F"),"")))</f>
      </c>
      <c r="J88">
        <f>IF($N$5=1,$N$7+60*$N$8,"")</f>
      </c>
      <c r="K88">
        <f>IF($N$5=1,J88-1-$N$9,"")</f>
      </c>
      <c r="L88">
        <f>IF($N$5=1,K88-$N$8,"")</f>
      </c>
    </row>
    <row r="90" ht="40" customHeight="1" spans="1:8" x14ac:dyDescent="0.25">
      <c r="A90" s="9" t="s">
        <v>75</v>
      </c>
      <c r="B90" s="9"/>
      <c r="C90" s="9"/>
      <c r="D90" s="9"/>
      <c r="E90" s="9"/>
      <c r="F90" s="9"/>
      <c r="G90" s="9"/>
      <c r="H90" s="9"/>
    </row>
  </sheetData>
  <sheetProtection sheet="1" formatColumns="0" formatRows="0"/>
  <mergeCells count="11">
    <mergeCell ref="A1:H1"/>
    <mergeCell ref="A2:H2"/>
    <mergeCell ref="A4:B4"/>
    <mergeCell ref="C8:H8"/>
    <mergeCell ref="C12:H12"/>
    <mergeCell ref="C13:H13"/>
    <mergeCell ref="C14:H14"/>
    <mergeCell ref="A16:B16"/>
    <mergeCell ref="B24:H24"/>
    <mergeCell ref="A26:H26"/>
    <mergeCell ref="A90:H90"/>
  </mergeCells>
  <dataValidations count="8">
    <dataValidation type="whole" showErrorMessage="1" error="La duración va en meses, entre 1 y 60. Un contrato de dos años son 24." sqref="B10">
      <formula1>1</formula1>
      <formula2>60</formula2>
    </dataValidation>
    <dataValidation type="decimal" allowBlank="1" showErrorMessage="1" error="Escribí el alquiler del primer mes, sin puntos ni signo $. Por ejemplo: 500000." sqref="B11">
      <formula1>1</formula1>
      <formula2>10000000000</formula2>
    </dataValidation>
    <dataValidation type="list" showErrorMessage="1" error="Elegí una opción de la lista." sqref="B12">
      <formula1>"IPC (INDEC),Otro índice (cargo el %)"</formula1>
    </dataValidation>
    <dataValidation type="whole" showErrorMessage="1" error="Escribí cada cuántos meses se ajusta: 3, 4, 6 o 12 son los más comunes." sqref="B13">
      <formula1>1</formula1>
      <formula2>12</formula2>
    </dataValidation>
    <dataValidation type="list" showErrorMessage="1" error="Elegí una opción de la lista." sqref="B14">
      <formula1>"Los completos antes del ajuste,Los últimos publicados"</formula1>
    </dataValidation>
    <dataValidation type="list" showErrorMessage="1" error="Elegí un mes de la lista." sqref="B8">
      <formula1>"enero,febrero,marzo,abril,mayo,junio,julio,agosto,septiembre,octubre,noviembre,diciembre"</formula1>
    </dataValidation>
    <dataValidation type="whole" allowBlank="1" showErrorMessage="1" error="Escribí el año con cuatro cifras, entre 2017 y 2040." sqref="B9">
      <formula1>2017</formula1>
      <formula2>2040</formula2>
    </dataValidation>
    <dataValidation type="decimal" allowBlank="1" showErrorMessage="1" error="Cargá el % del ajuste como número: por ejemplo 9,32 para 9,32%." sqref="F29:F88">
      <formula1>-90</formula1>
      <formula2>500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N9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22" customWidth="1"/>
    <col min="5" max="5" width="13" customWidth="1"/>
    <col min="6" max="6" width="14" customWidth="1"/>
    <col min="7" max="7" width="18" customWidth="1"/>
    <col min="8" max="8" width="46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</cols>
  <sheetData>
    <row r="1" ht="28" customHeight="1" spans="1:8" x14ac:dyDescent="0.25">
      <c r="A1" s="10" t="s">
        <v>35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76</v>
      </c>
      <c r="B2" s="11"/>
      <c r="C2" s="11"/>
      <c r="D2" s="11"/>
      <c r="E2" s="11"/>
      <c r="F2" s="11"/>
      <c r="G2" s="11"/>
      <c r="H2" s="11"/>
    </row>
    <row r="4" spans="1:2" x14ac:dyDescent="0.25">
      <c r="A4" s="4" t="s">
        <v>41</v>
      </c>
      <c r="B4" s="4"/>
    </row>
    <row r="5" spans="1:14" x14ac:dyDescent="0.25">
      <c r="A5" s="19" t="s">
        <v>42</v>
      </c>
      <c r="B5" s="20"/>
      <c r="N5">
        <f>IF(AND(N6&gt;0,ISNUMBER(B9),ISNUMBER(B11),B11&gt;0,ISNUMBER(B13),B13&gt;=1,ISNUMBER(B10),B10&gt;=1),1,0)</f>
      </c>
    </row>
    <row r="6" spans="1:14" x14ac:dyDescent="0.25">
      <c r="A6" s="19" t="s">
        <v>27</v>
      </c>
      <c r="B6" s="20"/>
      <c r="N6">
        <f>IFERROR(MATCH(B8,IPC!$J$5:$J$16,0),0)</f>
      </c>
    </row>
    <row r="7" spans="1:14" x14ac:dyDescent="0.25">
      <c r="A7" s="19" t="s">
        <v>45</v>
      </c>
      <c r="B7" s="20"/>
      <c r="N7">
        <f>IF(N5=1,B9*12+N6-1,0)</f>
      </c>
    </row>
    <row r="8" spans="1:14" x14ac:dyDescent="0.25">
      <c r="A8" s="19" t="s">
        <v>46</v>
      </c>
      <c r="B8" s="20"/>
      <c r="C8" s="21" t="s">
        <v>48</v>
      </c>
      <c r="D8" s="21"/>
      <c r="E8" s="21"/>
      <c r="F8" s="21"/>
      <c r="G8" s="21"/>
      <c r="H8" s="21"/>
      <c r="N8">
        <f>IF(N5=1,INT(B13),1)</f>
      </c>
    </row>
    <row r="9" spans="1:14" x14ac:dyDescent="0.25">
      <c r="A9" s="19" t="s">
        <v>49</v>
      </c>
      <c r="B9" s="22"/>
      <c r="N9">
        <f>IF(B14="Los últimos publicados",1,0)</f>
      </c>
    </row>
    <row r="10" spans="1:14" x14ac:dyDescent="0.25">
      <c r="A10" s="19" t="s">
        <v>50</v>
      </c>
      <c r="B10" s="22">
        <v>24</v>
      </c>
      <c r="N10">
        <f>IF(B12="Otro índice (cargo el %)",0,1)</f>
      </c>
    </row>
    <row r="11" spans="1:14" x14ac:dyDescent="0.25">
      <c r="A11" s="19" t="s">
        <v>51</v>
      </c>
      <c r="B11" s="23"/>
      <c r="N11">
        <f>IF(N5=1,MIN(INT((B10-1)/N8),60),0)</f>
      </c>
    </row>
    <row r="12" ht="30" customHeight="1" spans="1:14" x14ac:dyDescent="0.25">
      <c r="A12" s="19" t="s">
        <v>52</v>
      </c>
      <c r="B12" s="20" t="s">
        <v>53</v>
      </c>
      <c r="C12" s="21" t="s">
        <v>54</v>
      </c>
      <c r="D12" s="21"/>
      <c r="E12" s="21"/>
      <c r="F12" s="21"/>
      <c r="G12" s="21"/>
      <c r="H12" s="21"/>
      <c r="N12">
        <f>IPC!$J$3</f>
      </c>
    </row>
    <row r="13" spans="1:14" x14ac:dyDescent="0.25">
      <c r="A13" s="19" t="s">
        <v>55</v>
      </c>
      <c r="B13" s="22">
        <v>3</v>
      </c>
      <c r="C13" s="21" t="s">
        <v>56</v>
      </c>
      <c r="D13" s="21"/>
      <c r="E13" s="21"/>
      <c r="F13" s="21"/>
      <c r="G13" s="21"/>
      <c r="H13" s="21"/>
      <c r="N13">
        <f>IPC!$J$2</f>
      </c>
    </row>
    <row r="14" ht="42" customHeight="1" spans="1:14" x14ac:dyDescent="0.25">
      <c r="A14" s="19" t="s">
        <v>57</v>
      </c>
      <c r="B14" s="20" t="s">
        <v>58</v>
      </c>
      <c r="C14" s="21" t="s">
        <v>59</v>
      </c>
      <c r="D14" s="21"/>
      <c r="E14" s="21"/>
      <c r="F14" s="21"/>
      <c r="G14" s="21"/>
      <c r="H14" s="21"/>
      <c r="N14">
        <f>IF(N5=0,0,IF(N10=0,1,IF(AND(N7-1-N9&gt;=N13,N7-1-N9&lt;=N12),1,0)))</f>
      </c>
    </row>
    <row r="15" ht="6" customHeight="1" spans="14:14" x14ac:dyDescent="0.25">
      <c r="N15">
        <f>COUNT(G29:G88)</f>
      </c>
    </row>
    <row r="16" spans="1:14" x14ac:dyDescent="0.25">
      <c r="A16" s="4" t="s">
        <v>60</v>
      </c>
      <c r="B16" s="4"/>
      <c r="N16">
        <f>IF(N5=1,INDEX(G28:G88,N15+1),"")</f>
      </c>
    </row>
    <row r="17" spans="1:14" x14ac:dyDescent="0.25">
      <c r="A17" s="19" t="s">
        <v>61</v>
      </c>
      <c r="B17" s="24">
        <f>N16</f>
      </c>
      <c r="N17">
        <f>N15+1</f>
      </c>
    </row>
    <row r="18" spans="1:14" x14ac:dyDescent="0.25">
      <c r="A18" s="19" t="s">
        <v>29</v>
      </c>
      <c r="B18" s="25">
        <f>IF(N5=1,INDEX(B28:B88,N15+1),"")</f>
      </c>
      <c r="N18">
        <f>IF(AND(N5=1,N17&lt;=N11),1,0)</f>
      </c>
    </row>
    <row r="19" spans="1:14" x14ac:dyDescent="0.25">
      <c r="A19" s="19" t="s">
        <v>62</v>
      </c>
      <c r="B19" s="26">
        <f>IF(N5=1,N15,"")</f>
      </c>
      <c r="N19">
        <f>N7+N17*N8-1-N9</f>
      </c>
    </row>
    <row r="20" spans="1:14" x14ac:dyDescent="0.25">
      <c r="A20" s="19" t="s">
        <v>63</v>
      </c>
      <c r="B20" s="27">
        <f>IF(N5=1,N16/B11-1,"")</f>
      </c>
      <c r="N20">
        <f>N19-N12</f>
      </c>
    </row>
    <row r="21" spans="1:14" x14ac:dyDescent="0.25">
      <c r="A21" s="19" t="s">
        <v>30</v>
      </c>
      <c r="B21" s="25">
        <f>IF(N18=1,INDEX(B28:B88,N17+1),IF(N5=1,"No quedan ajustes antes de que termine",""))</f>
      </c>
      <c r="N21">
        <f>INDEX(IPC!$D$5:$D$173,(N12)-IPC!$J$2+1)/INDEX(IPC!$D$5:$D$173,(N12-1)-IPC!$J$2+1)-1</f>
      </c>
    </row>
    <row r="22" spans="1:14" x14ac:dyDescent="0.25">
      <c r="A22" s="19" t="s">
        <v>64</v>
      </c>
      <c r="B22" s="28">
        <f>N22</f>
      </c>
      <c r="N22">
        <f>IF(AND(N18=1,N10=1,N14=1,N20&gt;0,N20&lt;=12),N16*INDEX(IPC!$D$5:$D$173,(N12)-IPC!$J$2+1)*(1+N21)^N20/INDEX(IPC!$D$5:$D$173,(N19-N8)-IPC!$J$2+1),"")</f>
      </c>
    </row>
    <row r="23" spans="1:14" x14ac:dyDescent="0.25">
      <c r="A23" s="19" t="s">
        <v>65</v>
      </c>
      <c r="B23" s="25">
        <f>IF(N5=1,INDEX(IPC!$J$5:$J$16,MOD(N7+B10-1,12)+1)&amp;" de "&amp;INT((N7+B10-1)/12),"")</f>
      </c>
      <c r="N23">
        <f>IF(ISNUMBER(N22),ROUND(N22,0),"")</f>
      </c>
    </row>
    <row r="24" ht="46" customHeight="1" spans="1:14" x14ac:dyDescent="0.25">
      <c r="A24" s="19" t="s">
        <v>66</v>
      </c>
      <c r="B24" s="29">
        <f>IF(N5=0,"Completá las celdas amarillas de arriba y acá aparece el cronograma de aumentos.",IF(N14=0,"Todavía no está publicado el IPC de "&amp;INDEX(IPC!$J$5:$J$16,MOD(N7-1-N9,12)+1)&amp;" de "&amp;INT((N7-1-N9)/12)&amp;", que es la base de este contrato. Mientras tanto se cobra el valor inicial.",IF(N18=0,"No quedan ajustes: el contrato termina en "&amp;INDEX(IPC!$J$5:$J$16,MOD(N7+B10-1,12)+1)&amp;" de "&amp;INT((N7+B10-1)/12)&amp;".",IF(N10=1,"El próximo ajuste rige desde "&amp;B21&amp;". Se calcula cuando el INDEC publique el IPC de "&amp;INDEX(IPC!$J$5:$J$16,MOD(N19,12)+1)&amp;" de "&amp;INT((N19)/12)&amp;" (sale entre el 10 y el 15 del mes siguiente)"&amp;IF(ISNUMBER(N22),". Si la inflación siguiera como el último mes, el alquiler quedaría en unos $ "&amp;N24&amp;".","."),"El próximo ajuste rige desde "&amp;B21&amp;": cuando lo tengas, cargá el % del índice pactado en la columna F del cronograma."))))</f>
      </c>
      <c r="C24" s="29"/>
      <c r="D24" s="29"/>
      <c r="E24" s="29"/>
      <c r="F24" s="29"/>
      <c r="G24" s="29"/>
      <c r="H24" s="29"/>
      <c r="N24">
        <f>IF(ISNUMBER(N23),IF(N23&gt;=1000000000,INT(N23/1000000000)&amp;"."&amp;RIGHT("00"&amp;INT(MOD(N23,1000000000)/1000000),3)&amp;"."&amp;RIGHT("00"&amp;INT(MOD(N23,1000000)/1000),3)&amp;"."&amp;RIGHT("00"&amp;INT(MOD(N23,1000)/1),3),IF(N23&gt;=1000000,INT(N23/1000000)&amp;"."&amp;RIGHT("00"&amp;INT(MOD(N23,1000000)/1000),3)&amp;"."&amp;RIGHT("00"&amp;INT(MOD(N23,1000)/1),3),IF(N23&gt;=1000,INT(N23/1000)&amp;"."&amp;RIGHT("00"&amp;INT(MOD(N23,1000)/1),3),""&amp;N23))),"")</f>
      </c>
    </row>
    <row r="26" spans="1:8" x14ac:dyDescent="0.25">
      <c r="A26" s="4" t="s">
        <v>67</v>
      </c>
      <c r="B26" s="4"/>
      <c r="C26" s="4"/>
      <c r="D26" s="4"/>
      <c r="E26" s="4"/>
      <c r="F26" s="4"/>
      <c r="G26" s="4"/>
      <c r="H26" s="4"/>
    </row>
    <row r="27" ht="30" customHeight="1" spans="1:8" x14ac:dyDescent="0.25">
      <c r="A27" s="30" t="s">
        <v>68</v>
      </c>
      <c r="B27" s="30" t="s">
        <v>29</v>
      </c>
      <c r="C27" s="30" t="s">
        <v>69</v>
      </c>
      <c r="D27" s="30" t="s">
        <v>70</v>
      </c>
      <c r="E27" s="30" t="s">
        <v>71</v>
      </c>
      <c r="F27" s="30" t="s">
        <v>72</v>
      </c>
      <c r="G27" s="30" t="s">
        <v>73</v>
      </c>
      <c r="H27" s="30" t="s">
        <v>74</v>
      </c>
    </row>
    <row r="28" spans="1:12" x14ac:dyDescent="0.25">
      <c r="A28" s="31">
        <f>IF($N$5=1,"Valor inicial","")</f>
      </c>
      <c r="B28" s="31">
        <f>IF($N$5=1,INDEX(IPC!$J$5:$J$16,MOD(J28,12)+1)&amp;" de "&amp;INT((J28)/12),"")</f>
      </c>
      <c r="C28" s="31"/>
      <c r="D28" s="31"/>
      <c r="E28" s="31"/>
      <c r="F28" s="32"/>
      <c r="G28" s="33">
        <f>IF($N$5=1,B11,"")</f>
      </c>
      <c r="H28" s="31">
        <f>IF($N$5=1,"Valor inicial del contrato","")</f>
      </c>
      <c r="J28">
        <f>IF($N$5=1,$N$7+0*$N$8,"")</f>
      </c>
      <c r="K28">
        <f>IF($N$5=1,J28-1-$N$9,"")</f>
      </c>
      <c r="L28">
        <f>IF($N$5=1,K28-$N$8,"")</f>
      </c>
    </row>
    <row r="29" spans="1:12" x14ac:dyDescent="0.25">
      <c r="A29" s="34">
        <f>IF(AND($N$5=1,1&lt;=$N$11),"1° ajuste","")</f>
      </c>
      <c r="B29" s="34">
        <f>IF(AND($N$5=1,1&lt;=$N$11),INDEX(IPC!$J$5:$J$16,MOD(J29,12)+1)&amp;" de "&amp;INT((J29)/12),"")</f>
      </c>
      <c r="C29" s="34">
        <f>IF(AND(AND($N$5=1,1&lt;=$N$11),$N$10=1),INDEX(IPC!$J$5:$J$16,MOD(L29,12)+1)&amp;" de "&amp;INT((L29)/12),"")</f>
      </c>
      <c r="D29" s="34">
        <f>IF(AND(AND($N$5=1,1&lt;=$N$11),$N$10=1),INDEX(IPC!$J$5:$J$16,MOD(K29,12)+1)&amp;" de "&amp;INT((K29)/12),"")</f>
      </c>
      <c r="E29" s="35">
        <f>IF(NOT(AND($N$5=1,1&lt;=$N$11)),"",IF($N$10=1,IF(AND($N$14=1,K29&lt;=$N$12),INDEX(IPC!$D$5:$D$173,(K29)-IPC!$J$2+1)/INDEX(IPC!$D$5:$D$173,(L29)-IPC!$J$2+1)-1,""),IF(ISNUMBER(F29),F29/100,"")))</f>
      </c>
      <c r="F29" s="36"/>
      <c r="G29" s="37">
        <f>IF(AND(AND($N$5=1,1&lt;=$N$11),ISNUMBER(G28),ISNUMBER(E29)),G28*(1+E29),"")</f>
      </c>
      <c r="H29" s="34">
        <f>IF(NOT(AND($N$5=1,1&lt;=$N$11)),"",IF(ISNUMBER(G29),"Aplicado",IF(ISNUMBER(G28),IF($N$10=1,"Falta el IPC de "&amp;INDEX(IPC!$J$5:$J$16,MOD($N$12+1,12)+1)&amp;" de "&amp;INT(($N$12+1)/12),"Cargá el % de este ajuste en la columna F"),"")))</f>
      </c>
      <c r="J29">
        <f>IF($N$5=1,$N$7+1*$N$8,"")</f>
      </c>
      <c r="K29">
        <f>IF($N$5=1,J29-1-$N$9,"")</f>
      </c>
      <c r="L29">
        <f>IF($N$5=1,K29-$N$8,"")</f>
      </c>
    </row>
    <row r="30" spans="1:12" x14ac:dyDescent="0.25">
      <c r="A30" s="31">
        <f>IF(AND($N$5=1,2&lt;=$N$11),"2° ajuste","")</f>
      </c>
      <c r="B30" s="31">
        <f>IF(AND($N$5=1,2&lt;=$N$11),INDEX(IPC!$J$5:$J$16,MOD(J30,12)+1)&amp;" de "&amp;INT((J30)/12),"")</f>
      </c>
      <c r="C30" s="31">
        <f>IF(AND(AND($N$5=1,2&lt;=$N$11),$N$10=1),INDEX(IPC!$J$5:$J$16,MOD(L30,12)+1)&amp;" de "&amp;INT((L30)/12),"")</f>
      </c>
      <c r="D30" s="31">
        <f>IF(AND(AND($N$5=1,2&lt;=$N$11),$N$10=1),INDEX(IPC!$J$5:$J$16,MOD(K30,12)+1)&amp;" de "&amp;INT((K30)/12),"")</f>
      </c>
      <c r="E30" s="38">
        <f>IF(NOT(AND($N$5=1,2&lt;=$N$11)),"",IF($N$10=1,IF(AND($N$14=1,K30&lt;=$N$12),INDEX(IPC!$D$5:$D$173,(K30)-IPC!$J$2+1)/INDEX(IPC!$D$5:$D$173,(L30)-IPC!$J$2+1)-1,""),IF(ISNUMBER(F30),F30/100,"")))</f>
      </c>
      <c r="F30" s="36"/>
      <c r="G30" s="33">
        <f>IF(AND(AND($N$5=1,2&lt;=$N$11),ISNUMBER(G29),ISNUMBER(E30)),G29*(1+E30),"")</f>
      </c>
      <c r="H30" s="31">
        <f>IF(NOT(AND($N$5=1,2&lt;=$N$11)),"",IF(ISNUMBER(G30),"Aplicado",IF(ISNUMBER(G29),IF($N$10=1,"Falta el IPC de "&amp;INDEX(IPC!$J$5:$J$16,MOD($N$12+1,12)+1)&amp;" de "&amp;INT(($N$12+1)/12),"Cargá el % de este ajuste en la columna F"),"")))</f>
      </c>
      <c r="J30">
        <f>IF($N$5=1,$N$7+2*$N$8,"")</f>
      </c>
      <c r="K30">
        <f>IF($N$5=1,J30-1-$N$9,"")</f>
      </c>
      <c r="L30">
        <f>IF($N$5=1,K30-$N$8,"")</f>
      </c>
    </row>
    <row r="31" spans="1:12" x14ac:dyDescent="0.25">
      <c r="A31" s="34">
        <f>IF(AND($N$5=1,3&lt;=$N$11),"3° ajuste","")</f>
      </c>
      <c r="B31" s="34">
        <f>IF(AND($N$5=1,3&lt;=$N$11),INDEX(IPC!$J$5:$J$16,MOD(J31,12)+1)&amp;" de "&amp;INT((J31)/12),"")</f>
      </c>
      <c r="C31" s="34">
        <f>IF(AND(AND($N$5=1,3&lt;=$N$11),$N$10=1),INDEX(IPC!$J$5:$J$16,MOD(L31,12)+1)&amp;" de "&amp;INT((L31)/12),"")</f>
      </c>
      <c r="D31" s="34">
        <f>IF(AND(AND($N$5=1,3&lt;=$N$11),$N$10=1),INDEX(IPC!$J$5:$J$16,MOD(K31,12)+1)&amp;" de "&amp;INT((K31)/12),"")</f>
      </c>
      <c r="E31" s="35">
        <f>IF(NOT(AND($N$5=1,3&lt;=$N$11)),"",IF($N$10=1,IF(AND($N$14=1,K31&lt;=$N$12),INDEX(IPC!$D$5:$D$173,(K31)-IPC!$J$2+1)/INDEX(IPC!$D$5:$D$173,(L31)-IPC!$J$2+1)-1,""),IF(ISNUMBER(F31),F31/100,"")))</f>
      </c>
      <c r="F31" s="36"/>
      <c r="G31" s="37">
        <f>IF(AND(AND($N$5=1,3&lt;=$N$11),ISNUMBER(G30),ISNUMBER(E31)),G30*(1+E31),"")</f>
      </c>
      <c r="H31" s="34">
        <f>IF(NOT(AND($N$5=1,3&lt;=$N$11)),"",IF(ISNUMBER(G31),"Aplicado",IF(ISNUMBER(G30),IF($N$10=1,"Falta el IPC de "&amp;INDEX(IPC!$J$5:$J$16,MOD($N$12+1,12)+1)&amp;" de "&amp;INT(($N$12+1)/12),"Cargá el % de este ajuste en la columna F"),"")))</f>
      </c>
      <c r="J31">
        <f>IF($N$5=1,$N$7+3*$N$8,"")</f>
      </c>
      <c r="K31">
        <f>IF($N$5=1,J31-1-$N$9,"")</f>
      </c>
      <c r="L31">
        <f>IF($N$5=1,K31-$N$8,"")</f>
      </c>
    </row>
    <row r="32" spans="1:12" x14ac:dyDescent="0.25">
      <c r="A32" s="31">
        <f>IF(AND($N$5=1,4&lt;=$N$11),"4° ajuste","")</f>
      </c>
      <c r="B32" s="31">
        <f>IF(AND($N$5=1,4&lt;=$N$11),INDEX(IPC!$J$5:$J$16,MOD(J32,12)+1)&amp;" de "&amp;INT((J32)/12),"")</f>
      </c>
      <c r="C32" s="31">
        <f>IF(AND(AND($N$5=1,4&lt;=$N$11),$N$10=1),INDEX(IPC!$J$5:$J$16,MOD(L32,12)+1)&amp;" de "&amp;INT((L32)/12),"")</f>
      </c>
      <c r="D32" s="31">
        <f>IF(AND(AND($N$5=1,4&lt;=$N$11),$N$10=1),INDEX(IPC!$J$5:$J$16,MOD(K32,12)+1)&amp;" de "&amp;INT((K32)/12),"")</f>
      </c>
      <c r="E32" s="38">
        <f>IF(NOT(AND($N$5=1,4&lt;=$N$11)),"",IF($N$10=1,IF(AND($N$14=1,K32&lt;=$N$12),INDEX(IPC!$D$5:$D$173,(K32)-IPC!$J$2+1)/INDEX(IPC!$D$5:$D$173,(L32)-IPC!$J$2+1)-1,""),IF(ISNUMBER(F32),F32/100,"")))</f>
      </c>
      <c r="F32" s="36"/>
      <c r="G32" s="33">
        <f>IF(AND(AND($N$5=1,4&lt;=$N$11),ISNUMBER(G31),ISNUMBER(E32)),G31*(1+E32),"")</f>
      </c>
      <c r="H32" s="31">
        <f>IF(NOT(AND($N$5=1,4&lt;=$N$11)),"",IF(ISNUMBER(G32),"Aplicado",IF(ISNUMBER(G31),IF($N$10=1,"Falta el IPC de "&amp;INDEX(IPC!$J$5:$J$16,MOD($N$12+1,12)+1)&amp;" de "&amp;INT(($N$12+1)/12),"Cargá el % de este ajuste en la columna F"),"")))</f>
      </c>
      <c r="J32">
        <f>IF($N$5=1,$N$7+4*$N$8,"")</f>
      </c>
      <c r="K32">
        <f>IF($N$5=1,J32-1-$N$9,"")</f>
      </c>
      <c r="L32">
        <f>IF($N$5=1,K32-$N$8,"")</f>
      </c>
    </row>
    <row r="33" spans="1:12" x14ac:dyDescent="0.25">
      <c r="A33" s="34">
        <f>IF(AND($N$5=1,5&lt;=$N$11),"5° ajuste","")</f>
      </c>
      <c r="B33" s="34">
        <f>IF(AND($N$5=1,5&lt;=$N$11),INDEX(IPC!$J$5:$J$16,MOD(J33,12)+1)&amp;" de "&amp;INT((J33)/12),"")</f>
      </c>
      <c r="C33" s="34">
        <f>IF(AND(AND($N$5=1,5&lt;=$N$11),$N$10=1),INDEX(IPC!$J$5:$J$16,MOD(L33,12)+1)&amp;" de "&amp;INT((L33)/12),"")</f>
      </c>
      <c r="D33" s="34">
        <f>IF(AND(AND($N$5=1,5&lt;=$N$11),$N$10=1),INDEX(IPC!$J$5:$J$16,MOD(K33,12)+1)&amp;" de "&amp;INT((K33)/12),"")</f>
      </c>
      <c r="E33" s="35">
        <f>IF(NOT(AND($N$5=1,5&lt;=$N$11)),"",IF($N$10=1,IF(AND($N$14=1,K33&lt;=$N$12),INDEX(IPC!$D$5:$D$173,(K33)-IPC!$J$2+1)/INDEX(IPC!$D$5:$D$173,(L33)-IPC!$J$2+1)-1,""),IF(ISNUMBER(F33),F33/100,"")))</f>
      </c>
      <c r="F33" s="36"/>
      <c r="G33" s="37">
        <f>IF(AND(AND($N$5=1,5&lt;=$N$11),ISNUMBER(G32),ISNUMBER(E33)),G32*(1+E33),"")</f>
      </c>
      <c r="H33" s="34">
        <f>IF(NOT(AND($N$5=1,5&lt;=$N$11)),"",IF(ISNUMBER(G33),"Aplicado",IF(ISNUMBER(G32),IF($N$10=1,"Falta el IPC de "&amp;INDEX(IPC!$J$5:$J$16,MOD($N$12+1,12)+1)&amp;" de "&amp;INT(($N$12+1)/12),"Cargá el % de este ajuste en la columna F"),"")))</f>
      </c>
      <c r="J33">
        <f>IF($N$5=1,$N$7+5*$N$8,"")</f>
      </c>
      <c r="K33">
        <f>IF($N$5=1,J33-1-$N$9,"")</f>
      </c>
      <c r="L33">
        <f>IF($N$5=1,K33-$N$8,"")</f>
      </c>
    </row>
    <row r="34" spans="1:12" x14ac:dyDescent="0.25">
      <c r="A34" s="31">
        <f>IF(AND($N$5=1,6&lt;=$N$11),"6° ajuste","")</f>
      </c>
      <c r="B34" s="31">
        <f>IF(AND($N$5=1,6&lt;=$N$11),INDEX(IPC!$J$5:$J$16,MOD(J34,12)+1)&amp;" de "&amp;INT((J34)/12),"")</f>
      </c>
      <c r="C34" s="31">
        <f>IF(AND(AND($N$5=1,6&lt;=$N$11),$N$10=1),INDEX(IPC!$J$5:$J$16,MOD(L34,12)+1)&amp;" de "&amp;INT((L34)/12),"")</f>
      </c>
      <c r="D34" s="31">
        <f>IF(AND(AND($N$5=1,6&lt;=$N$11),$N$10=1),INDEX(IPC!$J$5:$J$16,MOD(K34,12)+1)&amp;" de "&amp;INT((K34)/12),"")</f>
      </c>
      <c r="E34" s="38">
        <f>IF(NOT(AND($N$5=1,6&lt;=$N$11)),"",IF($N$10=1,IF(AND($N$14=1,K34&lt;=$N$12),INDEX(IPC!$D$5:$D$173,(K34)-IPC!$J$2+1)/INDEX(IPC!$D$5:$D$173,(L34)-IPC!$J$2+1)-1,""),IF(ISNUMBER(F34),F34/100,"")))</f>
      </c>
      <c r="F34" s="36"/>
      <c r="G34" s="33">
        <f>IF(AND(AND($N$5=1,6&lt;=$N$11),ISNUMBER(G33),ISNUMBER(E34)),G33*(1+E34),"")</f>
      </c>
      <c r="H34" s="31">
        <f>IF(NOT(AND($N$5=1,6&lt;=$N$11)),"",IF(ISNUMBER(G34),"Aplicado",IF(ISNUMBER(G33),IF($N$10=1,"Falta el IPC de "&amp;INDEX(IPC!$J$5:$J$16,MOD($N$12+1,12)+1)&amp;" de "&amp;INT(($N$12+1)/12),"Cargá el % de este ajuste en la columna F"),"")))</f>
      </c>
      <c r="J34">
        <f>IF($N$5=1,$N$7+6*$N$8,"")</f>
      </c>
      <c r="K34">
        <f>IF($N$5=1,J34-1-$N$9,"")</f>
      </c>
      <c r="L34">
        <f>IF($N$5=1,K34-$N$8,"")</f>
      </c>
    </row>
    <row r="35" spans="1:12" x14ac:dyDescent="0.25">
      <c r="A35" s="34">
        <f>IF(AND($N$5=1,7&lt;=$N$11),"7° ajuste","")</f>
      </c>
      <c r="B35" s="34">
        <f>IF(AND($N$5=1,7&lt;=$N$11),INDEX(IPC!$J$5:$J$16,MOD(J35,12)+1)&amp;" de "&amp;INT((J35)/12),"")</f>
      </c>
      <c r="C35" s="34">
        <f>IF(AND(AND($N$5=1,7&lt;=$N$11),$N$10=1),INDEX(IPC!$J$5:$J$16,MOD(L35,12)+1)&amp;" de "&amp;INT((L35)/12),"")</f>
      </c>
      <c r="D35" s="34">
        <f>IF(AND(AND($N$5=1,7&lt;=$N$11),$N$10=1),INDEX(IPC!$J$5:$J$16,MOD(K35,12)+1)&amp;" de "&amp;INT((K35)/12),"")</f>
      </c>
      <c r="E35" s="35">
        <f>IF(NOT(AND($N$5=1,7&lt;=$N$11)),"",IF($N$10=1,IF(AND($N$14=1,K35&lt;=$N$12),INDEX(IPC!$D$5:$D$173,(K35)-IPC!$J$2+1)/INDEX(IPC!$D$5:$D$173,(L35)-IPC!$J$2+1)-1,""),IF(ISNUMBER(F35),F35/100,"")))</f>
      </c>
      <c r="F35" s="36"/>
      <c r="G35" s="37">
        <f>IF(AND(AND($N$5=1,7&lt;=$N$11),ISNUMBER(G34),ISNUMBER(E35)),G34*(1+E35),"")</f>
      </c>
      <c r="H35" s="34">
        <f>IF(NOT(AND($N$5=1,7&lt;=$N$11)),"",IF(ISNUMBER(G35),"Aplicado",IF(ISNUMBER(G34),IF($N$10=1,"Falta el IPC de "&amp;INDEX(IPC!$J$5:$J$16,MOD($N$12+1,12)+1)&amp;" de "&amp;INT(($N$12+1)/12),"Cargá el % de este ajuste en la columna F"),"")))</f>
      </c>
      <c r="J35">
        <f>IF($N$5=1,$N$7+7*$N$8,"")</f>
      </c>
      <c r="K35">
        <f>IF($N$5=1,J35-1-$N$9,"")</f>
      </c>
      <c r="L35">
        <f>IF($N$5=1,K35-$N$8,"")</f>
      </c>
    </row>
    <row r="36" spans="1:12" x14ac:dyDescent="0.25">
      <c r="A36" s="31">
        <f>IF(AND($N$5=1,8&lt;=$N$11),"8° ajuste","")</f>
      </c>
      <c r="B36" s="31">
        <f>IF(AND($N$5=1,8&lt;=$N$11),INDEX(IPC!$J$5:$J$16,MOD(J36,12)+1)&amp;" de "&amp;INT((J36)/12),"")</f>
      </c>
      <c r="C36" s="31">
        <f>IF(AND(AND($N$5=1,8&lt;=$N$11),$N$10=1),INDEX(IPC!$J$5:$J$16,MOD(L36,12)+1)&amp;" de "&amp;INT((L36)/12),"")</f>
      </c>
      <c r="D36" s="31">
        <f>IF(AND(AND($N$5=1,8&lt;=$N$11),$N$10=1),INDEX(IPC!$J$5:$J$16,MOD(K36,12)+1)&amp;" de "&amp;INT((K36)/12),"")</f>
      </c>
      <c r="E36" s="38">
        <f>IF(NOT(AND($N$5=1,8&lt;=$N$11)),"",IF($N$10=1,IF(AND($N$14=1,K36&lt;=$N$12),INDEX(IPC!$D$5:$D$173,(K36)-IPC!$J$2+1)/INDEX(IPC!$D$5:$D$173,(L36)-IPC!$J$2+1)-1,""),IF(ISNUMBER(F36),F36/100,"")))</f>
      </c>
      <c r="F36" s="36"/>
      <c r="G36" s="33">
        <f>IF(AND(AND($N$5=1,8&lt;=$N$11),ISNUMBER(G35),ISNUMBER(E36)),G35*(1+E36),"")</f>
      </c>
      <c r="H36" s="31">
        <f>IF(NOT(AND($N$5=1,8&lt;=$N$11)),"",IF(ISNUMBER(G36),"Aplicado",IF(ISNUMBER(G35),IF($N$10=1,"Falta el IPC de "&amp;INDEX(IPC!$J$5:$J$16,MOD($N$12+1,12)+1)&amp;" de "&amp;INT(($N$12+1)/12),"Cargá el % de este ajuste en la columna F"),"")))</f>
      </c>
      <c r="J36">
        <f>IF($N$5=1,$N$7+8*$N$8,"")</f>
      </c>
      <c r="K36">
        <f>IF($N$5=1,J36-1-$N$9,"")</f>
      </c>
      <c r="L36">
        <f>IF($N$5=1,K36-$N$8,"")</f>
      </c>
    </row>
    <row r="37" spans="1:12" x14ac:dyDescent="0.25">
      <c r="A37" s="34">
        <f>IF(AND($N$5=1,9&lt;=$N$11),"9° ajuste","")</f>
      </c>
      <c r="B37" s="34">
        <f>IF(AND($N$5=1,9&lt;=$N$11),INDEX(IPC!$J$5:$J$16,MOD(J37,12)+1)&amp;" de "&amp;INT((J37)/12),"")</f>
      </c>
      <c r="C37" s="34">
        <f>IF(AND(AND($N$5=1,9&lt;=$N$11),$N$10=1),INDEX(IPC!$J$5:$J$16,MOD(L37,12)+1)&amp;" de "&amp;INT((L37)/12),"")</f>
      </c>
      <c r="D37" s="34">
        <f>IF(AND(AND($N$5=1,9&lt;=$N$11),$N$10=1),INDEX(IPC!$J$5:$J$16,MOD(K37,12)+1)&amp;" de "&amp;INT((K37)/12),"")</f>
      </c>
      <c r="E37" s="35">
        <f>IF(NOT(AND($N$5=1,9&lt;=$N$11)),"",IF($N$10=1,IF(AND($N$14=1,K37&lt;=$N$12),INDEX(IPC!$D$5:$D$173,(K37)-IPC!$J$2+1)/INDEX(IPC!$D$5:$D$173,(L37)-IPC!$J$2+1)-1,""),IF(ISNUMBER(F37),F37/100,"")))</f>
      </c>
      <c r="F37" s="36"/>
      <c r="G37" s="37">
        <f>IF(AND(AND($N$5=1,9&lt;=$N$11),ISNUMBER(G36),ISNUMBER(E37)),G36*(1+E37),"")</f>
      </c>
      <c r="H37" s="34">
        <f>IF(NOT(AND($N$5=1,9&lt;=$N$11)),"",IF(ISNUMBER(G37),"Aplicado",IF(ISNUMBER(G36),IF($N$10=1,"Falta el IPC de "&amp;INDEX(IPC!$J$5:$J$16,MOD($N$12+1,12)+1)&amp;" de "&amp;INT(($N$12+1)/12),"Cargá el % de este ajuste en la columna F"),"")))</f>
      </c>
      <c r="J37">
        <f>IF($N$5=1,$N$7+9*$N$8,"")</f>
      </c>
      <c r="K37">
        <f>IF($N$5=1,J37-1-$N$9,"")</f>
      </c>
      <c r="L37">
        <f>IF($N$5=1,K37-$N$8,"")</f>
      </c>
    </row>
    <row r="38" spans="1:12" x14ac:dyDescent="0.25">
      <c r="A38" s="31">
        <f>IF(AND($N$5=1,10&lt;=$N$11),"10° ajuste","")</f>
      </c>
      <c r="B38" s="31">
        <f>IF(AND($N$5=1,10&lt;=$N$11),INDEX(IPC!$J$5:$J$16,MOD(J38,12)+1)&amp;" de "&amp;INT((J38)/12),"")</f>
      </c>
      <c r="C38" s="31">
        <f>IF(AND(AND($N$5=1,10&lt;=$N$11),$N$10=1),INDEX(IPC!$J$5:$J$16,MOD(L38,12)+1)&amp;" de "&amp;INT((L38)/12),"")</f>
      </c>
      <c r="D38" s="31">
        <f>IF(AND(AND($N$5=1,10&lt;=$N$11),$N$10=1),INDEX(IPC!$J$5:$J$16,MOD(K38,12)+1)&amp;" de "&amp;INT((K38)/12),"")</f>
      </c>
      <c r="E38" s="38">
        <f>IF(NOT(AND($N$5=1,10&lt;=$N$11)),"",IF($N$10=1,IF(AND($N$14=1,K38&lt;=$N$12),INDEX(IPC!$D$5:$D$173,(K38)-IPC!$J$2+1)/INDEX(IPC!$D$5:$D$173,(L38)-IPC!$J$2+1)-1,""),IF(ISNUMBER(F38),F38/100,"")))</f>
      </c>
      <c r="F38" s="36"/>
      <c r="G38" s="33">
        <f>IF(AND(AND($N$5=1,10&lt;=$N$11),ISNUMBER(G37),ISNUMBER(E38)),G37*(1+E38),"")</f>
      </c>
      <c r="H38" s="31">
        <f>IF(NOT(AND($N$5=1,10&lt;=$N$11)),"",IF(ISNUMBER(G38),"Aplicado",IF(ISNUMBER(G37),IF($N$10=1,"Falta el IPC de "&amp;INDEX(IPC!$J$5:$J$16,MOD($N$12+1,12)+1)&amp;" de "&amp;INT(($N$12+1)/12),"Cargá el % de este ajuste en la columna F"),"")))</f>
      </c>
      <c r="J38">
        <f>IF($N$5=1,$N$7+10*$N$8,"")</f>
      </c>
      <c r="K38">
        <f>IF($N$5=1,J38-1-$N$9,"")</f>
      </c>
      <c r="L38">
        <f>IF($N$5=1,K38-$N$8,"")</f>
      </c>
    </row>
    <row r="39" spans="1:12" x14ac:dyDescent="0.25">
      <c r="A39" s="34">
        <f>IF(AND($N$5=1,11&lt;=$N$11),"11° ajuste","")</f>
      </c>
      <c r="B39" s="34">
        <f>IF(AND($N$5=1,11&lt;=$N$11),INDEX(IPC!$J$5:$J$16,MOD(J39,12)+1)&amp;" de "&amp;INT((J39)/12),"")</f>
      </c>
      <c r="C39" s="34">
        <f>IF(AND(AND($N$5=1,11&lt;=$N$11),$N$10=1),INDEX(IPC!$J$5:$J$16,MOD(L39,12)+1)&amp;" de "&amp;INT((L39)/12),"")</f>
      </c>
      <c r="D39" s="34">
        <f>IF(AND(AND($N$5=1,11&lt;=$N$11),$N$10=1),INDEX(IPC!$J$5:$J$16,MOD(K39,12)+1)&amp;" de "&amp;INT((K39)/12),"")</f>
      </c>
      <c r="E39" s="35">
        <f>IF(NOT(AND($N$5=1,11&lt;=$N$11)),"",IF($N$10=1,IF(AND($N$14=1,K39&lt;=$N$12),INDEX(IPC!$D$5:$D$173,(K39)-IPC!$J$2+1)/INDEX(IPC!$D$5:$D$173,(L39)-IPC!$J$2+1)-1,""),IF(ISNUMBER(F39),F39/100,"")))</f>
      </c>
      <c r="F39" s="36"/>
      <c r="G39" s="37">
        <f>IF(AND(AND($N$5=1,11&lt;=$N$11),ISNUMBER(G38),ISNUMBER(E39)),G38*(1+E39),"")</f>
      </c>
      <c r="H39" s="34">
        <f>IF(NOT(AND($N$5=1,11&lt;=$N$11)),"",IF(ISNUMBER(G39),"Aplicado",IF(ISNUMBER(G38),IF($N$10=1,"Falta el IPC de "&amp;INDEX(IPC!$J$5:$J$16,MOD($N$12+1,12)+1)&amp;" de "&amp;INT(($N$12+1)/12),"Cargá el % de este ajuste en la columna F"),"")))</f>
      </c>
      <c r="J39">
        <f>IF($N$5=1,$N$7+11*$N$8,"")</f>
      </c>
      <c r="K39">
        <f>IF($N$5=1,J39-1-$N$9,"")</f>
      </c>
      <c r="L39">
        <f>IF($N$5=1,K39-$N$8,"")</f>
      </c>
    </row>
    <row r="40" spans="1:12" x14ac:dyDescent="0.25">
      <c r="A40" s="31">
        <f>IF(AND($N$5=1,12&lt;=$N$11),"12° ajuste","")</f>
      </c>
      <c r="B40" s="31">
        <f>IF(AND($N$5=1,12&lt;=$N$11),INDEX(IPC!$J$5:$J$16,MOD(J40,12)+1)&amp;" de "&amp;INT((J40)/12),"")</f>
      </c>
      <c r="C40" s="31">
        <f>IF(AND(AND($N$5=1,12&lt;=$N$11),$N$10=1),INDEX(IPC!$J$5:$J$16,MOD(L40,12)+1)&amp;" de "&amp;INT((L40)/12),"")</f>
      </c>
      <c r="D40" s="31">
        <f>IF(AND(AND($N$5=1,12&lt;=$N$11),$N$10=1),INDEX(IPC!$J$5:$J$16,MOD(K40,12)+1)&amp;" de "&amp;INT((K40)/12),"")</f>
      </c>
      <c r="E40" s="38">
        <f>IF(NOT(AND($N$5=1,12&lt;=$N$11)),"",IF($N$10=1,IF(AND($N$14=1,K40&lt;=$N$12),INDEX(IPC!$D$5:$D$173,(K40)-IPC!$J$2+1)/INDEX(IPC!$D$5:$D$173,(L40)-IPC!$J$2+1)-1,""),IF(ISNUMBER(F40),F40/100,"")))</f>
      </c>
      <c r="F40" s="36"/>
      <c r="G40" s="33">
        <f>IF(AND(AND($N$5=1,12&lt;=$N$11),ISNUMBER(G39),ISNUMBER(E40)),G39*(1+E40),"")</f>
      </c>
      <c r="H40" s="31">
        <f>IF(NOT(AND($N$5=1,12&lt;=$N$11)),"",IF(ISNUMBER(G40),"Aplicado",IF(ISNUMBER(G39),IF($N$10=1,"Falta el IPC de "&amp;INDEX(IPC!$J$5:$J$16,MOD($N$12+1,12)+1)&amp;" de "&amp;INT(($N$12+1)/12),"Cargá el % de este ajuste en la columna F"),"")))</f>
      </c>
      <c r="J40">
        <f>IF($N$5=1,$N$7+12*$N$8,"")</f>
      </c>
      <c r="K40">
        <f>IF($N$5=1,J40-1-$N$9,"")</f>
      </c>
      <c r="L40">
        <f>IF($N$5=1,K40-$N$8,"")</f>
      </c>
    </row>
    <row r="41" spans="1:12" x14ac:dyDescent="0.25">
      <c r="A41" s="34">
        <f>IF(AND($N$5=1,13&lt;=$N$11),"13° ajuste","")</f>
      </c>
      <c r="B41" s="34">
        <f>IF(AND($N$5=1,13&lt;=$N$11),INDEX(IPC!$J$5:$J$16,MOD(J41,12)+1)&amp;" de "&amp;INT((J41)/12),"")</f>
      </c>
      <c r="C41" s="34">
        <f>IF(AND(AND($N$5=1,13&lt;=$N$11),$N$10=1),INDEX(IPC!$J$5:$J$16,MOD(L41,12)+1)&amp;" de "&amp;INT((L41)/12),"")</f>
      </c>
      <c r="D41" s="34">
        <f>IF(AND(AND($N$5=1,13&lt;=$N$11),$N$10=1),INDEX(IPC!$J$5:$J$16,MOD(K41,12)+1)&amp;" de "&amp;INT((K41)/12),"")</f>
      </c>
      <c r="E41" s="35">
        <f>IF(NOT(AND($N$5=1,13&lt;=$N$11)),"",IF($N$10=1,IF(AND($N$14=1,K41&lt;=$N$12),INDEX(IPC!$D$5:$D$173,(K41)-IPC!$J$2+1)/INDEX(IPC!$D$5:$D$173,(L41)-IPC!$J$2+1)-1,""),IF(ISNUMBER(F41),F41/100,"")))</f>
      </c>
      <c r="F41" s="36"/>
      <c r="G41" s="37">
        <f>IF(AND(AND($N$5=1,13&lt;=$N$11),ISNUMBER(G40),ISNUMBER(E41)),G40*(1+E41),"")</f>
      </c>
      <c r="H41" s="34">
        <f>IF(NOT(AND($N$5=1,13&lt;=$N$11)),"",IF(ISNUMBER(G41),"Aplicado",IF(ISNUMBER(G40),IF($N$10=1,"Falta el IPC de "&amp;INDEX(IPC!$J$5:$J$16,MOD($N$12+1,12)+1)&amp;" de "&amp;INT(($N$12+1)/12),"Cargá el % de este ajuste en la columna F"),"")))</f>
      </c>
      <c r="J41">
        <f>IF($N$5=1,$N$7+13*$N$8,"")</f>
      </c>
      <c r="K41">
        <f>IF($N$5=1,J41-1-$N$9,"")</f>
      </c>
      <c r="L41">
        <f>IF($N$5=1,K41-$N$8,"")</f>
      </c>
    </row>
    <row r="42" spans="1:12" x14ac:dyDescent="0.25">
      <c r="A42" s="31">
        <f>IF(AND($N$5=1,14&lt;=$N$11),"14° ajuste","")</f>
      </c>
      <c r="B42" s="31">
        <f>IF(AND($N$5=1,14&lt;=$N$11),INDEX(IPC!$J$5:$J$16,MOD(J42,12)+1)&amp;" de "&amp;INT((J42)/12),"")</f>
      </c>
      <c r="C42" s="31">
        <f>IF(AND(AND($N$5=1,14&lt;=$N$11),$N$10=1),INDEX(IPC!$J$5:$J$16,MOD(L42,12)+1)&amp;" de "&amp;INT((L42)/12),"")</f>
      </c>
      <c r="D42" s="31">
        <f>IF(AND(AND($N$5=1,14&lt;=$N$11),$N$10=1),INDEX(IPC!$J$5:$J$16,MOD(K42,12)+1)&amp;" de "&amp;INT((K42)/12),"")</f>
      </c>
      <c r="E42" s="38">
        <f>IF(NOT(AND($N$5=1,14&lt;=$N$11)),"",IF($N$10=1,IF(AND($N$14=1,K42&lt;=$N$12),INDEX(IPC!$D$5:$D$173,(K42)-IPC!$J$2+1)/INDEX(IPC!$D$5:$D$173,(L42)-IPC!$J$2+1)-1,""),IF(ISNUMBER(F42),F42/100,"")))</f>
      </c>
      <c r="F42" s="36"/>
      <c r="G42" s="33">
        <f>IF(AND(AND($N$5=1,14&lt;=$N$11),ISNUMBER(G41),ISNUMBER(E42)),G41*(1+E42),"")</f>
      </c>
      <c r="H42" s="31">
        <f>IF(NOT(AND($N$5=1,14&lt;=$N$11)),"",IF(ISNUMBER(G42),"Aplicado",IF(ISNUMBER(G41),IF($N$10=1,"Falta el IPC de "&amp;INDEX(IPC!$J$5:$J$16,MOD($N$12+1,12)+1)&amp;" de "&amp;INT(($N$12+1)/12),"Cargá el % de este ajuste en la columna F"),"")))</f>
      </c>
      <c r="J42">
        <f>IF($N$5=1,$N$7+14*$N$8,"")</f>
      </c>
      <c r="K42">
        <f>IF($N$5=1,J42-1-$N$9,"")</f>
      </c>
      <c r="L42">
        <f>IF($N$5=1,K42-$N$8,"")</f>
      </c>
    </row>
    <row r="43" spans="1:12" x14ac:dyDescent="0.25">
      <c r="A43" s="34">
        <f>IF(AND($N$5=1,15&lt;=$N$11),"15° ajuste","")</f>
      </c>
      <c r="B43" s="34">
        <f>IF(AND($N$5=1,15&lt;=$N$11),INDEX(IPC!$J$5:$J$16,MOD(J43,12)+1)&amp;" de "&amp;INT((J43)/12),"")</f>
      </c>
      <c r="C43" s="34">
        <f>IF(AND(AND($N$5=1,15&lt;=$N$11),$N$10=1),INDEX(IPC!$J$5:$J$16,MOD(L43,12)+1)&amp;" de "&amp;INT((L43)/12),"")</f>
      </c>
      <c r="D43" s="34">
        <f>IF(AND(AND($N$5=1,15&lt;=$N$11),$N$10=1),INDEX(IPC!$J$5:$J$16,MOD(K43,12)+1)&amp;" de "&amp;INT((K43)/12),"")</f>
      </c>
      <c r="E43" s="35">
        <f>IF(NOT(AND($N$5=1,15&lt;=$N$11)),"",IF($N$10=1,IF(AND($N$14=1,K43&lt;=$N$12),INDEX(IPC!$D$5:$D$173,(K43)-IPC!$J$2+1)/INDEX(IPC!$D$5:$D$173,(L43)-IPC!$J$2+1)-1,""),IF(ISNUMBER(F43),F43/100,"")))</f>
      </c>
      <c r="F43" s="36"/>
      <c r="G43" s="37">
        <f>IF(AND(AND($N$5=1,15&lt;=$N$11),ISNUMBER(G42),ISNUMBER(E43)),G42*(1+E43),"")</f>
      </c>
      <c r="H43" s="34">
        <f>IF(NOT(AND($N$5=1,15&lt;=$N$11)),"",IF(ISNUMBER(G43),"Aplicado",IF(ISNUMBER(G42),IF($N$10=1,"Falta el IPC de "&amp;INDEX(IPC!$J$5:$J$16,MOD($N$12+1,12)+1)&amp;" de "&amp;INT(($N$12+1)/12),"Cargá el % de este ajuste en la columna F"),"")))</f>
      </c>
      <c r="J43">
        <f>IF($N$5=1,$N$7+15*$N$8,"")</f>
      </c>
      <c r="K43">
        <f>IF($N$5=1,J43-1-$N$9,"")</f>
      </c>
      <c r="L43">
        <f>IF($N$5=1,K43-$N$8,"")</f>
      </c>
    </row>
    <row r="44" spans="1:12" x14ac:dyDescent="0.25">
      <c r="A44" s="31">
        <f>IF(AND($N$5=1,16&lt;=$N$11),"16° ajuste","")</f>
      </c>
      <c r="B44" s="31">
        <f>IF(AND($N$5=1,16&lt;=$N$11),INDEX(IPC!$J$5:$J$16,MOD(J44,12)+1)&amp;" de "&amp;INT((J44)/12),"")</f>
      </c>
      <c r="C44" s="31">
        <f>IF(AND(AND($N$5=1,16&lt;=$N$11),$N$10=1),INDEX(IPC!$J$5:$J$16,MOD(L44,12)+1)&amp;" de "&amp;INT((L44)/12),"")</f>
      </c>
      <c r="D44" s="31">
        <f>IF(AND(AND($N$5=1,16&lt;=$N$11),$N$10=1),INDEX(IPC!$J$5:$J$16,MOD(K44,12)+1)&amp;" de "&amp;INT((K44)/12),"")</f>
      </c>
      <c r="E44" s="38">
        <f>IF(NOT(AND($N$5=1,16&lt;=$N$11)),"",IF($N$10=1,IF(AND($N$14=1,K44&lt;=$N$12),INDEX(IPC!$D$5:$D$173,(K44)-IPC!$J$2+1)/INDEX(IPC!$D$5:$D$173,(L44)-IPC!$J$2+1)-1,""),IF(ISNUMBER(F44),F44/100,"")))</f>
      </c>
      <c r="F44" s="36"/>
      <c r="G44" s="33">
        <f>IF(AND(AND($N$5=1,16&lt;=$N$11),ISNUMBER(G43),ISNUMBER(E44)),G43*(1+E44),"")</f>
      </c>
      <c r="H44" s="31">
        <f>IF(NOT(AND($N$5=1,16&lt;=$N$11)),"",IF(ISNUMBER(G44),"Aplicado",IF(ISNUMBER(G43),IF($N$10=1,"Falta el IPC de "&amp;INDEX(IPC!$J$5:$J$16,MOD($N$12+1,12)+1)&amp;" de "&amp;INT(($N$12+1)/12),"Cargá el % de este ajuste en la columna F"),"")))</f>
      </c>
      <c r="J44">
        <f>IF($N$5=1,$N$7+16*$N$8,"")</f>
      </c>
      <c r="K44">
        <f>IF($N$5=1,J44-1-$N$9,"")</f>
      </c>
      <c r="L44">
        <f>IF($N$5=1,K44-$N$8,"")</f>
      </c>
    </row>
    <row r="45" spans="1:12" x14ac:dyDescent="0.25">
      <c r="A45" s="34">
        <f>IF(AND($N$5=1,17&lt;=$N$11),"17° ajuste","")</f>
      </c>
      <c r="B45" s="34">
        <f>IF(AND($N$5=1,17&lt;=$N$11),INDEX(IPC!$J$5:$J$16,MOD(J45,12)+1)&amp;" de "&amp;INT((J45)/12),"")</f>
      </c>
      <c r="C45" s="34">
        <f>IF(AND(AND($N$5=1,17&lt;=$N$11),$N$10=1),INDEX(IPC!$J$5:$J$16,MOD(L45,12)+1)&amp;" de "&amp;INT((L45)/12),"")</f>
      </c>
      <c r="D45" s="34">
        <f>IF(AND(AND($N$5=1,17&lt;=$N$11),$N$10=1),INDEX(IPC!$J$5:$J$16,MOD(K45,12)+1)&amp;" de "&amp;INT((K45)/12),"")</f>
      </c>
      <c r="E45" s="35">
        <f>IF(NOT(AND($N$5=1,17&lt;=$N$11)),"",IF($N$10=1,IF(AND($N$14=1,K45&lt;=$N$12),INDEX(IPC!$D$5:$D$173,(K45)-IPC!$J$2+1)/INDEX(IPC!$D$5:$D$173,(L45)-IPC!$J$2+1)-1,""),IF(ISNUMBER(F45),F45/100,"")))</f>
      </c>
      <c r="F45" s="36"/>
      <c r="G45" s="37">
        <f>IF(AND(AND($N$5=1,17&lt;=$N$11),ISNUMBER(G44),ISNUMBER(E45)),G44*(1+E45),"")</f>
      </c>
      <c r="H45" s="34">
        <f>IF(NOT(AND($N$5=1,17&lt;=$N$11)),"",IF(ISNUMBER(G45),"Aplicado",IF(ISNUMBER(G44),IF($N$10=1,"Falta el IPC de "&amp;INDEX(IPC!$J$5:$J$16,MOD($N$12+1,12)+1)&amp;" de "&amp;INT(($N$12+1)/12),"Cargá el % de este ajuste en la columna F"),"")))</f>
      </c>
      <c r="J45">
        <f>IF($N$5=1,$N$7+17*$N$8,"")</f>
      </c>
      <c r="K45">
        <f>IF($N$5=1,J45-1-$N$9,"")</f>
      </c>
      <c r="L45">
        <f>IF($N$5=1,K45-$N$8,"")</f>
      </c>
    </row>
    <row r="46" spans="1:12" x14ac:dyDescent="0.25">
      <c r="A46" s="31">
        <f>IF(AND($N$5=1,18&lt;=$N$11),"18° ajuste","")</f>
      </c>
      <c r="B46" s="31">
        <f>IF(AND($N$5=1,18&lt;=$N$11),INDEX(IPC!$J$5:$J$16,MOD(J46,12)+1)&amp;" de "&amp;INT((J46)/12),"")</f>
      </c>
      <c r="C46" s="31">
        <f>IF(AND(AND($N$5=1,18&lt;=$N$11),$N$10=1),INDEX(IPC!$J$5:$J$16,MOD(L46,12)+1)&amp;" de "&amp;INT((L46)/12),"")</f>
      </c>
      <c r="D46" s="31">
        <f>IF(AND(AND($N$5=1,18&lt;=$N$11),$N$10=1),INDEX(IPC!$J$5:$J$16,MOD(K46,12)+1)&amp;" de "&amp;INT((K46)/12),"")</f>
      </c>
      <c r="E46" s="38">
        <f>IF(NOT(AND($N$5=1,18&lt;=$N$11)),"",IF($N$10=1,IF(AND($N$14=1,K46&lt;=$N$12),INDEX(IPC!$D$5:$D$173,(K46)-IPC!$J$2+1)/INDEX(IPC!$D$5:$D$173,(L46)-IPC!$J$2+1)-1,""),IF(ISNUMBER(F46),F46/100,"")))</f>
      </c>
      <c r="F46" s="36"/>
      <c r="G46" s="33">
        <f>IF(AND(AND($N$5=1,18&lt;=$N$11),ISNUMBER(G45),ISNUMBER(E46)),G45*(1+E46),"")</f>
      </c>
      <c r="H46" s="31">
        <f>IF(NOT(AND($N$5=1,18&lt;=$N$11)),"",IF(ISNUMBER(G46),"Aplicado",IF(ISNUMBER(G45),IF($N$10=1,"Falta el IPC de "&amp;INDEX(IPC!$J$5:$J$16,MOD($N$12+1,12)+1)&amp;" de "&amp;INT(($N$12+1)/12),"Cargá el % de este ajuste en la columna F"),"")))</f>
      </c>
      <c r="J46">
        <f>IF($N$5=1,$N$7+18*$N$8,"")</f>
      </c>
      <c r="K46">
        <f>IF($N$5=1,J46-1-$N$9,"")</f>
      </c>
      <c r="L46">
        <f>IF($N$5=1,K46-$N$8,"")</f>
      </c>
    </row>
    <row r="47" spans="1:12" x14ac:dyDescent="0.25">
      <c r="A47" s="34">
        <f>IF(AND($N$5=1,19&lt;=$N$11),"19° ajuste","")</f>
      </c>
      <c r="B47" s="34">
        <f>IF(AND($N$5=1,19&lt;=$N$11),INDEX(IPC!$J$5:$J$16,MOD(J47,12)+1)&amp;" de "&amp;INT((J47)/12),"")</f>
      </c>
      <c r="C47" s="34">
        <f>IF(AND(AND($N$5=1,19&lt;=$N$11),$N$10=1),INDEX(IPC!$J$5:$J$16,MOD(L47,12)+1)&amp;" de "&amp;INT((L47)/12),"")</f>
      </c>
      <c r="D47" s="34">
        <f>IF(AND(AND($N$5=1,19&lt;=$N$11),$N$10=1),INDEX(IPC!$J$5:$J$16,MOD(K47,12)+1)&amp;" de "&amp;INT((K47)/12),"")</f>
      </c>
      <c r="E47" s="35">
        <f>IF(NOT(AND($N$5=1,19&lt;=$N$11)),"",IF($N$10=1,IF(AND($N$14=1,K47&lt;=$N$12),INDEX(IPC!$D$5:$D$173,(K47)-IPC!$J$2+1)/INDEX(IPC!$D$5:$D$173,(L47)-IPC!$J$2+1)-1,""),IF(ISNUMBER(F47),F47/100,"")))</f>
      </c>
      <c r="F47" s="36"/>
      <c r="G47" s="37">
        <f>IF(AND(AND($N$5=1,19&lt;=$N$11),ISNUMBER(G46),ISNUMBER(E47)),G46*(1+E47),"")</f>
      </c>
      <c r="H47" s="34">
        <f>IF(NOT(AND($N$5=1,19&lt;=$N$11)),"",IF(ISNUMBER(G47),"Aplicado",IF(ISNUMBER(G46),IF($N$10=1,"Falta el IPC de "&amp;INDEX(IPC!$J$5:$J$16,MOD($N$12+1,12)+1)&amp;" de "&amp;INT(($N$12+1)/12),"Cargá el % de este ajuste en la columna F"),"")))</f>
      </c>
      <c r="J47">
        <f>IF($N$5=1,$N$7+19*$N$8,"")</f>
      </c>
      <c r="K47">
        <f>IF($N$5=1,J47-1-$N$9,"")</f>
      </c>
      <c r="L47">
        <f>IF($N$5=1,K47-$N$8,"")</f>
      </c>
    </row>
    <row r="48" spans="1:12" x14ac:dyDescent="0.25">
      <c r="A48" s="31">
        <f>IF(AND($N$5=1,20&lt;=$N$11),"20° ajuste","")</f>
      </c>
      <c r="B48" s="31">
        <f>IF(AND($N$5=1,20&lt;=$N$11),INDEX(IPC!$J$5:$J$16,MOD(J48,12)+1)&amp;" de "&amp;INT((J48)/12),"")</f>
      </c>
      <c r="C48" s="31">
        <f>IF(AND(AND($N$5=1,20&lt;=$N$11),$N$10=1),INDEX(IPC!$J$5:$J$16,MOD(L48,12)+1)&amp;" de "&amp;INT((L48)/12),"")</f>
      </c>
      <c r="D48" s="31">
        <f>IF(AND(AND($N$5=1,20&lt;=$N$11),$N$10=1),INDEX(IPC!$J$5:$J$16,MOD(K48,12)+1)&amp;" de "&amp;INT((K48)/12),"")</f>
      </c>
      <c r="E48" s="38">
        <f>IF(NOT(AND($N$5=1,20&lt;=$N$11)),"",IF($N$10=1,IF(AND($N$14=1,K48&lt;=$N$12),INDEX(IPC!$D$5:$D$173,(K48)-IPC!$J$2+1)/INDEX(IPC!$D$5:$D$173,(L48)-IPC!$J$2+1)-1,""),IF(ISNUMBER(F48),F48/100,"")))</f>
      </c>
      <c r="F48" s="36"/>
      <c r="G48" s="33">
        <f>IF(AND(AND($N$5=1,20&lt;=$N$11),ISNUMBER(G47),ISNUMBER(E48)),G47*(1+E48),"")</f>
      </c>
      <c r="H48" s="31">
        <f>IF(NOT(AND($N$5=1,20&lt;=$N$11)),"",IF(ISNUMBER(G48),"Aplicado",IF(ISNUMBER(G47),IF($N$10=1,"Falta el IPC de "&amp;INDEX(IPC!$J$5:$J$16,MOD($N$12+1,12)+1)&amp;" de "&amp;INT(($N$12+1)/12),"Cargá el % de este ajuste en la columna F"),"")))</f>
      </c>
      <c r="J48">
        <f>IF($N$5=1,$N$7+20*$N$8,"")</f>
      </c>
      <c r="K48">
        <f>IF($N$5=1,J48-1-$N$9,"")</f>
      </c>
      <c r="L48">
        <f>IF($N$5=1,K48-$N$8,"")</f>
      </c>
    </row>
    <row r="49" spans="1:12" x14ac:dyDescent="0.25">
      <c r="A49" s="34">
        <f>IF(AND($N$5=1,21&lt;=$N$11),"21° ajuste","")</f>
      </c>
      <c r="B49" s="34">
        <f>IF(AND($N$5=1,21&lt;=$N$11),INDEX(IPC!$J$5:$J$16,MOD(J49,12)+1)&amp;" de "&amp;INT((J49)/12),"")</f>
      </c>
      <c r="C49" s="34">
        <f>IF(AND(AND($N$5=1,21&lt;=$N$11),$N$10=1),INDEX(IPC!$J$5:$J$16,MOD(L49,12)+1)&amp;" de "&amp;INT((L49)/12),"")</f>
      </c>
      <c r="D49" s="34">
        <f>IF(AND(AND($N$5=1,21&lt;=$N$11),$N$10=1),INDEX(IPC!$J$5:$J$16,MOD(K49,12)+1)&amp;" de "&amp;INT((K49)/12),"")</f>
      </c>
      <c r="E49" s="35">
        <f>IF(NOT(AND($N$5=1,21&lt;=$N$11)),"",IF($N$10=1,IF(AND($N$14=1,K49&lt;=$N$12),INDEX(IPC!$D$5:$D$173,(K49)-IPC!$J$2+1)/INDEX(IPC!$D$5:$D$173,(L49)-IPC!$J$2+1)-1,""),IF(ISNUMBER(F49),F49/100,"")))</f>
      </c>
      <c r="F49" s="36"/>
      <c r="G49" s="37">
        <f>IF(AND(AND($N$5=1,21&lt;=$N$11),ISNUMBER(G48),ISNUMBER(E49)),G48*(1+E49),"")</f>
      </c>
      <c r="H49" s="34">
        <f>IF(NOT(AND($N$5=1,21&lt;=$N$11)),"",IF(ISNUMBER(G49),"Aplicado",IF(ISNUMBER(G48),IF($N$10=1,"Falta el IPC de "&amp;INDEX(IPC!$J$5:$J$16,MOD($N$12+1,12)+1)&amp;" de "&amp;INT(($N$12+1)/12),"Cargá el % de este ajuste en la columna F"),"")))</f>
      </c>
      <c r="J49">
        <f>IF($N$5=1,$N$7+21*$N$8,"")</f>
      </c>
      <c r="K49">
        <f>IF($N$5=1,J49-1-$N$9,"")</f>
      </c>
      <c r="L49">
        <f>IF($N$5=1,K49-$N$8,"")</f>
      </c>
    </row>
    <row r="50" spans="1:12" x14ac:dyDescent="0.25">
      <c r="A50" s="31">
        <f>IF(AND($N$5=1,22&lt;=$N$11),"22° ajuste","")</f>
      </c>
      <c r="B50" s="31">
        <f>IF(AND($N$5=1,22&lt;=$N$11),INDEX(IPC!$J$5:$J$16,MOD(J50,12)+1)&amp;" de "&amp;INT((J50)/12),"")</f>
      </c>
      <c r="C50" s="31">
        <f>IF(AND(AND($N$5=1,22&lt;=$N$11),$N$10=1),INDEX(IPC!$J$5:$J$16,MOD(L50,12)+1)&amp;" de "&amp;INT((L50)/12),"")</f>
      </c>
      <c r="D50" s="31">
        <f>IF(AND(AND($N$5=1,22&lt;=$N$11),$N$10=1),INDEX(IPC!$J$5:$J$16,MOD(K50,12)+1)&amp;" de "&amp;INT((K50)/12),"")</f>
      </c>
      <c r="E50" s="38">
        <f>IF(NOT(AND($N$5=1,22&lt;=$N$11)),"",IF($N$10=1,IF(AND($N$14=1,K50&lt;=$N$12),INDEX(IPC!$D$5:$D$173,(K50)-IPC!$J$2+1)/INDEX(IPC!$D$5:$D$173,(L50)-IPC!$J$2+1)-1,""),IF(ISNUMBER(F50),F50/100,"")))</f>
      </c>
      <c r="F50" s="36"/>
      <c r="G50" s="33">
        <f>IF(AND(AND($N$5=1,22&lt;=$N$11),ISNUMBER(G49),ISNUMBER(E50)),G49*(1+E50),"")</f>
      </c>
      <c r="H50" s="31">
        <f>IF(NOT(AND($N$5=1,22&lt;=$N$11)),"",IF(ISNUMBER(G50),"Aplicado",IF(ISNUMBER(G49),IF($N$10=1,"Falta el IPC de "&amp;INDEX(IPC!$J$5:$J$16,MOD($N$12+1,12)+1)&amp;" de "&amp;INT(($N$12+1)/12),"Cargá el % de este ajuste en la columna F"),"")))</f>
      </c>
      <c r="J50">
        <f>IF($N$5=1,$N$7+22*$N$8,"")</f>
      </c>
      <c r="K50">
        <f>IF($N$5=1,J50-1-$N$9,"")</f>
      </c>
      <c r="L50">
        <f>IF($N$5=1,K50-$N$8,"")</f>
      </c>
    </row>
    <row r="51" spans="1:12" x14ac:dyDescent="0.25">
      <c r="A51" s="34">
        <f>IF(AND($N$5=1,23&lt;=$N$11),"23° ajuste","")</f>
      </c>
      <c r="B51" s="34">
        <f>IF(AND($N$5=1,23&lt;=$N$11),INDEX(IPC!$J$5:$J$16,MOD(J51,12)+1)&amp;" de "&amp;INT((J51)/12),"")</f>
      </c>
      <c r="C51" s="34">
        <f>IF(AND(AND($N$5=1,23&lt;=$N$11),$N$10=1),INDEX(IPC!$J$5:$J$16,MOD(L51,12)+1)&amp;" de "&amp;INT((L51)/12),"")</f>
      </c>
      <c r="D51" s="34">
        <f>IF(AND(AND($N$5=1,23&lt;=$N$11),$N$10=1),INDEX(IPC!$J$5:$J$16,MOD(K51,12)+1)&amp;" de "&amp;INT((K51)/12),"")</f>
      </c>
      <c r="E51" s="35">
        <f>IF(NOT(AND($N$5=1,23&lt;=$N$11)),"",IF($N$10=1,IF(AND($N$14=1,K51&lt;=$N$12),INDEX(IPC!$D$5:$D$173,(K51)-IPC!$J$2+1)/INDEX(IPC!$D$5:$D$173,(L51)-IPC!$J$2+1)-1,""),IF(ISNUMBER(F51),F51/100,"")))</f>
      </c>
      <c r="F51" s="36"/>
      <c r="G51" s="37">
        <f>IF(AND(AND($N$5=1,23&lt;=$N$11),ISNUMBER(G50),ISNUMBER(E51)),G50*(1+E51),"")</f>
      </c>
      <c r="H51" s="34">
        <f>IF(NOT(AND($N$5=1,23&lt;=$N$11)),"",IF(ISNUMBER(G51),"Aplicado",IF(ISNUMBER(G50),IF($N$10=1,"Falta el IPC de "&amp;INDEX(IPC!$J$5:$J$16,MOD($N$12+1,12)+1)&amp;" de "&amp;INT(($N$12+1)/12),"Cargá el % de este ajuste en la columna F"),"")))</f>
      </c>
      <c r="J51">
        <f>IF($N$5=1,$N$7+23*$N$8,"")</f>
      </c>
      <c r="K51">
        <f>IF($N$5=1,J51-1-$N$9,"")</f>
      </c>
      <c r="L51">
        <f>IF($N$5=1,K51-$N$8,"")</f>
      </c>
    </row>
    <row r="52" spans="1:12" x14ac:dyDescent="0.25">
      <c r="A52" s="31">
        <f>IF(AND($N$5=1,24&lt;=$N$11),"24° ajuste","")</f>
      </c>
      <c r="B52" s="31">
        <f>IF(AND($N$5=1,24&lt;=$N$11),INDEX(IPC!$J$5:$J$16,MOD(J52,12)+1)&amp;" de "&amp;INT((J52)/12),"")</f>
      </c>
      <c r="C52" s="31">
        <f>IF(AND(AND($N$5=1,24&lt;=$N$11),$N$10=1),INDEX(IPC!$J$5:$J$16,MOD(L52,12)+1)&amp;" de "&amp;INT((L52)/12),"")</f>
      </c>
      <c r="D52" s="31">
        <f>IF(AND(AND($N$5=1,24&lt;=$N$11),$N$10=1),INDEX(IPC!$J$5:$J$16,MOD(K52,12)+1)&amp;" de "&amp;INT((K52)/12),"")</f>
      </c>
      <c r="E52" s="38">
        <f>IF(NOT(AND($N$5=1,24&lt;=$N$11)),"",IF($N$10=1,IF(AND($N$14=1,K52&lt;=$N$12),INDEX(IPC!$D$5:$D$173,(K52)-IPC!$J$2+1)/INDEX(IPC!$D$5:$D$173,(L52)-IPC!$J$2+1)-1,""),IF(ISNUMBER(F52),F52/100,"")))</f>
      </c>
      <c r="F52" s="36"/>
      <c r="G52" s="33">
        <f>IF(AND(AND($N$5=1,24&lt;=$N$11),ISNUMBER(G51),ISNUMBER(E52)),G51*(1+E52),"")</f>
      </c>
      <c r="H52" s="31">
        <f>IF(NOT(AND($N$5=1,24&lt;=$N$11)),"",IF(ISNUMBER(G52),"Aplicado",IF(ISNUMBER(G51),IF($N$10=1,"Falta el IPC de "&amp;INDEX(IPC!$J$5:$J$16,MOD($N$12+1,12)+1)&amp;" de "&amp;INT(($N$12+1)/12),"Cargá el % de este ajuste en la columna F"),"")))</f>
      </c>
      <c r="J52">
        <f>IF($N$5=1,$N$7+24*$N$8,"")</f>
      </c>
      <c r="K52">
        <f>IF($N$5=1,J52-1-$N$9,"")</f>
      </c>
      <c r="L52">
        <f>IF($N$5=1,K52-$N$8,"")</f>
      </c>
    </row>
    <row r="53" spans="1:12" x14ac:dyDescent="0.25">
      <c r="A53" s="34">
        <f>IF(AND($N$5=1,25&lt;=$N$11),"25° ajuste","")</f>
      </c>
      <c r="B53" s="34">
        <f>IF(AND($N$5=1,25&lt;=$N$11),INDEX(IPC!$J$5:$J$16,MOD(J53,12)+1)&amp;" de "&amp;INT((J53)/12),"")</f>
      </c>
      <c r="C53" s="34">
        <f>IF(AND(AND($N$5=1,25&lt;=$N$11),$N$10=1),INDEX(IPC!$J$5:$J$16,MOD(L53,12)+1)&amp;" de "&amp;INT((L53)/12),"")</f>
      </c>
      <c r="D53" s="34">
        <f>IF(AND(AND($N$5=1,25&lt;=$N$11),$N$10=1),INDEX(IPC!$J$5:$J$16,MOD(K53,12)+1)&amp;" de "&amp;INT((K53)/12),"")</f>
      </c>
      <c r="E53" s="35">
        <f>IF(NOT(AND($N$5=1,25&lt;=$N$11)),"",IF($N$10=1,IF(AND($N$14=1,K53&lt;=$N$12),INDEX(IPC!$D$5:$D$173,(K53)-IPC!$J$2+1)/INDEX(IPC!$D$5:$D$173,(L53)-IPC!$J$2+1)-1,""),IF(ISNUMBER(F53),F53/100,"")))</f>
      </c>
      <c r="F53" s="36"/>
      <c r="G53" s="37">
        <f>IF(AND(AND($N$5=1,25&lt;=$N$11),ISNUMBER(G52),ISNUMBER(E53)),G52*(1+E53),"")</f>
      </c>
      <c r="H53" s="34">
        <f>IF(NOT(AND($N$5=1,25&lt;=$N$11)),"",IF(ISNUMBER(G53),"Aplicado",IF(ISNUMBER(G52),IF($N$10=1,"Falta el IPC de "&amp;INDEX(IPC!$J$5:$J$16,MOD($N$12+1,12)+1)&amp;" de "&amp;INT(($N$12+1)/12),"Cargá el % de este ajuste en la columna F"),"")))</f>
      </c>
      <c r="J53">
        <f>IF($N$5=1,$N$7+25*$N$8,"")</f>
      </c>
      <c r="K53">
        <f>IF($N$5=1,J53-1-$N$9,"")</f>
      </c>
      <c r="L53">
        <f>IF($N$5=1,K53-$N$8,"")</f>
      </c>
    </row>
    <row r="54" spans="1:12" x14ac:dyDescent="0.25">
      <c r="A54" s="31">
        <f>IF(AND($N$5=1,26&lt;=$N$11),"26° ajuste","")</f>
      </c>
      <c r="B54" s="31">
        <f>IF(AND($N$5=1,26&lt;=$N$11),INDEX(IPC!$J$5:$J$16,MOD(J54,12)+1)&amp;" de "&amp;INT((J54)/12),"")</f>
      </c>
      <c r="C54" s="31">
        <f>IF(AND(AND($N$5=1,26&lt;=$N$11),$N$10=1),INDEX(IPC!$J$5:$J$16,MOD(L54,12)+1)&amp;" de "&amp;INT((L54)/12),"")</f>
      </c>
      <c r="D54" s="31">
        <f>IF(AND(AND($N$5=1,26&lt;=$N$11),$N$10=1),INDEX(IPC!$J$5:$J$16,MOD(K54,12)+1)&amp;" de "&amp;INT((K54)/12),"")</f>
      </c>
      <c r="E54" s="38">
        <f>IF(NOT(AND($N$5=1,26&lt;=$N$11)),"",IF($N$10=1,IF(AND($N$14=1,K54&lt;=$N$12),INDEX(IPC!$D$5:$D$173,(K54)-IPC!$J$2+1)/INDEX(IPC!$D$5:$D$173,(L54)-IPC!$J$2+1)-1,""),IF(ISNUMBER(F54),F54/100,"")))</f>
      </c>
      <c r="F54" s="36"/>
      <c r="G54" s="33">
        <f>IF(AND(AND($N$5=1,26&lt;=$N$11),ISNUMBER(G53),ISNUMBER(E54)),G53*(1+E54),"")</f>
      </c>
      <c r="H54" s="31">
        <f>IF(NOT(AND($N$5=1,26&lt;=$N$11)),"",IF(ISNUMBER(G54),"Aplicado",IF(ISNUMBER(G53),IF($N$10=1,"Falta el IPC de "&amp;INDEX(IPC!$J$5:$J$16,MOD($N$12+1,12)+1)&amp;" de "&amp;INT(($N$12+1)/12),"Cargá el % de este ajuste en la columna F"),"")))</f>
      </c>
      <c r="J54">
        <f>IF($N$5=1,$N$7+26*$N$8,"")</f>
      </c>
      <c r="K54">
        <f>IF($N$5=1,J54-1-$N$9,"")</f>
      </c>
      <c r="L54">
        <f>IF($N$5=1,K54-$N$8,"")</f>
      </c>
    </row>
    <row r="55" spans="1:12" x14ac:dyDescent="0.25">
      <c r="A55" s="34">
        <f>IF(AND($N$5=1,27&lt;=$N$11),"27° ajuste","")</f>
      </c>
      <c r="B55" s="34">
        <f>IF(AND($N$5=1,27&lt;=$N$11),INDEX(IPC!$J$5:$J$16,MOD(J55,12)+1)&amp;" de "&amp;INT((J55)/12),"")</f>
      </c>
      <c r="C55" s="34">
        <f>IF(AND(AND($N$5=1,27&lt;=$N$11),$N$10=1),INDEX(IPC!$J$5:$J$16,MOD(L55,12)+1)&amp;" de "&amp;INT((L55)/12),"")</f>
      </c>
      <c r="D55" s="34">
        <f>IF(AND(AND($N$5=1,27&lt;=$N$11),$N$10=1),INDEX(IPC!$J$5:$J$16,MOD(K55,12)+1)&amp;" de "&amp;INT((K55)/12),"")</f>
      </c>
      <c r="E55" s="35">
        <f>IF(NOT(AND($N$5=1,27&lt;=$N$11)),"",IF($N$10=1,IF(AND($N$14=1,K55&lt;=$N$12),INDEX(IPC!$D$5:$D$173,(K55)-IPC!$J$2+1)/INDEX(IPC!$D$5:$D$173,(L55)-IPC!$J$2+1)-1,""),IF(ISNUMBER(F55),F55/100,"")))</f>
      </c>
      <c r="F55" s="36"/>
      <c r="G55" s="37">
        <f>IF(AND(AND($N$5=1,27&lt;=$N$11),ISNUMBER(G54),ISNUMBER(E55)),G54*(1+E55),"")</f>
      </c>
      <c r="H55" s="34">
        <f>IF(NOT(AND($N$5=1,27&lt;=$N$11)),"",IF(ISNUMBER(G55),"Aplicado",IF(ISNUMBER(G54),IF($N$10=1,"Falta el IPC de "&amp;INDEX(IPC!$J$5:$J$16,MOD($N$12+1,12)+1)&amp;" de "&amp;INT(($N$12+1)/12),"Cargá el % de este ajuste en la columna F"),"")))</f>
      </c>
      <c r="J55">
        <f>IF($N$5=1,$N$7+27*$N$8,"")</f>
      </c>
      <c r="K55">
        <f>IF($N$5=1,J55-1-$N$9,"")</f>
      </c>
      <c r="L55">
        <f>IF($N$5=1,K55-$N$8,"")</f>
      </c>
    </row>
    <row r="56" spans="1:12" x14ac:dyDescent="0.25">
      <c r="A56" s="31">
        <f>IF(AND($N$5=1,28&lt;=$N$11),"28° ajuste","")</f>
      </c>
      <c r="B56" s="31">
        <f>IF(AND($N$5=1,28&lt;=$N$11),INDEX(IPC!$J$5:$J$16,MOD(J56,12)+1)&amp;" de "&amp;INT((J56)/12),"")</f>
      </c>
      <c r="C56" s="31">
        <f>IF(AND(AND($N$5=1,28&lt;=$N$11),$N$10=1),INDEX(IPC!$J$5:$J$16,MOD(L56,12)+1)&amp;" de "&amp;INT((L56)/12),"")</f>
      </c>
      <c r="D56" s="31">
        <f>IF(AND(AND($N$5=1,28&lt;=$N$11),$N$10=1),INDEX(IPC!$J$5:$J$16,MOD(K56,12)+1)&amp;" de "&amp;INT((K56)/12),"")</f>
      </c>
      <c r="E56" s="38">
        <f>IF(NOT(AND($N$5=1,28&lt;=$N$11)),"",IF($N$10=1,IF(AND($N$14=1,K56&lt;=$N$12),INDEX(IPC!$D$5:$D$173,(K56)-IPC!$J$2+1)/INDEX(IPC!$D$5:$D$173,(L56)-IPC!$J$2+1)-1,""),IF(ISNUMBER(F56),F56/100,"")))</f>
      </c>
      <c r="F56" s="36"/>
      <c r="G56" s="33">
        <f>IF(AND(AND($N$5=1,28&lt;=$N$11),ISNUMBER(G55),ISNUMBER(E56)),G55*(1+E56),"")</f>
      </c>
      <c r="H56" s="31">
        <f>IF(NOT(AND($N$5=1,28&lt;=$N$11)),"",IF(ISNUMBER(G56),"Aplicado",IF(ISNUMBER(G55),IF($N$10=1,"Falta el IPC de "&amp;INDEX(IPC!$J$5:$J$16,MOD($N$12+1,12)+1)&amp;" de "&amp;INT(($N$12+1)/12),"Cargá el % de este ajuste en la columna F"),"")))</f>
      </c>
      <c r="J56">
        <f>IF($N$5=1,$N$7+28*$N$8,"")</f>
      </c>
      <c r="K56">
        <f>IF($N$5=1,J56-1-$N$9,"")</f>
      </c>
      <c r="L56">
        <f>IF($N$5=1,K56-$N$8,"")</f>
      </c>
    </row>
    <row r="57" spans="1:12" x14ac:dyDescent="0.25">
      <c r="A57" s="34">
        <f>IF(AND($N$5=1,29&lt;=$N$11),"29° ajuste","")</f>
      </c>
      <c r="B57" s="34">
        <f>IF(AND($N$5=1,29&lt;=$N$11),INDEX(IPC!$J$5:$J$16,MOD(J57,12)+1)&amp;" de "&amp;INT((J57)/12),"")</f>
      </c>
      <c r="C57" s="34">
        <f>IF(AND(AND($N$5=1,29&lt;=$N$11),$N$10=1),INDEX(IPC!$J$5:$J$16,MOD(L57,12)+1)&amp;" de "&amp;INT((L57)/12),"")</f>
      </c>
      <c r="D57" s="34">
        <f>IF(AND(AND($N$5=1,29&lt;=$N$11),$N$10=1),INDEX(IPC!$J$5:$J$16,MOD(K57,12)+1)&amp;" de "&amp;INT((K57)/12),"")</f>
      </c>
      <c r="E57" s="35">
        <f>IF(NOT(AND($N$5=1,29&lt;=$N$11)),"",IF($N$10=1,IF(AND($N$14=1,K57&lt;=$N$12),INDEX(IPC!$D$5:$D$173,(K57)-IPC!$J$2+1)/INDEX(IPC!$D$5:$D$173,(L57)-IPC!$J$2+1)-1,""),IF(ISNUMBER(F57),F57/100,"")))</f>
      </c>
      <c r="F57" s="36"/>
      <c r="G57" s="37">
        <f>IF(AND(AND($N$5=1,29&lt;=$N$11),ISNUMBER(G56),ISNUMBER(E57)),G56*(1+E57),"")</f>
      </c>
      <c r="H57" s="34">
        <f>IF(NOT(AND($N$5=1,29&lt;=$N$11)),"",IF(ISNUMBER(G57),"Aplicado",IF(ISNUMBER(G56),IF($N$10=1,"Falta el IPC de "&amp;INDEX(IPC!$J$5:$J$16,MOD($N$12+1,12)+1)&amp;" de "&amp;INT(($N$12+1)/12),"Cargá el % de este ajuste en la columna F"),"")))</f>
      </c>
      <c r="J57">
        <f>IF($N$5=1,$N$7+29*$N$8,"")</f>
      </c>
      <c r="K57">
        <f>IF($N$5=1,J57-1-$N$9,"")</f>
      </c>
      <c r="L57">
        <f>IF($N$5=1,K57-$N$8,"")</f>
      </c>
    </row>
    <row r="58" spans="1:12" x14ac:dyDescent="0.25">
      <c r="A58" s="31">
        <f>IF(AND($N$5=1,30&lt;=$N$11),"30° ajuste","")</f>
      </c>
      <c r="B58" s="31">
        <f>IF(AND($N$5=1,30&lt;=$N$11),INDEX(IPC!$J$5:$J$16,MOD(J58,12)+1)&amp;" de "&amp;INT((J58)/12),"")</f>
      </c>
      <c r="C58" s="31">
        <f>IF(AND(AND($N$5=1,30&lt;=$N$11),$N$10=1),INDEX(IPC!$J$5:$J$16,MOD(L58,12)+1)&amp;" de "&amp;INT((L58)/12),"")</f>
      </c>
      <c r="D58" s="31">
        <f>IF(AND(AND($N$5=1,30&lt;=$N$11),$N$10=1),INDEX(IPC!$J$5:$J$16,MOD(K58,12)+1)&amp;" de "&amp;INT((K58)/12),"")</f>
      </c>
      <c r="E58" s="38">
        <f>IF(NOT(AND($N$5=1,30&lt;=$N$11)),"",IF($N$10=1,IF(AND($N$14=1,K58&lt;=$N$12),INDEX(IPC!$D$5:$D$173,(K58)-IPC!$J$2+1)/INDEX(IPC!$D$5:$D$173,(L58)-IPC!$J$2+1)-1,""),IF(ISNUMBER(F58),F58/100,"")))</f>
      </c>
      <c r="F58" s="36"/>
      <c r="G58" s="33">
        <f>IF(AND(AND($N$5=1,30&lt;=$N$11),ISNUMBER(G57),ISNUMBER(E58)),G57*(1+E58),"")</f>
      </c>
      <c r="H58" s="31">
        <f>IF(NOT(AND($N$5=1,30&lt;=$N$11)),"",IF(ISNUMBER(G58),"Aplicado",IF(ISNUMBER(G57),IF($N$10=1,"Falta el IPC de "&amp;INDEX(IPC!$J$5:$J$16,MOD($N$12+1,12)+1)&amp;" de "&amp;INT(($N$12+1)/12),"Cargá el % de este ajuste en la columna F"),"")))</f>
      </c>
      <c r="J58">
        <f>IF($N$5=1,$N$7+30*$N$8,"")</f>
      </c>
      <c r="K58">
        <f>IF($N$5=1,J58-1-$N$9,"")</f>
      </c>
      <c r="L58">
        <f>IF($N$5=1,K58-$N$8,"")</f>
      </c>
    </row>
    <row r="59" spans="1:12" x14ac:dyDescent="0.25">
      <c r="A59" s="34">
        <f>IF(AND($N$5=1,31&lt;=$N$11),"31° ajuste","")</f>
      </c>
      <c r="B59" s="34">
        <f>IF(AND($N$5=1,31&lt;=$N$11),INDEX(IPC!$J$5:$J$16,MOD(J59,12)+1)&amp;" de "&amp;INT((J59)/12),"")</f>
      </c>
      <c r="C59" s="34">
        <f>IF(AND(AND($N$5=1,31&lt;=$N$11),$N$10=1),INDEX(IPC!$J$5:$J$16,MOD(L59,12)+1)&amp;" de "&amp;INT((L59)/12),"")</f>
      </c>
      <c r="D59" s="34">
        <f>IF(AND(AND($N$5=1,31&lt;=$N$11),$N$10=1),INDEX(IPC!$J$5:$J$16,MOD(K59,12)+1)&amp;" de "&amp;INT((K59)/12),"")</f>
      </c>
      <c r="E59" s="35">
        <f>IF(NOT(AND($N$5=1,31&lt;=$N$11)),"",IF($N$10=1,IF(AND($N$14=1,K59&lt;=$N$12),INDEX(IPC!$D$5:$D$173,(K59)-IPC!$J$2+1)/INDEX(IPC!$D$5:$D$173,(L59)-IPC!$J$2+1)-1,""),IF(ISNUMBER(F59),F59/100,"")))</f>
      </c>
      <c r="F59" s="36"/>
      <c r="G59" s="37">
        <f>IF(AND(AND($N$5=1,31&lt;=$N$11),ISNUMBER(G58),ISNUMBER(E59)),G58*(1+E59),"")</f>
      </c>
      <c r="H59" s="34">
        <f>IF(NOT(AND($N$5=1,31&lt;=$N$11)),"",IF(ISNUMBER(G59),"Aplicado",IF(ISNUMBER(G58),IF($N$10=1,"Falta el IPC de "&amp;INDEX(IPC!$J$5:$J$16,MOD($N$12+1,12)+1)&amp;" de "&amp;INT(($N$12+1)/12),"Cargá el % de este ajuste en la columna F"),"")))</f>
      </c>
      <c r="J59">
        <f>IF($N$5=1,$N$7+31*$N$8,"")</f>
      </c>
      <c r="K59">
        <f>IF($N$5=1,J59-1-$N$9,"")</f>
      </c>
      <c r="L59">
        <f>IF($N$5=1,K59-$N$8,"")</f>
      </c>
    </row>
    <row r="60" spans="1:12" x14ac:dyDescent="0.25">
      <c r="A60" s="31">
        <f>IF(AND($N$5=1,32&lt;=$N$11),"32° ajuste","")</f>
      </c>
      <c r="B60" s="31">
        <f>IF(AND($N$5=1,32&lt;=$N$11),INDEX(IPC!$J$5:$J$16,MOD(J60,12)+1)&amp;" de "&amp;INT((J60)/12),"")</f>
      </c>
      <c r="C60" s="31">
        <f>IF(AND(AND($N$5=1,32&lt;=$N$11),$N$10=1),INDEX(IPC!$J$5:$J$16,MOD(L60,12)+1)&amp;" de "&amp;INT((L60)/12),"")</f>
      </c>
      <c r="D60" s="31">
        <f>IF(AND(AND($N$5=1,32&lt;=$N$11),$N$10=1),INDEX(IPC!$J$5:$J$16,MOD(K60,12)+1)&amp;" de "&amp;INT((K60)/12),"")</f>
      </c>
      <c r="E60" s="38">
        <f>IF(NOT(AND($N$5=1,32&lt;=$N$11)),"",IF($N$10=1,IF(AND($N$14=1,K60&lt;=$N$12),INDEX(IPC!$D$5:$D$173,(K60)-IPC!$J$2+1)/INDEX(IPC!$D$5:$D$173,(L60)-IPC!$J$2+1)-1,""),IF(ISNUMBER(F60),F60/100,"")))</f>
      </c>
      <c r="F60" s="36"/>
      <c r="G60" s="33">
        <f>IF(AND(AND($N$5=1,32&lt;=$N$11),ISNUMBER(G59),ISNUMBER(E60)),G59*(1+E60),"")</f>
      </c>
      <c r="H60" s="31">
        <f>IF(NOT(AND($N$5=1,32&lt;=$N$11)),"",IF(ISNUMBER(G60),"Aplicado",IF(ISNUMBER(G59),IF($N$10=1,"Falta el IPC de "&amp;INDEX(IPC!$J$5:$J$16,MOD($N$12+1,12)+1)&amp;" de "&amp;INT(($N$12+1)/12),"Cargá el % de este ajuste en la columna F"),"")))</f>
      </c>
      <c r="J60">
        <f>IF($N$5=1,$N$7+32*$N$8,"")</f>
      </c>
      <c r="K60">
        <f>IF($N$5=1,J60-1-$N$9,"")</f>
      </c>
      <c r="L60">
        <f>IF($N$5=1,K60-$N$8,"")</f>
      </c>
    </row>
    <row r="61" spans="1:12" x14ac:dyDescent="0.25">
      <c r="A61" s="34">
        <f>IF(AND($N$5=1,33&lt;=$N$11),"33° ajuste","")</f>
      </c>
      <c r="B61" s="34">
        <f>IF(AND($N$5=1,33&lt;=$N$11),INDEX(IPC!$J$5:$J$16,MOD(J61,12)+1)&amp;" de "&amp;INT((J61)/12),"")</f>
      </c>
      <c r="C61" s="34">
        <f>IF(AND(AND($N$5=1,33&lt;=$N$11),$N$10=1),INDEX(IPC!$J$5:$J$16,MOD(L61,12)+1)&amp;" de "&amp;INT((L61)/12),"")</f>
      </c>
      <c r="D61" s="34">
        <f>IF(AND(AND($N$5=1,33&lt;=$N$11),$N$10=1),INDEX(IPC!$J$5:$J$16,MOD(K61,12)+1)&amp;" de "&amp;INT((K61)/12),"")</f>
      </c>
      <c r="E61" s="35">
        <f>IF(NOT(AND($N$5=1,33&lt;=$N$11)),"",IF($N$10=1,IF(AND($N$14=1,K61&lt;=$N$12),INDEX(IPC!$D$5:$D$173,(K61)-IPC!$J$2+1)/INDEX(IPC!$D$5:$D$173,(L61)-IPC!$J$2+1)-1,""),IF(ISNUMBER(F61),F61/100,"")))</f>
      </c>
      <c r="F61" s="36"/>
      <c r="G61" s="37">
        <f>IF(AND(AND($N$5=1,33&lt;=$N$11),ISNUMBER(G60),ISNUMBER(E61)),G60*(1+E61),"")</f>
      </c>
      <c r="H61" s="34">
        <f>IF(NOT(AND($N$5=1,33&lt;=$N$11)),"",IF(ISNUMBER(G61),"Aplicado",IF(ISNUMBER(G60),IF($N$10=1,"Falta el IPC de "&amp;INDEX(IPC!$J$5:$J$16,MOD($N$12+1,12)+1)&amp;" de "&amp;INT(($N$12+1)/12),"Cargá el % de este ajuste en la columna F"),"")))</f>
      </c>
      <c r="J61">
        <f>IF($N$5=1,$N$7+33*$N$8,"")</f>
      </c>
      <c r="K61">
        <f>IF($N$5=1,J61-1-$N$9,"")</f>
      </c>
      <c r="L61">
        <f>IF($N$5=1,K61-$N$8,"")</f>
      </c>
    </row>
    <row r="62" spans="1:12" x14ac:dyDescent="0.25">
      <c r="A62" s="31">
        <f>IF(AND($N$5=1,34&lt;=$N$11),"34° ajuste","")</f>
      </c>
      <c r="B62" s="31">
        <f>IF(AND($N$5=1,34&lt;=$N$11),INDEX(IPC!$J$5:$J$16,MOD(J62,12)+1)&amp;" de "&amp;INT((J62)/12),"")</f>
      </c>
      <c r="C62" s="31">
        <f>IF(AND(AND($N$5=1,34&lt;=$N$11),$N$10=1),INDEX(IPC!$J$5:$J$16,MOD(L62,12)+1)&amp;" de "&amp;INT((L62)/12),"")</f>
      </c>
      <c r="D62" s="31">
        <f>IF(AND(AND($N$5=1,34&lt;=$N$11),$N$10=1),INDEX(IPC!$J$5:$J$16,MOD(K62,12)+1)&amp;" de "&amp;INT((K62)/12),"")</f>
      </c>
      <c r="E62" s="38">
        <f>IF(NOT(AND($N$5=1,34&lt;=$N$11)),"",IF($N$10=1,IF(AND($N$14=1,K62&lt;=$N$12),INDEX(IPC!$D$5:$D$173,(K62)-IPC!$J$2+1)/INDEX(IPC!$D$5:$D$173,(L62)-IPC!$J$2+1)-1,""),IF(ISNUMBER(F62),F62/100,"")))</f>
      </c>
      <c r="F62" s="36"/>
      <c r="G62" s="33">
        <f>IF(AND(AND($N$5=1,34&lt;=$N$11),ISNUMBER(G61),ISNUMBER(E62)),G61*(1+E62),"")</f>
      </c>
      <c r="H62" s="31">
        <f>IF(NOT(AND($N$5=1,34&lt;=$N$11)),"",IF(ISNUMBER(G62),"Aplicado",IF(ISNUMBER(G61),IF($N$10=1,"Falta el IPC de "&amp;INDEX(IPC!$J$5:$J$16,MOD($N$12+1,12)+1)&amp;" de "&amp;INT(($N$12+1)/12),"Cargá el % de este ajuste en la columna F"),"")))</f>
      </c>
      <c r="J62">
        <f>IF($N$5=1,$N$7+34*$N$8,"")</f>
      </c>
      <c r="K62">
        <f>IF($N$5=1,J62-1-$N$9,"")</f>
      </c>
      <c r="L62">
        <f>IF($N$5=1,K62-$N$8,"")</f>
      </c>
    </row>
    <row r="63" spans="1:12" x14ac:dyDescent="0.25">
      <c r="A63" s="34">
        <f>IF(AND($N$5=1,35&lt;=$N$11),"35° ajuste","")</f>
      </c>
      <c r="B63" s="34">
        <f>IF(AND($N$5=1,35&lt;=$N$11),INDEX(IPC!$J$5:$J$16,MOD(J63,12)+1)&amp;" de "&amp;INT((J63)/12),"")</f>
      </c>
      <c r="C63" s="34">
        <f>IF(AND(AND($N$5=1,35&lt;=$N$11),$N$10=1),INDEX(IPC!$J$5:$J$16,MOD(L63,12)+1)&amp;" de "&amp;INT((L63)/12),"")</f>
      </c>
      <c r="D63" s="34">
        <f>IF(AND(AND($N$5=1,35&lt;=$N$11),$N$10=1),INDEX(IPC!$J$5:$J$16,MOD(K63,12)+1)&amp;" de "&amp;INT((K63)/12),"")</f>
      </c>
      <c r="E63" s="35">
        <f>IF(NOT(AND($N$5=1,35&lt;=$N$11)),"",IF($N$10=1,IF(AND($N$14=1,K63&lt;=$N$12),INDEX(IPC!$D$5:$D$173,(K63)-IPC!$J$2+1)/INDEX(IPC!$D$5:$D$173,(L63)-IPC!$J$2+1)-1,""),IF(ISNUMBER(F63),F63/100,"")))</f>
      </c>
      <c r="F63" s="36"/>
      <c r="G63" s="37">
        <f>IF(AND(AND($N$5=1,35&lt;=$N$11),ISNUMBER(G62),ISNUMBER(E63)),G62*(1+E63),"")</f>
      </c>
      <c r="H63" s="34">
        <f>IF(NOT(AND($N$5=1,35&lt;=$N$11)),"",IF(ISNUMBER(G63),"Aplicado",IF(ISNUMBER(G62),IF($N$10=1,"Falta el IPC de "&amp;INDEX(IPC!$J$5:$J$16,MOD($N$12+1,12)+1)&amp;" de "&amp;INT(($N$12+1)/12),"Cargá el % de este ajuste en la columna F"),"")))</f>
      </c>
      <c r="J63">
        <f>IF($N$5=1,$N$7+35*$N$8,"")</f>
      </c>
      <c r="K63">
        <f>IF($N$5=1,J63-1-$N$9,"")</f>
      </c>
      <c r="L63">
        <f>IF($N$5=1,K63-$N$8,"")</f>
      </c>
    </row>
    <row r="64" spans="1:12" x14ac:dyDescent="0.25">
      <c r="A64" s="31">
        <f>IF(AND($N$5=1,36&lt;=$N$11),"36° ajuste","")</f>
      </c>
      <c r="B64" s="31">
        <f>IF(AND($N$5=1,36&lt;=$N$11),INDEX(IPC!$J$5:$J$16,MOD(J64,12)+1)&amp;" de "&amp;INT((J64)/12),"")</f>
      </c>
      <c r="C64" s="31">
        <f>IF(AND(AND($N$5=1,36&lt;=$N$11),$N$10=1),INDEX(IPC!$J$5:$J$16,MOD(L64,12)+1)&amp;" de "&amp;INT((L64)/12),"")</f>
      </c>
      <c r="D64" s="31">
        <f>IF(AND(AND($N$5=1,36&lt;=$N$11),$N$10=1),INDEX(IPC!$J$5:$J$16,MOD(K64,12)+1)&amp;" de "&amp;INT((K64)/12),"")</f>
      </c>
      <c r="E64" s="38">
        <f>IF(NOT(AND($N$5=1,36&lt;=$N$11)),"",IF($N$10=1,IF(AND($N$14=1,K64&lt;=$N$12),INDEX(IPC!$D$5:$D$173,(K64)-IPC!$J$2+1)/INDEX(IPC!$D$5:$D$173,(L64)-IPC!$J$2+1)-1,""),IF(ISNUMBER(F64),F64/100,"")))</f>
      </c>
      <c r="F64" s="36"/>
      <c r="G64" s="33">
        <f>IF(AND(AND($N$5=1,36&lt;=$N$11),ISNUMBER(G63),ISNUMBER(E64)),G63*(1+E64),"")</f>
      </c>
      <c r="H64" s="31">
        <f>IF(NOT(AND($N$5=1,36&lt;=$N$11)),"",IF(ISNUMBER(G64),"Aplicado",IF(ISNUMBER(G63),IF($N$10=1,"Falta el IPC de "&amp;INDEX(IPC!$J$5:$J$16,MOD($N$12+1,12)+1)&amp;" de "&amp;INT(($N$12+1)/12),"Cargá el % de este ajuste en la columna F"),"")))</f>
      </c>
      <c r="J64">
        <f>IF($N$5=1,$N$7+36*$N$8,"")</f>
      </c>
      <c r="K64">
        <f>IF($N$5=1,J64-1-$N$9,"")</f>
      </c>
      <c r="L64">
        <f>IF($N$5=1,K64-$N$8,"")</f>
      </c>
    </row>
    <row r="65" spans="1:12" x14ac:dyDescent="0.25">
      <c r="A65" s="34">
        <f>IF(AND($N$5=1,37&lt;=$N$11),"37° ajuste","")</f>
      </c>
      <c r="B65" s="34">
        <f>IF(AND($N$5=1,37&lt;=$N$11),INDEX(IPC!$J$5:$J$16,MOD(J65,12)+1)&amp;" de "&amp;INT((J65)/12),"")</f>
      </c>
      <c r="C65" s="34">
        <f>IF(AND(AND($N$5=1,37&lt;=$N$11),$N$10=1),INDEX(IPC!$J$5:$J$16,MOD(L65,12)+1)&amp;" de "&amp;INT((L65)/12),"")</f>
      </c>
      <c r="D65" s="34">
        <f>IF(AND(AND($N$5=1,37&lt;=$N$11),$N$10=1),INDEX(IPC!$J$5:$J$16,MOD(K65,12)+1)&amp;" de "&amp;INT((K65)/12),"")</f>
      </c>
      <c r="E65" s="35">
        <f>IF(NOT(AND($N$5=1,37&lt;=$N$11)),"",IF($N$10=1,IF(AND($N$14=1,K65&lt;=$N$12),INDEX(IPC!$D$5:$D$173,(K65)-IPC!$J$2+1)/INDEX(IPC!$D$5:$D$173,(L65)-IPC!$J$2+1)-1,""),IF(ISNUMBER(F65),F65/100,"")))</f>
      </c>
      <c r="F65" s="36"/>
      <c r="G65" s="37">
        <f>IF(AND(AND($N$5=1,37&lt;=$N$11),ISNUMBER(G64),ISNUMBER(E65)),G64*(1+E65),"")</f>
      </c>
      <c r="H65" s="34">
        <f>IF(NOT(AND($N$5=1,37&lt;=$N$11)),"",IF(ISNUMBER(G65),"Aplicado",IF(ISNUMBER(G64),IF($N$10=1,"Falta el IPC de "&amp;INDEX(IPC!$J$5:$J$16,MOD($N$12+1,12)+1)&amp;" de "&amp;INT(($N$12+1)/12),"Cargá el % de este ajuste en la columna F"),"")))</f>
      </c>
      <c r="J65">
        <f>IF($N$5=1,$N$7+37*$N$8,"")</f>
      </c>
      <c r="K65">
        <f>IF($N$5=1,J65-1-$N$9,"")</f>
      </c>
      <c r="L65">
        <f>IF($N$5=1,K65-$N$8,"")</f>
      </c>
    </row>
    <row r="66" spans="1:12" x14ac:dyDescent="0.25">
      <c r="A66" s="31">
        <f>IF(AND($N$5=1,38&lt;=$N$11),"38° ajuste","")</f>
      </c>
      <c r="B66" s="31">
        <f>IF(AND($N$5=1,38&lt;=$N$11),INDEX(IPC!$J$5:$J$16,MOD(J66,12)+1)&amp;" de "&amp;INT((J66)/12),"")</f>
      </c>
      <c r="C66" s="31">
        <f>IF(AND(AND($N$5=1,38&lt;=$N$11),$N$10=1),INDEX(IPC!$J$5:$J$16,MOD(L66,12)+1)&amp;" de "&amp;INT((L66)/12),"")</f>
      </c>
      <c r="D66" s="31">
        <f>IF(AND(AND($N$5=1,38&lt;=$N$11),$N$10=1),INDEX(IPC!$J$5:$J$16,MOD(K66,12)+1)&amp;" de "&amp;INT((K66)/12),"")</f>
      </c>
      <c r="E66" s="38">
        <f>IF(NOT(AND($N$5=1,38&lt;=$N$11)),"",IF($N$10=1,IF(AND($N$14=1,K66&lt;=$N$12),INDEX(IPC!$D$5:$D$173,(K66)-IPC!$J$2+1)/INDEX(IPC!$D$5:$D$173,(L66)-IPC!$J$2+1)-1,""),IF(ISNUMBER(F66),F66/100,"")))</f>
      </c>
      <c r="F66" s="36"/>
      <c r="G66" s="33">
        <f>IF(AND(AND($N$5=1,38&lt;=$N$11),ISNUMBER(G65),ISNUMBER(E66)),G65*(1+E66),"")</f>
      </c>
      <c r="H66" s="31">
        <f>IF(NOT(AND($N$5=1,38&lt;=$N$11)),"",IF(ISNUMBER(G66),"Aplicado",IF(ISNUMBER(G65),IF($N$10=1,"Falta el IPC de "&amp;INDEX(IPC!$J$5:$J$16,MOD($N$12+1,12)+1)&amp;" de "&amp;INT(($N$12+1)/12),"Cargá el % de este ajuste en la columna F"),"")))</f>
      </c>
      <c r="J66">
        <f>IF($N$5=1,$N$7+38*$N$8,"")</f>
      </c>
      <c r="K66">
        <f>IF($N$5=1,J66-1-$N$9,"")</f>
      </c>
      <c r="L66">
        <f>IF($N$5=1,K66-$N$8,"")</f>
      </c>
    </row>
    <row r="67" spans="1:12" x14ac:dyDescent="0.25">
      <c r="A67" s="34">
        <f>IF(AND($N$5=1,39&lt;=$N$11),"39° ajuste","")</f>
      </c>
      <c r="B67" s="34">
        <f>IF(AND($N$5=1,39&lt;=$N$11),INDEX(IPC!$J$5:$J$16,MOD(J67,12)+1)&amp;" de "&amp;INT((J67)/12),"")</f>
      </c>
      <c r="C67" s="34">
        <f>IF(AND(AND($N$5=1,39&lt;=$N$11),$N$10=1),INDEX(IPC!$J$5:$J$16,MOD(L67,12)+1)&amp;" de "&amp;INT((L67)/12),"")</f>
      </c>
      <c r="D67" s="34">
        <f>IF(AND(AND($N$5=1,39&lt;=$N$11),$N$10=1),INDEX(IPC!$J$5:$J$16,MOD(K67,12)+1)&amp;" de "&amp;INT((K67)/12),"")</f>
      </c>
      <c r="E67" s="35">
        <f>IF(NOT(AND($N$5=1,39&lt;=$N$11)),"",IF($N$10=1,IF(AND($N$14=1,K67&lt;=$N$12),INDEX(IPC!$D$5:$D$173,(K67)-IPC!$J$2+1)/INDEX(IPC!$D$5:$D$173,(L67)-IPC!$J$2+1)-1,""),IF(ISNUMBER(F67),F67/100,"")))</f>
      </c>
      <c r="F67" s="36"/>
      <c r="G67" s="37">
        <f>IF(AND(AND($N$5=1,39&lt;=$N$11),ISNUMBER(G66),ISNUMBER(E67)),G66*(1+E67),"")</f>
      </c>
      <c r="H67" s="34">
        <f>IF(NOT(AND($N$5=1,39&lt;=$N$11)),"",IF(ISNUMBER(G67),"Aplicado",IF(ISNUMBER(G66),IF($N$10=1,"Falta el IPC de "&amp;INDEX(IPC!$J$5:$J$16,MOD($N$12+1,12)+1)&amp;" de "&amp;INT(($N$12+1)/12),"Cargá el % de este ajuste en la columna F"),"")))</f>
      </c>
      <c r="J67">
        <f>IF($N$5=1,$N$7+39*$N$8,"")</f>
      </c>
      <c r="K67">
        <f>IF($N$5=1,J67-1-$N$9,"")</f>
      </c>
      <c r="L67">
        <f>IF($N$5=1,K67-$N$8,"")</f>
      </c>
    </row>
    <row r="68" spans="1:12" x14ac:dyDescent="0.25">
      <c r="A68" s="31">
        <f>IF(AND($N$5=1,40&lt;=$N$11),"40° ajuste","")</f>
      </c>
      <c r="B68" s="31">
        <f>IF(AND($N$5=1,40&lt;=$N$11),INDEX(IPC!$J$5:$J$16,MOD(J68,12)+1)&amp;" de "&amp;INT((J68)/12),"")</f>
      </c>
      <c r="C68" s="31">
        <f>IF(AND(AND($N$5=1,40&lt;=$N$11),$N$10=1),INDEX(IPC!$J$5:$J$16,MOD(L68,12)+1)&amp;" de "&amp;INT((L68)/12),"")</f>
      </c>
      <c r="D68" s="31">
        <f>IF(AND(AND($N$5=1,40&lt;=$N$11),$N$10=1),INDEX(IPC!$J$5:$J$16,MOD(K68,12)+1)&amp;" de "&amp;INT((K68)/12),"")</f>
      </c>
      <c r="E68" s="38">
        <f>IF(NOT(AND($N$5=1,40&lt;=$N$11)),"",IF($N$10=1,IF(AND($N$14=1,K68&lt;=$N$12),INDEX(IPC!$D$5:$D$173,(K68)-IPC!$J$2+1)/INDEX(IPC!$D$5:$D$173,(L68)-IPC!$J$2+1)-1,""),IF(ISNUMBER(F68),F68/100,"")))</f>
      </c>
      <c r="F68" s="36"/>
      <c r="G68" s="33">
        <f>IF(AND(AND($N$5=1,40&lt;=$N$11),ISNUMBER(G67),ISNUMBER(E68)),G67*(1+E68),"")</f>
      </c>
      <c r="H68" s="31">
        <f>IF(NOT(AND($N$5=1,40&lt;=$N$11)),"",IF(ISNUMBER(G68),"Aplicado",IF(ISNUMBER(G67),IF($N$10=1,"Falta el IPC de "&amp;INDEX(IPC!$J$5:$J$16,MOD($N$12+1,12)+1)&amp;" de "&amp;INT(($N$12+1)/12),"Cargá el % de este ajuste en la columna F"),"")))</f>
      </c>
      <c r="J68">
        <f>IF($N$5=1,$N$7+40*$N$8,"")</f>
      </c>
      <c r="K68">
        <f>IF($N$5=1,J68-1-$N$9,"")</f>
      </c>
      <c r="L68">
        <f>IF($N$5=1,K68-$N$8,"")</f>
      </c>
    </row>
    <row r="69" spans="1:12" x14ac:dyDescent="0.25">
      <c r="A69" s="34">
        <f>IF(AND($N$5=1,41&lt;=$N$11),"41° ajuste","")</f>
      </c>
      <c r="B69" s="34">
        <f>IF(AND($N$5=1,41&lt;=$N$11),INDEX(IPC!$J$5:$J$16,MOD(J69,12)+1)&amp;" de "&amp;INT((J69)/12),"")</f>
      </c>
      <c r="C69" s="34">
        <f>IF(AND(AND($N$5=1,41&lt;=$N$11),$N$10=1),INDEX(IPC!$J$5:$J$16,MOD(L69,12)+1)&amp;" de "&amp;INT((L69)/12),"")</f>
      </c>
      <c r="D69" s="34">
        <f>IF(AND(AND($N$5=1,41&lt;=$N$11),$N$10=1),INDEX(IPC!$J$5:$J$16,MOD(K69,12)+1)&amp;" de "&amp;INT((K69)/12),"")</f>
      </c>
      <c r="E69" s="35">
        <f>IF(NOT(AND($N$5=1,41&lt;=$N$11)),"",IF($N$10=1,IF(AND($N$14=1,K69&lt;=$N$12),INDEX(IPC!$D$5:$D$173,(K69)-IPC!$J$2+1)/INDEX(IPC!$D$5:$D$173,(L69)-IPC!$J$2+1)-1,""),IF(ISNUMBER(F69),F69/100,"")))</f>
      </c>
      <c r="F69" s="36"/>
      <c r="G69" s="37">
        <f>IF(AND(AND($N$5=1,41&lt;=$N$11),ISNUMBER(G68),ISNUMBER(E69)),G68*(1+E69),"")</f>
      </c>
      <c r="H69" s="34">
        <f>IF(NOT(AND($N$5=1,41&lt;=$N$11)),"",IF(ISNUMBER(G69),"Aplicado",IF(ISNUMBER(G68),IF($N$10=1,"Falta el IPC de "&amp;INDEX(IPC!$J$5:$J$16,MOD($N$12+1,12)+1)&amp;" de "&amp;INT(($N$12+1)/12),"Cargá el % de este ajuste en la columna F"),"")))</f>
      </c>
      <c r="J69">
        <f>IF($N$5=1,$N$7+41*$N$8,"")</f>
      </c>
      <c r="K69">
        <f>IF($N$5=1,J69-1-$N$9,"")</f>
      </c>
      <c r="L69">
        <f>IF($N$5=1,K69-$N$8,"")</f>
      </c>
    </row>
    <row r="70" spans="1:12" x14ac:dyDescent="0.25">
      <c r="A70" s="31">
        <f>IF(AND($N$5=1,42&lt;=$N$11),"42° ajuste","")</f>
      </c>
      <c r="B70" s="31">
        <f>IF(AND($N$5=1,42&lt;=$N$11),INDEX(IPC!$J$5:$J$16,MOD(J70,12)+1)&amp;" de "&amp;INT((J70)/12),"")</f>
      </c>
      <c r="C70" s="31">
        <f>IF(AND(AND($N$5=1,42&lt;=$N$11),$N$10=1),INDEX(IPC!$J$5:$J$16,MOD(L70,12)+1)&amp;" de "&amp;INT((L70)/12),"")</f>
      </c>
      <c r="D70" s="31">
        <f>IF(AND(AND($N$5=1,42&lt;=$N$11),$N$10=1),INDEX(IPC!$J$5:$J$16,MOD(K70,12)+1)&amp;" de "&amp;INT((K70)/12),"")</f>
      </c>
      <c r="E70" s="38">
        <f>IF(NOT(AND($N$5=1,42&lt;=$N$11)),"",IF($N$10=1,IF(AND($N$14=1,K70&lt;=$N$12),INDEX(IPC!$D$5:$D$173,(K70)-IPC!$J$2+1)/INDEX(IPC!$D$5:$D$173,(L70)-IPC!$J$2+1)-1,""),IF(ISNUMBER(F70),F70/100,"")))</f>
      </c>
      <c r="F70" s="36"/>
      <c r="G70" s="33">
        <f>IF(AND(AND($N$5=1,42&lt;=$N$11),ISNUMBER(G69),ISNUMBER(E70)),G69*(1+E70),"")</f>
      </c>
      <c r="H70" s="31">
        <f>IF(NOT(AND($N$5=1,42&lt;=$N$11)),"",IF(ISNUMBER(G70),"Aplicado",IF(ISNUMBER(G69),IF($N$10=1,"Falta el IPC de "&amp;INDEX(IPC!$J$5:$J$16,MOD($N$12+1,12)+1)&amp;" de "&amp;INT(($N$12+1)/12),"Cargá el % de este ajuste en la columna F"),"")))</f>
      </c>
      <c r="J70">
        <f>IF($N$5=1,$N$7+42*$N$8,"")</f>
      </c>
      <c r="K70">
        <f>IF($N$5=1,J70-1-$N$9,"")</f>
      </c>
      <c r="L70">
        <f>IF($N$5=1,K70-$N$8,"")</f>
      </c>
    </row>
    <row r="71" spans="1:12" x14ac:dyDescent="0.25">
      <c r="A71" s="34">
        <f>IF(AND($N$5=1,43&lt;=$N$11),"43° ajuste","")</f>
      </c>
      <c r="B71" s="34">
        <f>IF(AND($N$5=1,43&lt;=$N$11),INDEX(IPC!$J$5:$J$16,MOD(J71,12)+1)&amp;" de "&amp;INT((J71)/12),"")</f>
      </c>
      <c r="C71" s="34">
        <f>IF(AND(AND($N$5=1,43&lt;=$N$11),$N$10=1),INDEX(IPC!$J$5:$J$16,MOD(L71,12)+1)&amp;" de "&amp;INT((L71)/12),"")</f>
      </c>
      <c r="D71" s="34">
        <f>IF(AND(AND($N$5=1,43&lt;=$N$11),$N$10=1),INDEX(IPC!$J$5:$J$16,MOD(K71,12)+1)&amp;" de "&amp;INT((K71)/12),"")</f>
      </c>
      <c r="E71" s="35">
        <f>IF(NOT(AND($N$5=1,43&lt;=$N$11)),"",IF($N$10=1,IF(AND($N$14=1,K71&lt;=$N$12),INDEX(IPC!$D$5:$D$173,(K71)-IPC!$J$2+1)/INDEX(IPC!$D$5:$D$173,(L71)-IPC!$J$2+1)-1,""),IF(ISNUMBER(F71),F71/100,"")))</f>
      </c>
      <c r="F71" s="36"/>
      <c r="G71" s="37">
        <f>IF(AND(AND($N$5=1,43&lt;=$N$11),ISNUMBER(G70),ISNUMBER(E71)),G70*(1+E71),"")</f>
      </c>
      <c r="H71" s="34">
        <f>IF(NOT(AND($N$5=1,43&lt;=$N$11)),"",IF(ISNUMBER(G71),"Aplicado",IF(ISNUMBER(G70),IF($N$10=1,"Falta el IPC de "&amp;INDEX(IPC!$J$5:$J$16,MOD($N$12+1,12)+1)&amp;" de "&amp;INT(($N$12+1)/12),"Cargá el % de este ajuste en la columna F"),"")))</f>
      </c>
      <c r="J71">
        <f>IF($N$5=1,$N$7+43*$N$8,"")</f>
      </c>
      <c r="K71">
        <f>IF($N$5=1,J71-1-$N$9,"")</f>
      </c>
      <c r="L71">
        <f>IF($N$5=1,K71-$N$8,"")</f>
      </c>
    </row>
    <row r="72" spans="1:12" x14ac:dyDescent="0.25">
      <c r="A72" s="31">
        <f>IF(AND($N$5=1,44&lt;=$N$11),"44° ajuste","")</f>
      </c>
      <c r="B72" s="31">
        <f>IF(AND($N$5=1,44&lt;=$N$11),INDEX(IPC!$J$5:$J$16,MOD(J72,12)+1)&amp;" de "&amp;INT((J72)/12),"")</f>
      </c>
      <c r="C72" s="31">
        <f>IF(AND(AND($N$5=1,44&lt;=$N$11),$N$10=1),INDEX(IPC!$J$5:$J$16,MOD(L72,12)+1)&amp;" de "&amp;INT((L72)/12),"")</f>
      </c>
      <c r="D72" s="31">
        <f>IF(AND(AND($N$5=1,44&lt;=$N$11),$N$10=1),INDEX(IPC!$J$5:$J$16,MOD(K72,12)+1)&amp;" de "&amp;INT((K72)/12),"")</f>
      </c>
      <c r="E72" s="38">
        <f>IF(NOT(AND($N$5=1,44&lt;=$N$11)),"",IF($N$10=1,IF(AND($N$14=1,K72&lt;=$N$12),INDEX(IPC!$D$5:$D$173,(K72)-IPC!$J$2+1)/INDEX(IPC!$D$5:$D$173,(L72)-IPC!$J$2+1)-1,""),IF(ISNUMBER(F72),F72/100,"")))</f>
      </c>
      <c r="F72" s="36"/>
      <c r="G72" s="33">
        <f>IF(AND(AND($N$5=1,44&lt;=$N$11),ISNUMBER(G71),ISNUMBER(E72)),G71*(1+E72),"")</f>
      </c>
      <c r="H72" s="31">
        <f>IF(NOT(AND($N$5=1,44&lt;=$N$11)),"",IF(ISNUMBER(G72),"Aplicado",IF(ISNUMBER(G71),IF($N$10=1,"Falta el IPC de "&amp;INDEX(IPC!$J$5:$J$16,MOD($N$12+1,12)+1)&amp;" de "&amp;INT(($N$12+1)/12),"Cargá el % de este ajuste en la columna F"),"")))</f>
      </c>
      <c r="J72">
        <f>IF($N$5=1,$N$7+44*$N$8,"")</f>
      </c>
      <c r="K72">
        <f>IF($N$5=1,J72-1-$N$9,"")</f>
      </c>
      <c r="L72">
        <f>IF($N$5=1,K72-$N$8,"")</f>
      </c>
    </row>
    <row r="73" spans="1:12" x14ac:dyDescent="0.25">
      <c r="A73" s="34">
        <f>IF(AND($N$5=1,45&lt;=$N$11),"45° ajuste","")</f>
      </c>
      <c r="B73" s="34">
        <f>IF(AND($N$5=1,45&lt;=$N$11),INDEX(IPC!$J$5:$J$16,MOD(J73,12)+1)&amp;" de "&amp;INT((J73)/12),"")</f>
      </c>
      <c r="C73" s="34">
        <f>IF(AND(AND($N$5=1,45&lt;=$N$11),$N$10=1),INDEX(IPC!$J$5:$J$16,MOD(L73,12)+1)&amp;" de "&amp;INT((L73)/12),"")</f>
      </c>
      <c r="D73" s="34">
        <f>IF(AND(AND($N$5=1,45&lt;=$N$11),$N$10=1),INDEX(IPC!$J$5:$J$16,MOD(K73,12)+1)&amp;" de "&amp;INT((K73)/12),"")</f>
      </c>
      <c r="E73" s="35">
        <f>IF(NOT(AND($N$5=1,45&lt;=$N$11)),"",IF($N$10=1,IF(AND($N$14=1,K73&lt;=$N$12),INDEX(IPC!$D$5:$D$173,(K73)-IPC!$J$2+1)/INDEX(IPC!$D$5:$D$173,(L73)-IPC!$J$2+1)-1,""),IF(ISNUMBER(F73),F73/100,"")))</f>
      </c>
      <c r="F73" s="36"/>
      <c r="G73" s="37">
        <f>IF(AND(AND($N$5=1,45&lt;=$N$11),ISNUMBER(G72),ISNUMBER(E73)),G72*(1+E73),"")</f>
      </c>
      <c r="H73" s="34">
        <f>IF(NOT(AND($N$5=1,45&lt;=$N$11)),"",IF(ISNUMBER(G73),"Aplicado",IF(ISNUMBER(G72),IF($N$10=1,"Falta el IPC de "&amp;INDEX(IPC!$J$5:$J$16,MOD($N$12+1,12)+1)&amp;" de "&amp;INT(($N$12+1)/12),"Cargá el % de este ajuste en la columna F"),"")))</f>
      </c>
      <c r="J73">
        <f>IF($N$5=1,$N$7+45*$N$8,"")</f>
      </c>
      <c r="K73">
        <f>IF($N$5=1,J73-1-$N$9,"")</f>
      </c>
      <c r="L73">
        <f>IF($N$5=1,K73-$N$8,"")</f>
      </c>
    </row>
    <row r="74" spans="1:12" x14ac:dyDescent="0.25">
      <c r="A74" s="31">
        <f>IF(AND($N$5=1,46&lt;=$N$11),"46° ajuste","")</f>
      </c>
      <c r="B74" s="31">
        <f>IF(AND($N$5=1,46&lt;=$N$11),INDEX(IPC!$J$5:$J$16,MOD(J74,12)+1)&amp;" de "&amp;INT((J74)/12),"")</f>
      </c>
      <c r="C74" s="31">
        <f>IF(AND(AND($N$5=1,46&lt;=$N$11),$N$10=1),INDEX(IPC!$J$5:$J$16,MOD(L74,12)+1)&amp;" de "&amp;INT((L74)/12),"")</f>
      </c>
      <c r="D74" s="31">
        <f>IF(AND(AND($N$5=1,46&lt;=$N$11),$N$10=1),INDEX(IPC!$J$5:$J$16,MOD(K74,12)+1)&amp;" de "&amp;INT((K74)/12),"")</f>
      </c>
      <c r="E74" s="38">
        <f>IF(NOT(AND($N$5=1,46&lt;=$N$11)),"",IF($N$10=1,IF(AND($N$14=1,K74&lt;=$N$12),INDEX(IPC!$D$5:$D$173,(K74)-IPC!$J$2+1)/INDEX(IPC!$D$5:$D$173,(L74)-IPC!$J$2+1)-1,""),IF(ISNUMBER(F74),F74/100,"")))</f>
      </c>
      <c r="F74" s="36"/>
      <c r="G74" s="33">
        <f>IF(AND(AND($N$5=1,46&lt;=$N$11),ISNUMBER(G73),ISNUMBER(E74)),G73*(1+E74),"")</f>
      </c>
      <c r="H74" s="31">
        <f>IF(NOT(AND($N$5=1,46&lt;=$N$11)),"",IF(ISNUMBER(G74),"Aplicado",IF(ISNUMBER(G73),IF($N$10=1,"Falta el IPC de "&amp;INDEX(IPC!$J$5:$J$16,MOD($N$12+1,12)+1)&amp;" de "&amp;INT(($N$12+1)/12),"Cargá el % de este ajuste en la columna F"),"")))</f>
      </c>
      <c r="J74">
        <f>IF($N$5=1,$N$7+46*$N$8,"")</f>
      </c>
      <c r="K74">
        <f>IF($N$5=1,J74-1-$N$9,"")</f>
      </c>
      <c r="L74">
        <f>IF($N$5=1,K74-$N$8,"")</f>
      </c>
    </row>
    <row r="75" spans="1:12" x14ac:dyDescent="0.25">
      <c r="A75" s="34">
        <f>IF(AND($N$5=1,47&lt;=$N$11),"47° ajuste","")</f>
      </c>
      <c r="B75" s="34">
        <f>IF(AND($N$5=1,47&lt;=$N$11),INDEX(IPC!$J$5:$J$16,MOD(J75,12)+1)&amp;" de "&amp;INT((J75)/12),"")</f>
      </c>
      <c r="C75" s="34">
        <f>IF(AND(AND($N$5=1,47&lt;=$N$11),$N$10=1),INDEX(IPC!$J$5:$J$16,MOD(L75,12)+1)&amp;" de "&amp;INT((L75)/12),"")</f>
      </c>
      <c r="D75" s="34">
        <f>IF(AND(AND($N$5=1,47&lt;=$N$11),$N$10=1),INDEX(IPC!$J$5:$J$16,MOD(K75,12)+1)&amp;" de "&amp;INT((K75)/12),"")</f>
      </c>
      <c r="E75" s="35">
        <f>IF(NOT(AND($N$5=1,47&lt;=$N$11)),"",IF($N$10=1,IF(AND($N$14=1,K75&lt;=$N$12),INDEX(IPC!$D$5:$D$173,(K75)-IPC!$J$2+1)/INDEX(IPC!$D$5:$D$173,(L75)-IPC!$J$2+1)-1,""),IF(ISNUMBER(F75),F75/100,"")))</f>
      </c>
      <c r="F75" s="36"/>
      <c r="G75" s="37">
        <f>IF(AND(AND($N$5=1,47&lt;=$N$11),ISNUMBER(G74),ISNUMBER(E75)),G74*(1+E75),"")</f>
      </c>
      <c r="H75" s="34">
        <f>IF(NOT(AND($N$5=1,47&lt;=$N$11)),"",IF(ISNUMBER(G75),"Aplicado",IF(ISNUMBER(G74),IF($N$10=1,"Falta el IPC de "&amp;INDEX(IPC!$J$5:$J$16,MOD($N$12+1,12)+1)&amp;" de "&amp;INT(($N$12+1)/12),"Cargá el % de este ajuste en la columna F"),"")))</f>
      </c>
      <c r="J75">
        <f>IF($N$5=1,$N$7+47*$N$8,"")</f>
      </c>
      <c r="K75">
        <f>IF($N$5=1,J75-1-$N$9,"")</f>
      </c>
      <c r="L75">
        <f>IF($N$5=1,K75-$N$8,"")</f>
      </c>
    </row>
    <row r="76" spans="1:12" x14ac:dyDescent="0.25">
      <c r="A76" s="31">
        <f>IF(AND($N$5=1,48&lt;=$N$11),"48° ajuste","")</f>
      </c>
      <c r="B76" s="31">
        <f>IF(AND($N$5=1,48&lt;=$N$11),INDEX(IPC!$J$5:$J$16,MOD(J76,12)+1)&amp;" de "&amp;INT((J76)/12),"")</f>
      </c>
      <c r="C76" s="31">
        <f>IF(AND(AND($N$5=1,48&lt;=$N$11),$N$10=1),INDEX(IPC!$J$5:$J$16,MOD(L76,12)+1)&amp;" de "&amp;INT((L76)/12),"")</f>
      </c>
      <c r="D76" s="31">
        <f>IF(AND(AND($N$5=1,48&lt;=$N$11),$N$10=1),INDEX(IPC!$J$5:$J$16,MOD(K76,12)+1)&amp;" de "&amp;INT((K76)/12),"")</f>
      </c>
      <c r="E76" s="38">
        <f>IF(NOT(AND($N$5=1,48&lt;=$N$11)),"",IF($N$10=1,IF(AND($N$14=1,K76&lt;=$N$12),INDEX(IPC!$D$5:$D$173,(K76)-IPC!$J$2+1)/INDEX(IPC!$D$5:$D$173,(L76)-IPC!$J$2+1)-1,""),IF(ISNUMBER(F76),F76/100,"")))</f>
      </c>
      <c r="F76" s="36"/>
      <c r="G76" s="33">
        <f>IF(AND(AND($N$5=1,48&lt;=$N$11),ISNUMBER(G75),ISNUMBER(E76)),G75*(1+E76),"")</f>
      </c>
      <c r="H76" s="31">
        <f>IF(NOT(AND($N$5=1,48&lt;=$N$11)),"",IF(ISNUMBER(G76),"Aplicado",IF(ISNUMBER(G75),IF($N$10=1,"Falta el IPC de "&amp;INDEX(IPC!$J$5:$J$16,MOD($N$12+1,12)+1)&amp;" de "&amp;INT(($N$12+1)/12),"Cargá el % de este ajuste en la columna F"),"")))</f>
      </c>
      <c r="J76">
        <f>IF($N$5=1,$N$7+48*$N$8,"")</f>
      </c>
      <c r="K76">
        <f>IF($N$5=1,J76-1-$N$9,"")</f>
      </c>
      <c r="L76">
        <f>IF($N$5=1,K76-$N$8,"")</f>
      </c>
    </row>
    <row r="77" spans="1:12" x14ac:dyDescent="0.25">
      <c r="A77" s="34">
        <f>IF(AND($N$5=1,49&lt;=$N$11),"49° ajuste","")</f>
      </c>
      <c r="B77" s="34">
        <f>IF(AND($N$5=1,49&lt;=$N$11),INDEX(IPC!$J$5:$J$16,MOD(J77,12)+1)&amp;" de "&amp;INT((J77)/12),"")</f>
      </c>
      <c r="C77" s="34">
        <f>IF(AND(AND($N$5=1,49&lt;=$N$11),$N$10=1),INDEX(IPC!$J$5:$J$16,MOD(L77,12)+1)&amp;" de "&amp;INT((L77)/12),"")</f>
      </c>
      <c r="D77" s="34">
        <f>IF(AND(AND($N$5=1,49&lt;=$N$11),$N$10=1),INDEX(IPC!$J$5:$J$16,MOD(K77,12)+1)&amp;" de "&amp;INT((K77)/12),"")</f>
      </c>
      <c r="E77" s="35">
        <f>IF(NOT(AND($N$5=1,49&lt;=$N$11)),"",IF($N$10=1,IF(AND($N$14=1,K77&lt;=$N$12),INDEX(IPC!$D$5:$D$173,(K77)-IPC!$J$2+1)/INDEX(IPC!$D$5:$D$173,(L77)-IPC!$J$2+1)-1,""),IF(ISNUMBER(F77),F77/100,"")))</f>
      </c>
      <c r="F77" s="36"/>
      <c r="G77" s="37">
        <f>IF(AND(AND($N$5=1,49&lt;=$N$11),ISNUMBER(G76),ISNUMBER(E77)),G76*(1+E77),"")</f>
      </c>
      <c r="H77" s="34">
        <f>IF(NOT(AND($N$5=1,49&lt;=$N$11)),"",IF(ISNUMBER(G77),"Aplicado",IF(ISNUMBER(G76),IF($N$10=1,"Falta el IPC de "&amp;INDEX(IPC!$J$5:$J$16,MOD($N$12+1,12)+1)&amp;" de "&amp;INT(($N$12+1)/12),"Cargá el % de este ajuste en la columna F"),"")))</f>
      </c>
      <c r="J77">
        <f>IF($N$5=1,$N$7+49*$N$8,"")</f>
      </c>
      <c r="K77">
        <f>IF($N$5=1,J77-1-$N$9,"")</f>
      </c>
      <c r="L77">
        <f>IF($N$5=1,K77-$N$8,"")</f>
      </c>
    </row>
    <row r="78" spans="1:12" x14ac:dyDescent="0.25">
      <c r="A78" s="31">
        <f>IF(AND($N$5=1,50&lt;=$N$11),"50° ajuste","")</f>
      </c>
      <c r="B78" s="31">
        <f>IF(AND($N$5=1,50&lt;=$N$11),INDEX(IPC!$J$5:$J$16,MOD(J78,12)+1)&amp;" de "&amp;INT((J78)/12),"")</f>
      </c>
      <c r="C78" s="31">
        <f>IF(AND(AND($N$5=1,50&lt;=$N$11),$N$10=1),INDEX(IPC!$J$5:$J$16,MOD(L78,12)+1)&amp;" de "&amp;INT((L78)/12),"")</f>
      </c>
      <c r="D78" s="31">
        <f>IF(AND(AND($N$5=1,50&lt;=$N$11),$N$10=1),INDEX(IPC!$J$5:$J$16,MOD(K78,12)+1)&amp;" de "&amp;INT((K78)/12),"")</f>
      </c>
      <c r="E78" s="38">
        <f>IF(NOT(AND($N$5=1,50&lt;=$N$11)),"",IF($N$10=1,IF(AND($N$14=1,K78&lt;=$N$12),INDEX(IPC!$D$5:$D$173,(K78)-IPC!$J$2+1)/INDEX(IPC!$D$5:$D$173,(L78)-IPC!$J$2+1)-1,""),IF(ISNUMBER(F78),F78/100,"")))</f>
      </c>
      <c r="F78" s="36"/>
      <c r="G78" s="33">
        <f>IF(AND(AND($N$5=1,50&lt;=$N$11),ISNUMBER(G77),ISNUMBER(E78)),G77*(1+E78),"")</f>
      </c>
      <c r="H78" s="31">
        <f>IF(NOT(AND($N$5=1,50&lt;=$N$11)),"",IF(ISNUMBER(G78),"Aplicado",IF(ISNUMBER(G77),IF($N$10=1,"Falta el IPC de "&amp;INDEX(IPC!$J$5:$J$16,MOD($N$12+1,12)+1)&amp;" de "&amp;INT(($N$12+1)/12),"Cargá el % de este ajuste en la columna F"),"")))</f>
      </c>
      <c r="J78">
        <f>IF($N$5=1,$N$7+50*$N$8,"")</f>
      </c>
      <c r="K78">
        <f>IF($N$5=1,J78-1-$N$9,"")</f>
      </c>
      <c r="L78">
        <f>IF($N$5=1,K78-$N$8,"")</f>
      </c>
    </row>
    <row r="79" spans="1:12" x14ac:dyDescent="0.25">
      <c r="A79" s="34">
        <f>IF(AND($N$5=1,51&lt;=$N$11),"51° ajuste","")</f>
      </c>
      <c r="B79" s="34">
        <f>IF(AND($N$5=1,51&lt;=$N$11),INDEX(IPC!$J$5:$J$16,MOD(J79,12)+1)&amp;" de "&amp;INT((J79)/12),"")</f>
      </c>
      <c r="C79" s="34">
        <f>IF(AND(AND($N$5=1,51&lt;=$N$11),$N$10=1),INDEX(IPC!$J$5:$J$16,MOD(L79,12)+1)&amp;" de "&amp;INT((L79)/12),"")</f>
      </c>
      <c r="D79" s="34">
        <f>IF(AND(AND($N$5=1,51&lt;=$N$11),$N$10=1),INDEX(IPC!$J$5:$J$16,MOD(K79,12)+1)&amp;" de "&amp;INT((K79)/12),"")</f>
      </c>
      <c r="E79" s="35">
        <f>IF(NOT(AND($N$5=1,51&lt;=$N$11)),"",IF($N$10=1,IF(AND($N$14=1,K79&lt;=$N$12),INDEX(IPC!$D$5:$D$173,(K79)-IPC!$J$2+1)/INDEX(IPC!$D$5:$D$173,(L79)-IPC!$J$2+1)-1,""),IF(ISNUMBER(F79),F79/100,"")))</f>
      </c>
      <c r="F79" s="36"/>
      <c r="G79" s="37">
        <f>IF(AND(AND($N$5=1,51&lt;=$N$11),ISNUMBER(G78),ISNUMBER(E79)),G78*(1+E79),"")</f>
      </c>
      <c r="H79" s="34">
        <f>IF(NOT(AND($N$5=1,51&lt;=$N$11)),"",IF(ISNUMBER(G79),"Aplicado",IF(ISNUMBER(G78),IF($N$10=1,"Falta el IPC de "&amp;INDEX(IPC!$J$5:$J$16,MOD($N$12+1,12)+1)&amp;" de "&amp;INT(($N$12+1)/12),"Cargá el % de este ajuste en la columna F"),"")))</f>
      </c>
      <c r="J79">
        <f>IF($N$5=1,$N$7+51*$N$8,"")</f>
      </c>
      <c r="K79">
        <f>IF($N$5=1,J79-1-$N$9,"")</f>
      </c>
      <c r="L79">
        <f>IF($N$5=1,K79-$N$8,"")</f>
      </c>
    </row>
    <row r="80" spans="1:12" x14ac:dyDescent="0.25">
      <c r="A80" s="31">
        <f>IF(AND($N$5=1,52&lt;=$N$11),"52° ajuste","")</f>
      </c>
      <c r="B80" s="31">
        <f>IF(AND($N$5=1,52&lt;=$N$11),INDEX(IPC!$J$5:$J$16,MOD(J80,12)+1)&amp;" de "&amp;INT((J80)/12),"")</f>
      </c>
      <c r="C80" s="31">
        <f>IF(AND(AND($N$5=1,52&lt;=$N$11),$N$10=1),INDEX(IPC!$J$5:$J$16,MOD(L80,12)+1)&amp;" de "&amp;INT((L80)/12),"")</f>
      </c>
      <c r="D80" s="31">
        <f>IF(AND(AND($N$5=1,52&lt;=$N$11),$N$10=1),INDEX(IPC!$J$5:$J$16,MOD(K80,12)+1)&amp;" de "&amp;INT((K80)/12),"")</f>
      </c>
      <c r="E80" s="38">
        <f>IF(NOT(AND($N$5=1,52&lt;=$N$11)),"",IF($N$10=1,IF(AND($N$14=1,K80&lt;=$N$12),INDEX(IPC!$D$5:$D$173,(K80)-IPC!$J$2+1)/INDEX(IPC!$D$5:$D$173,(L80)-IPC!$J$2+1)-1,""),IF(ISNUMBER(F80),F80/100,"")))</f>
      </c>
      <c r="F80" s="36"/>
      <c r="G80" s="33">
        <f>IF(AND(AND($N$5=1,52&lt;=$N$11),ISNUMBER(G79),ISNUMBER(E80)),G79*(1+E80),"")</f>
      </c>
      <c r="H80" s="31">
        <f>IF(NOT(AND($N$5=1,52&lt;=$N$11)),"",IF(ISNUMBER(G80),"Aplicado",IF(ISNUMBER(G79),IF($N$10=1,"Falta el IPC de "&amp;INDEX(IPC!$J$5:$J$16,MOD($N$12+1,12)+1)&amp;" de "&amp;INT(($N$12+1)/12),"Cargá el % de este ajuste en la columna F"),"")))</f>
      </c>
      <c r="J80">
        <f>IF($N$5=1,$N$7+52*$N$8,"")</f>
      </c>
      <c r="K80">
        <f>IF($N$5=1,J80-1-$N$9,"")</f>
      </c>
      <c r="L80">
        <f>IF($N$5=1,K80-$N$8,"")</f>
      </c>
    </row>
    <row r="81" spans="1:12" x14ac:dyDescent="0.25">
      <c r="A81" s="34">
        <f>IF(AND($N$5=1,53&lt;=$N$11),"53° ajuste","")</f>
      </c>
      <c r="B81" s="34">
        <f>IF(AND($N$5=1,53&lt;=$N$11),INDEX(IPC!$J$5:$J$16,MOD(J81,12)+1)&amp;" de "&amp;INT((J81)/12),"")</f>
      </c>
      <c r="C81" s="34">
        <f>IF(AND(AND($N$5=1,53&lt;=$N$11),$N$10=1),INDEX(IPC!$J$5:$J$16,MOD(L81,12)+1)&amp;" de "&amp;INT((L81)/12),"")</f>
      </c>
      <c r="D81" s="34">
        <f>IF(AND(AND($N$5=1,53&lt;=$N$11),$N$10=1),INDEX(IPC!$J$5:$J$16,MOD(K81,12)+1)&amp;" de "&amp;INT((K81)/12),"")</f>
      </c>
      <c r="E81" s="35">
        <f>IF(NOT(AND($N$5=1,53&lt;=$N$11)),"",IF($N$10=1,IF(AND($N$14=1,K81&lt;=$N$12),INDEX(IPC!$D$5:$D$173,(K81)-IPC!$J$2+1)/INDEX(IPC!$D$5:$D$173,(L81)-IPC!$J$2+1)-1,""),IF(ISNUMBER(F81),F81/100,"")))</f>
      </c>
      <c r="F81" s="36"/>
      <c r="G81" s="37">
        <f>IF(AND(AND($N$5=1,53&lt;=$N$11),ISNUMBER(G80),ISNUMBER(E81)),G80*(1+E81),"")</f>
      </c>
      <c r="H81" s="34">
        <f>IF(NOT(AND($N$5=1,53&lt;=$N$11)),"",IF(ISNUMBER(G81),"Aplicado",IF(ISNUMBER(G80),IF($N$10=1,"Falta el IPC de "&amp;INDEX(IPC!$J$5:$J$16,MOD($N$12+1,12)+1)&amp;" de "&amp;INT(($N$12+1)/12),"Cargá el % de este ajuste en la columna F"),"")))</f>
      </c>
      <c r="J81">
        <f>IF($N$5=1,$N$7+53*$N$8,"")</f>
      </c>
      <c r="K81">
        <f>IF($N$5=1,J81-1-$N$9,"")</f>
      </c>
      <c r="L81">
        <f>IF($N$5=1,K81-$N$8,"")</f>
      </c>
    </row>
    <row r="82" spans="1:12" x14ac:dyDescent="0.25">
      <c r="A82" s="31">
        <f>IF(AND($N$5=1,54&lt;=$N$11),"54° ajuste","")</f>
      </c>
      <c r="B82" s="31">
        <f>IF(AND($N$5=1,54&lt;=$N$11),INDEX(IPC!$J$5:$J$16,MOD(J82,12)+1)&amp;" de "&amp;INT((J82)/12),"")</f>
      </c>
      <c r="C82" s="31">
        <f>IF(AND(AND($N$5=1,54&lt;=$N$11),$N$10=1),INDEX(IPC!$J$5:$J$16,MOD(L82,12)+1)&amp;" de "&amp;INT((L82)/12),"")</f>
      </c>
      <c r="D82" s="31">
        <f>IF(AND(AND($N$5=1,54&lt;=$N$11),$N$10=1),INDEX(IPC!$J$5:$J$16,MOD(K82,12)+1)&amp;" de "&amp;INT((K82)/12),"")</f>
      </c>
      <c r="E82" s="38">
        <f>IF(NOT(AND($N$5=1,54&lt;=$N$11)),"",IF($N$10=1,IF(AND($N$14=1,K82&lt;=$N$12),INDEX(IPC!$D$5:$D$173,(K82)-IPC!$J$2+1)/INDEX(IPC!$D$5:$D$173,(L82)-IPC!$J$2+1)-1,""),IF(ISNUMBER(F82),F82/100,"")))</f>
      </c>
      <c r="F82" s="36"/>
      <c r="G82" s="33">
        <f>IF(AND(AND($N$5=1,54&lt;=$N$11),ISNUMBER(G81),ISNUMBER(E82)),G81*(1+E82),"")</f>
      </c>
      <c r="H82" s="31">
        <f>IF(NOT(AND($N$5=1,54&lt;=$N$11)),"",IF(ISNUMBER(G82),"Aplicado",IF(ISNUMBER(G81),IF($N$10=1,"Falta el IPC de "&amp;INDEX(IPC!$J$5:$J$16,MOD($N$12+1,12)+1)&amp;" de "&amp;INT(($N$12+1)/12),"Cargá el % de este ajuste en la columna F"),"")))</f>
      </c>
      <c r="J82">
        <f>IF($N$5=1,$N$7+54*$N$8,"")</f>
      </c>
      <c r="K82">
        <f>IF($N$5=1,J82-1-$N$9,"")</f>
      </c>
      <c r="L82">
        <f>IF($N$5=1,K82-$N$8,"")</f>
      </c>
    </row>
    <row r="83" spans="1:12" x14ac:dyDescent="0.25">
      <c r="A83" s="34">
        <f>IF(AND($N$5=1,55&lt;=$N$11),"55° ajuste","")</f>
      </c>
      <c r="B83" s="34">
        <f>IF(AND($N$5=1,55&lt;=$N$11),INDEX(IPC!$J$5:$J$16,MOD(J83,12)+1)&amp;" de "&amp;INT((J83)/12),"")</f>
      </c>
      <c r="C83" s="34">
        <f>IF(AND(AND($N$5=1,55&lt;=$N$11),$N$10=1),INDEX(IPC!$J$5:$J$16,MOD(L83,12)+1)&amp;" de "&amp;INT((L83)/12),"")</f>
      </c>
      <c r="D83" s="34">
        <f>IF(AND(AND($N$5=1,55&lt;=$N$11),$N$10=1),INDEX(IPC!$J$5:$J$16,MOD(K83,12)+1)&amp;" de "&amp;INT((K83)/12),"")</f>
      </c>
      <c r="E83" s="35">
        <f>IF(NOT(AND($N$5=1,55&lt;=$N$11)),"",IF($N$10=1,IF(AND($N$14=1,K83&lt;=$N$12),INDEX(IPC!$D$5:$D$173,(K83)-IPC!$J$2+1)/INDEX(IPC!$D$5:$D$173,(L83)-IPC!$J$2+1)-1,""),IF(ISNUMBER(F83),F83/100,"")))</f>
      </c>
      <c r="F83" s="36"/>
      <c r="G83" s="37">
        <f>IF(AND(AND($N$5=1,55&lt;=$N$11),ISNUMBER(G82),ISNUMBER(E83)),G82*(1+E83),"")</f>
      </c>
      <c r="H83" s="34">
        <f>IF(NOT(AND($N$5=1,55&lt;=$N$11)),"",IF(ISNUMBER(G83),"Aplicado",IF(ISNUMBER(G82),IF($N$10=1,"Falta el IPC de "&amp;INDEX(IPC!$J$5:$J$16,MOD($N$12+1,12)+1)&amp;" de "&amp;INT(($N$12+1)/12),"Cargá el % de este ajuste en la columna F"),"")))</f>
      </c>
      <c r="J83">
        <f>IF($N$5=1,$N$7+55*$N$8,"")</f>
      </c>
      <c r="K83">
        <f>IF($N$5=1,J83-1-$N$9,"")</f>
      </c>
      <c r="L83">
        <f>IF($N$5=1,K83-$N$8,"")</f>
      </c>
    </row>
    <row r="84" spans="1:12" x14ac:dyDescent="0.25">
      <c r="A84" s="31">
        <f>IF(AND($N$5=1,56&lt;=$N$11),"56° ajuste","")</f>
      </c>
      <c r="B84" s="31">
        <f>IF(AND($N$5=1,56&lt;=$N$11),INDEX(IPC!$J$5:$J$16,MOD(J84,12)+1)&amp;" de "&amp;INT((J84)/12),"")</f>
      </c>
      <c r="C84" s="31">
        <f>IF(AND(AND($N$5=1,56&lt;=$N$11),$N$10=1),INDEX(IPC!$J$5:$J$16,MOD(L84,12)+1)&amp;" de "&amp;INT((L84)/12),"")</f>
      </c>
      <c r="D84" s="31">
        <f>IF(AND(AND($N$5=1,56&lt;=$N$11),$N$10=1),INDEX(IPC!$J$5:$J$16,MOD(K84,12)+1)&amp;" de "&amp;INT((K84)/12),"")</f>
      </c>
      <c r="E84" s="38">
        <f>IF(NOT(AND($N$5=1,56&lt;=$N$11)),"",IF($N$10=1,IF(AND($N$14=1,K84&lt;=$N$12),INDEX(IPC!$D$5:$D$173,(K84)-IPC!$J$2+1)/INDEX(IPC!$D$5:$D$173,(L84)-IPC!$J$2+1)-1,""),IF(ISNUMBER(F84),F84/100,"")))</f>
      </c>
      <c r="F84" s="36"/>
      <c r="G84" s="33">
        <f>IF(AND(AND($N$5=1,56&lt;=$N$11),ISNUMBER(G83),ISNUMBER(E84)),G83*(1+E84),"")</f>
      </c>
      <c r="H84" s="31">
        <f>IF(NOT(AND($N$5=1,56&lt;=$N$11)),"",IF(ISNUMBER(G84),"Aplicado",IF(ISNUMBER(G83),IF($N$10=1,"Falta el IPC de "&amp;INDEX(IPC!$J$5:$J$16,MOD($N$12+1,12)+1)&amp;" de "&amp;INT(($N$12+1)/12),"Cargá el % de este ajuste en la columna F"),"")))</f>
      </c>
      <c r="J84">
        <f>IF($N$5=1,$N$7+56*$N$8,"")</f>
      </c>
      <c r="K84">
        <f>IF($N$5=1,J84-1-$N$9,"")</f>
      </c>
      <c r="L84">
        <f>IF($N$5=1,K84-$N$8,"")</f>
      </c>
    </row>
    <row r="85" spans="1:12" x14ac:dyDescent="0.25">
      <c r="A85" s="34">
        <f>IF(AND($N$5=1,57&lt;=$N$11),"57° ajuste","")</f>
      </c>
      <c r="B85" s="34">
        <f>IF(AND($N$5=1,57&lt;=$N$11),INDEX(IPC!$J$5:$J$16,MOD(J85,12)+1)&amp;" de "&amp;INT((J85)/12),"")</f>
      </c>
      <c r="C85" s="34">
        <f>IF(AND(AND($N$5=1,57&lt;=$N$11),$N$10=1),INDEX(IPC!$J$5:$J$16,MOD(L85,12)+1)&amp;" de "&amp;INT((L85)/12),"")</f>
      </c>
      <c r="D85" s="34">
        <f>IF(AND(AND($N$5=1,57&lt;=$N$11),$N$10=1),INDEX(IPC!$J$5:$J$16,MOD(K85,12)+1)&amp;" de "&amp;INT((K85)/12),"")</f>
      </c>
      <c r="E85" s="35">
        <f>IF(NOT(AND($N$5=1,57&lt;=$N$11)),"",IF($N$10=1,IF(AND($N$14=1,K85&lt;=$N$12),INDEX(IPC!$D$5:$D$173,(K85)-IPC!$J$2+1)/INDEX(IPC!$D$5:$D$173,(L85)-IPC!$J$2+1)-1,""),IF(ISNUMBER(F85),F85/100,"")))</f>
      </c>
      <c r="F85" s="36"/>
      <c r="G85" s="37">
        <f>IF(AND(AND($N$5=1,57&lt;=$N$11),ISNUMBER(G84),ISNUMBER(E85)),G84*(1+E85),"")</f>
      </c>
      <c r="H85" s="34">
        <f>IF(NOT(AND($N$5=1,57&lt;=$N$11)),"",IF(ISNUMBER(G85),"Aplicado",IF(ISNUMBER(G84),IF($N$10=1,"Falta el IPC de "&amp;INDEX(IPC!$J$5:$J$16,MOD($N$12+1,12)+1)&amp;" de "&amp;INT(($N$12+1)/12),"Cargá el % de este ajuste en la columna F"),"")))</f>
      </c>
      <c r="J85">
        <f>IF($N$5=1,$N$7+57*$N$8,"")</f>
      </c>
      <c r="K85">
        <f>IF($N$5=1,J85-1-$N$9,"")</f>
      </c>
      <c r="L85">
        <f>IF($N$5=1,K85-$N$8,"")</f>
      </c>
    </row>
    <row r="86" spans="1:12" x14ac:dyDescent="0.25">
      <c r="A86" s="31">
        <f>IF(AND($N$5=1,58&lt;=$N$11),"58° ajuste","")</f>
      </c>
      <c r="B86" s="31">
        <f>IF(AND($N$5=1,58&lt;=$N$11),INDEX(IPC!$J$5:$J$16,MOD(J86,12)+1)&amp;" de "&amp;INT((J86)/12),"")</f>
      </c>
      <c r="C86" s="31">
        <f>IF(AND(AND($N$5=1,58&lt;=$N$11),$N$10=1),INDEX(IPC!$J$5:$J$16,MOD(L86,12)+1)&amp;" de "&amp;INT((L86)/12),"")</f>
      </c>
      <c r="D86" s="31">
        <f>IF(AND(AND($N$5=1,58&lt;=$N$11),$N$10=1),INDEX(IPC!$J$5:$J$16,MOD(K86,12)+1)&amp;" de "&amp;INT((K86)/12),"")</f>
      </c>
      <c r="E86" s="38">
        <f>IF(NOT(AND($N$5=1,58&lt;=$N$11)),"",IF($N$10=1,IF(AND($N$14=1,K86&lt;=$N$12),INDEX(IPC!$D$5:$D$173,(K86)-IPC!$J$2+1)/INDEX(IPC!$D$5:$D$173,(L86)-IPC!$J$2+1)-1,""),IF(ISNUMBER(F86),F86/100,"")))</f>
      </c>
      <c r="F86" s="36"/>
      <c r="G86" s="33">
        <f>IF(AND(AND($N$5=1,58&lt;=$N$11),ISNUMBER(G85),ISNUMBER(E86)),G85*(1+E86),"")</f>
      </c>
      <c r="H86" s="31">
        <f>IF(NOT(AND($N$5=1,58&lt;=$N$11)),"",IF(ISNUMBER(G86),"Aplicado",IF(ISNUMBER(G85),IF($N$10=1,"Falta el IPC de "&amp;INDEX(IPC!$J$5:$J$16,MOD($N$12+1,12)+1)&amp;" de "&amp;INT(($N$12+1)/12),"Cargá el % de este ajuste en la columna F"),"")))</f>
      </c>
      <c r="J86">
        <f>IF($N$5=1,$N$7+58*$N$8,"")</f>
      </c>
      <c r="K86">
        <f>IF($N$5=1,J86-1-$N$9,"")</f>
      </c>
      <c r="L86">
        <f>IF($N$5=1,K86-$N$8,"")</f>
      </c>
    </row>
    <row r="87" spans="1:12" x14ac:dyDescent="0.25">
      <c r="A87" s="34">
        <f>IF(AND($N$5=1,59&lt;=$N$11),"59° ajuste","")</f>
      </c>
      <c r="B87" s="34">
        <f>IF(AND($N$5=1,59&lt;=$N$11),INDEX(IPC!$J$5:$J$16,MOD(J87,12)+1)&amp;" de "&amp;INT((J87)/12),"")</f>
      </c>
      <c r="C87" s="34">
        <f>IF(AND(AND($N$5=1,59&lt;=$N$11),$N$10=1),INDEX(IPC!$J$5:$J$16,MOD(L87,12)+1)&amp;" de "&amp;INT((L87)/12),"")</f>
      </c>
      <c r="D87" s="34">
        <f>IF(AND(AND($N$5=1,59&lt;=$N$11),$N$10=1),INDEX(IPC!$J$5:$J$16,MOD(K87,12)+1)&amp;" de "&amp;INT((K87)/12),"")</f>
      </c>
      <c r="E87" s="35">
        <f>IF(NOT(AND($N$5=1,59&lt;=$N$11)),"",IF($N$10=1,IF(AND($N$14=1,K87&lt;=$N$12),INDEX(IPC!$D$5:$D$173,(K87)-IPC!$J$2+1)/INDEX(IPC!$D$5:$D$173,(L87)-IPC!$J$2+1)-1,""),IF(ISNUMBER(F87),F87/100,"")))</f>
      </c>
      <c r="F87" s="36"/>
      <c r="G87" s="37">
        <f>IF(AND(AND($N$5=1,59&lt;=$N$11),ISNUMBER(G86),ISNUMBER(E87)),G86*(1+E87),"")</f>
      </c>
      <c r="H87" s="34">
        <f>IF(NOT(AND($N$5=1,59&lt;=$N$11)),"",IF(ISNUMBER(G87),"Aplicado",IF(ISNUMBER(G86),IF($N$10=1,"Falta el IPC de "&amp;INDEX(IPC!$J$5:$J$16,MOD($N$12+1,12)+1)&amp;" de "&amp;INT(($N$12+1)/12),"Cargá el % de este ajuste en la columna F"),"")))</f>
      </c>
      <c r="J87">
        <f>IF($N$5=1,$N$7+59*$N$8,"")</f>
      </c>
      <c r="K87">
        <f>IF($N$5=1,J87-1-$N$9,"")</f>
      </c>
      <c r="L87">
        <f>IF($N$5=1,K87-$N$8,"")</f>
      </c>
    </row>
    <row r="88" spans="1:12" x14ac:dyDescent="0.25">
      <c r="A88" s="31">
        <f>IF(AND($N$5=1,60&lt;=$N$11),"60° ajuste","")</f>
      </c>
      <c r="B88" s="31">
        <f>IF(AND($N$5=1,60&lt;=$N$11),INDEX(IPC!$J$5:$J$16,MOD(J88,12)+1)&amp;" de "&amp;INT((J88)/12),"")</f>
      </c>
      <c r="C88" s="31">
        <f>IF(AND(AND($N$5=1,60&lt;=$N$11),$N$10=1),INDEX(IPC!$J$5:$J$16,MOD(L88,12)+1)&amp;" de "&amp;INT((L88)/12),"")</f>
      </c>
      <c r="D88" s="31">
        <f>IF(AND(AND($N$5=1,60&lt;=$N$11),$N$10=1),INDEX(IPC!$J$5:$J$16,MOD(K88,12)+1)&amp;" de "&amp;INT((K88)/12),"")</f>
      </c>
      <c r="E88" s="38">
        <f>IF(NOT(AND($N$5=1,60&lt;=$N$11)),"",IF($N$10=1,IF(AND($N$14=1,K88&lt;=$N$12),INDEX(IPC!$D$5:$D$173,(K88)-IPC!$J$2+1)/INDEX(IPC!$D$5:$D$173,(L88)-IPC!$J$2+1)-1,""),IF(ISNUMBER(F88),F88/100,"")))</f>
      </c>
      <c r="F88" s="36"/>
      <c r="G88" s="33">
        <f>IF(AND(AND($N$5=1,60&lt;=$N$11),ISNUMBER(G87),ISNUMBER(E88)),G87*(1+E88),"")</f>
      </c>
      <c r="H88" s="31">
        <f>IF(NOT(AND($N$5=1,60&lt;=$N$11)),"",IF(ISNUMBER(G88),"Aplicado",IF(ISNUMBER(G87),IF($N$10=1,"Falta el IPC de "&amp;INDEX(IPC!$J$5:$J$16,MOD($N$12+1,12)+1)&amp;" de "&amp;INT(($N$12+1)/12),"Cargá el % de este ajuste en la columna F"),"")))</f>
      </c>
      <c r="J88">
        <f>IF($N$5=1,$N$7+60*$N$8,"")</f>
      </c>
      <c r="K88">
        <f>IF($N$5=1,J88-1-$N$9,"")</f>
      </c>
      <c r="L88">
        <f>IF($N$5=1,K88-$N$8,"")</f>
      </c>
    </row>
    <row r="90" ht="40" customHeight="1" spans="1:8" x14ac:dyDescent="0.25">
      <c r="A90" s="9" t="s">
        <v>75</v>
      </c>
      <c r="B90" s="9"/>
      <c r="C90" s="9"/>
      <c r="D90" s="9"/>
      <c r="E90" s="9"/>
      <c r="F90" s="9"/>
      <c r="G90" s="9"/>
      <c r="H90" s="9"/>
    </row>
  </sheetData>
  <sheetProtection sheet="1" formatColumns="0" formatRows="0"/>
  <mergeCells count="11">
    <mergeCell ref="A1:H1"/>
    <mergeCell ref="A2:H2"/>
    <mergeCell ref="A4:B4"/>
    <mergeCell ref="C8:H8"/>
    <mergeCell ref="C12:H12"/>
    <mergeCell ref="C13:H13"/>
    <mergeCell ref="C14:H14"/>
    <mergeCell ref="A16:B16"/>
    <mergeCell ref="B24:H24"/>
    <mergeCell ref="A26:H26"/>
    <mergeCell ref="A90:H90"/>
  </mergeCells>
  <dataValidations count="8">
    <dataValidation type="whole" showErrorMessage="1" error="La duración va en meses, entre 1 y 60. Un contrato de dos años son 24." sqref="B10">
      <formula1>1</formula1>
      <formula2>60</formula2>
    </dataValidation>
    <dataValidation type="decimal" allowBlank="1" showErrorMessage="1" error="Escribí el alquiler del primer mes, sin puntos ni signo $. Por ejemplo: 500000." sqref="B11">
      <formula1>1</formula1>
      <formula2>10000000000</formula2>
    </dataValidation>
    <dataValidation type="list" showErrorMessage="1" error="Elegí una opción de la lista." sqref="B12">
      <formula1>"IPC (INDEC),Otro índice (cargo el %)"</formula1>
    </dataValidation>
    <dataValidation type="whole" showErrorMessage="1" error="Escribí cada cuántos meses se ajusta: 3, 4, 6 o 12 son los más comunes." sqref="B13">
      <formula1>1</formula1>
      <formula2>12</formula2>
    </dataValidation>
    <dataValidation type="list" showErrorMessage="1" error="Elegí una opción de la lista." sqref="B14">
      <formula1>"Los completos antes del ajuste,Los últimos publicados"</formula1>
    </dataValidation>
    <dataValidation type="list" showErrorMessage="1" error="Elegí un mes de la lista." sqref="B8">
      <formula1>"enero,febrero,marzo,abril,mayo,junio,julio,agosto,septiembre,octubre,noviembre,diciembre"</formula1>
    </dataValidation>
    <dataValidation type="whole" allowBlank="1" showErrorMessage="1" error="Escribí el año con cuatro cifras, entre 2017 y 2040." sqref="B9">
      <formula1>2017</formula1>
      <formula2>2040</formula2>
    </dataValidation>
    <dataValidation type="decimal" allowBlank="1" showErrorMessage="1" error="Cargá el % del ajuste como número: por ejemplo 9,32 para 9,32%." sqref="F29:F88">
      <formula1>-90</formula1>
      <formula2>500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N9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22" customWidth="1"/>
    <col min="5" max="5" width="13" customWidth="1"/>
    <col min="6" max="6" width="14" customWidth="1"/>
    <col min="7" max="7" width="18" customWidth="1"/>
    <col min="8" max="8" width="46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</cols>
  <sheetData>
    <row r="1" ht="28" customHeight="1" spans="1:8" x14ac:dyDescent="0.25">
      <c r="A1" s="10" t="s">
        <v>36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76</v>
      </c>
      <c r="B2" s="11"/>
      <c r="C2" s="11"/>
      <c r="D2" s="11"/>
      <c r="E2" s="11"/>
      <c r="F2" s="11"/>
      <c r="G2" s="11"/>
      <c r="H2" s="11"/>
    </row>
    <row r="4" spans="1:2" x14ac:dyDescent="0.25">
      <c r="A4" s="4" t="s">
        <v>41</v>
      </c>
      <c r="B4" s="4"/>
    </row>
    <row r="5" spans="1:14" x14ac:dyDescent="0.25">
      <c r="A5" s="19" t="s">
        <v>42</v>
      </c>
      <c r="B5" s="20"/>
      <c r="N5">
        <f>IF(AND(N6&gt;0,ISNUMBER(B9),ISNUMBER(B11),B11&gt;0,ISNUMBER(B13),B13&gt;=1,ISNUMBER(B10),B10&gt;=1),1,0)</f>
      </c>
    </row>
    <row r="6" spans="1:14" x14ac:dyDescent="0.25">
      <c r="A6" s="19" t="s">
        <v>27</v>
      </c>
      <c r="B6" s="20"/>
      <c r="N6">
        <f>IFERROR(MATCH(B8,IPC!$J$5:$J$16,0),0)</f>
      </c>
    </row>
    <row r="7" spans="1:14" x14ac:dyDescent="0.25">
      <c r="A7" s="19" t="s">
        <v>45</v>
      </c>
      <c r="B7" s="20"/>
      <c r="N7">
        <f>IF(N5=1,B9*12+N6-1,0)</f>
      </c>
    </row>
    <row r="8" spans="1:14" x14ac:dyDescent="0.25">
      <c r="A8" s="19" t="s">
        <v>46</v>
      </c>
      <c r="B8" s="20"/>
      <c r="C8" s="21" t="s">
        <v>48</v>
      </c>
      <c r="D8" s="21"/>
      <c r="E8" s="21"/>
      <c r="F8" s="21"/>
      <c r="G8" s="21"/>
      <c r="H8" s="21"/>
      <c r="N8">
        <f>IF(N5=1,INT(B13),1)</f>
      </c>
    </row>
    <row r="9" spans="1:14" x14ac:dyDescent="0.25">
      <c r="A9" s="19" t="s">
        <v>49</v>
      </c>
      <c r="B9" s="22"/>
      <c r="N9">
        <f>IF(B14="Los últimos publicados",1,0)</f>
      </c>
    </row>
    <row r="10" spans="1:14" x14ac:dyDescent="0.25">
      <c r="A10" s="19" t="s">
        <v>50</v>
      </c>
      <c r="B10" s="22">
        <v>24</v>
      </c>
      <c r="N10">
        <f>IF(B12="Otro índice (cargo el %)",0,1)</f>
      </c>
    </row>
    <row r="11" spans="1:14" x14ac:dyDescent="0.25">
      <c r="A11" s="19" t="s">
        <v>51</v>
      </c>
      <c r="B11" s="23"/>
      <c r="N11">
        <f>IF(N5=1,MIN(INT((B10-1)/N8),60),0)</f>
      </c>
    </row>
    <row r="12" ht="30" customHeight="1" spans="1:14" x14ac:dyDescent="0.25">
      <c r="A12" s="19" t="s">
        <v>52</v>
      </c>
      <c r="B12" s="20" t="s">
        <v>53</v>
      </c>
      <c r="C12" s="21" t="s">
        <v>54</v>
      </c>
      <c r="D12" s="21"/>
      <c r="E12" s="21"/>
      <c r="F12" s="21"/>
      <c r="G12" s="21"/>
      <c r="H12" s="21"/>
      <c r="N12">
        <f>IPC!$J$3</f>
      </c>
    </row>
    <row r="13" spans="1:14" x14ac:dyDescent="0.25">
      <c r="A13" s="19" t="s">
        <v>55</v>
      </c>
      <c r="B13" s="22">
        <v>3</v>
      </c>
      <c r="C13" s="21" t="s">
        <v>56</v>
      </c>
      <c r="D13" s="21"/>
      <c r="E13" s="21"/>
      <c r="F13" s="21"/>
      <c r="G13" s="21"/>
      <c r="H13" s="21"/>
      <c r="N13">
        <f>IPC!$J$2</f>
      </c>
    </row>
    <row r="14" ht="42" customHeight="1" spans="1:14" x14ac:dyDescent="0.25">
      <c r="A14" s="19" t="s">
        <v>57</v>
      </c>
      <c r="B14" s="20" t="s">
        <v>58</v>
      </c>
      <c r="C14" s="21" t="s">
        <v>59</v>
      </c>
      <c r="D14" s="21"/>
      <c r="E14" s="21"/>
      <c r="F14" s="21"/>
      <c r="G14" s="21"/>
      <c r="H14" s="21"/>
      <c r="N14">
        <f>IF(N5=0,0,IF(N10=0,1,IF(AND(N7-1-N9&gt;=N13,N7-1-N9&lt;=N12),1,0)))</f>
      </c>
    </row>
    <row r="15" ht="6" customHeight="1" spans="14:14" x14ac:dyDescent="0.25">
      <c r="N15">
        <f>COUNT(G29:G88)</f>
      </c>
    </row>
    <row r="16" spans="1:14" x14ac:dyDescent="0.25">
      <c r="A16" s="4" t="s">
        <v>60</v>
      </c>
      <c r="B16" s="4"/>
      <c r="N16">
        <f>IF(N5=1,INDEX(G28:G88,N15+1),"")</f>
      </c>
    </row>
    <row r="17" spans="1:14" x14ac:dyDescent="0.25">
      <c r="A17" s="19" t="s">
        <v>61</v>
      </c>
      <c r="B17" s="24">
        <f>N16</f>
      </c>
      <c r="N17">
        <f>N15+1</f>
      </c>
    </row>
    <row r="18" spans="1:14" x14ac:dyDescent="0.25">
      <c r="A18" s="19" t="s">
        <v>29</v>
      </c>
      <c r="B18" s="25">
        <f>IF(N5=1,INDEX(B28:B88,N15+1),"")</f>
      </c>
      <c r="N18">
        <f>IF(AND(N5=1,N17&lt;=N11),1,0)</f>
      </c>
    </row>
    <row r="19" spans="1:14" x14ac:dyDescent="0.25">
      <c r="A19" s="19" t="s">
        <v>62</v>
      </c>
      <c r="B19" s="26">
        <f>IF(N5=1,N15,"")</f>
      </c>
      <c r="N19">
        <f>N7+N17*N8-1-N9</f>
      </c>
    </row>
    <row r="20" spans="1:14" x14ac:dyDescent="0.25">
      <c r="A20" s="19" t="s">
        <v>63</v>
      </c>
      <c r="B20" s="27">
        <f>IF(N5=1,N16/B11-1,"")</f>
      </c>
      <c r="N20">
        <f>N19-N12</f>
      </c>
    </row>
    <row r="21" spans="1:14" x14ac:dyDescent="0.25">
      <c r="A21" s="19" t="s">
        <v>30</v>
      </c>
      <c r="B21" s="25">
        <f>IF(N18=1,INDEX(B28:B88,N17+1),IF(N5=1,"No quedan ajustes antes de que termine",""))</f>
      </c>
      <c r="N21">
        <f>INDEX(IPC!$D$5:$D$173,(N12)-IPC!$J$2+1)/INDEX(IPC!$D$5:$D$173,(N12-1)-IPC!$J$2+1)-1</f>
      </c>
    </row>
    <row r="22" spans="1:14" x14ac:dyDescent="0.25">
      <c r="A22" s="19" t="s">
        <v>64</v>
      </c>
      <c r="B22" s="28">
        <f>N22</f>
      </c>
      <c r="N22">
        <f>IF(AND(N18=1,N10=1,N14=1,N20&gt;0,N20&lt;=12),N16*INDEX(IPC!$D$5:$D$173,(N12)-IPC!$J$2+1)*(1+N21)^N20/INDEX(IPC!$D$5:$D$173,(N19-N8)-IPC!$J$2+1),"")</f>
      </c>
    </row>
    <row r="23" spans="1:14" x14ac:dyDescent="0.25">
      <c r="A23" s="19" t="s">
        <v>65</v>
      </c>
      <c r="B23" s="25">
        <f>IF(N5=1,INDEX(IPC!$J$5:$J$16,MOD(N7+B10-1,12)+1)&amp;" de "&amp;INT((N7+B10-1)/12),"")</f>
      </c>
      <c r="N23">
        <f>IF(ISNUMBER(N22),ROUND(N22,0),"")</f>
      </c>
    </row>
    <row r="24" ht="46" customHeight="1" spans="1:14" x14ac:dyDescent="0.25">
      <c r="A24" s="19" t="s">
        <v>66</v>
      </c>
      <c r="B24" s="29">
        <f>IF(N5=0,"Completá las celdas amarillas de arriba y acá aparece el cronograma de aumentos.",IF(N14=0,"Todavía no está publicado el IPC de "&amp;INDEX(IPC!$J$5:$J$16,MOD(N7-1-N9,12)+1)&amp;" de "&amp;INT((N7-1-N9)/12)&amp;", que es la base de este contrato. Mientras tanto se cobra el valor inicial.",IF(N18=0,"No quedan ajustes: el contrato termina en "&amp;INDEX(IPC!$J$5:$J$16,MOD(N7+B10-1,12)+1)&amp;" de "&amp;INT((N7+B10-1)/12)&amp;".",IF(N10=1,"El próximo ajuste rige desde "&amp;B21&amp;". Se calcula cuando el INDEC publique el IPC de "&amp;INDEX(IPC!$J$5:$J$16,MOD(N19,12)+1)&amp;" de "&amp;INT((N19)/12)&amp;" (sale entre el 10 y el 15 del mes siguiente)"&amp;IF(ISNUMBER(N22),". Si la inflación siguiera como el último mes, el alquiler quedaría en unos $ "&amp;N24&amp;".","."),"El próximo ajuste rige desde "&amp;B21&amp;": cuando lo tengas, cargá el % del índice pactado en la columna F del cronograma."))))</f>
      </c>
      <c r="C24" s="29"/>
      <c r="D24" s="29"/>
      <c r="E24" s="29"/>
      <c r="F24" s="29"/>
      <c r="G24" s="29"/>
      <c r="H24" s="29"/>
      <c r="N24">
        <f>IF(ISNUMBER(N23),IF(N23&gt;=1000000000,INT(N23/1000000000)&amp;"."&amp;RIGHT("00"&amp;INT(MOD(N23,1000000000)/1000000),3)&amp;"."&amp;RIGHT("00"&amp;INT(MOD(N23,1000000)/1000),3)&amp;"."&amp;RIGHT("00"&amp;INT(MOD(N23,1000)/1),3),IF(N23&gt;=1000000,INT(N23/1000000)&amp;"."&amp;RIGHT("00"&amp;INT(MOD(N23,1000000)/1000),3)&amp;"."&amp;RIGHT("00"&amp;INT(MOD(N23,1000)/1),3),IF(N23&gt;=1000,INT(N23/1000)&amp;"."&amp;RIGHT("00"&amp;INT(MOD(N23,1000)/1),3),""&amp;N23))),"")</f>
      </c>
    </row>
    <row r="26" spans="1:8" x14ac:dyDescent="0.25">
      <c r="A26" s="4" t="s">
        <v>67</v>
      </c>
      <c r="B26" s="4"/>
      <c r="C26" s="4"/>
      <c r="D26" s="4"/>
      <c r="E26" s="4"/>
      <c r="F26" s="4"/>
      <c r="G26" s="4"/>
      <c r="H26" s="4"/>
    </row>
    <row r="27" ht="30" customHeight="1" spans="1:8" x14ac:dyDescent="0.25">
      <c r="A27" s="30" t="s">
        <v>68</v>
      </c>
      <c r="B27" s="30" t="s">
        <v>29</v>
      </c>
      <c r="C27" s="30" t="s">
        <v>69</v>
      </c>
      <c r="D27" s="30" t="s">
        <v>70</v>
      </c>
      <c r="E27" s="30" t="s">
        <v>71</v>
      </c>
      <c r="F27" s="30" t="s">
        <v>72</v>
      </c>
      <c r="G27" s="30" t="s">
        <v>73</v>
      </c>
      <c r="H27" s="30" t="s">
        <v>74</v>
      </c>
    </row>
    <row r="28" spans="1:12" x14ac:dyDescent="0.25">
      <c r="A28" s="31">
        <f>IF($N$5=1,"Valor inicial","")</f>
      </c>
      <c r="B28" s="31">
        <f>IF($N$5=1,INDEX(IPC!$J$5:$J$16,MOD(J28,12)+1)&amp;" de "&amp;INT((J28)/12),"")</f>
      </c>
      <c r="C28" s="31"/>
      <c r="D28" s="31"/>
      <c r="E28" s="31"/>
      <c r="F28" s="32"/>
      <c r="G28" s="33">
        <f>IF($N$5=1,B11,"")</f>
      </c>
      <c r="H28" s="31">
        <f>IF($N$5=1,"Valor inicial del contrato","")</f>
      </c>
      <c r="J28">
        <f>IF($N$5=1,$N$7+0*$N$8,"")</f>
      </c>
      <c r="K28">
        <f>IF($N$5=1,J28-1-$N$9,"")</f>
      </c>
      <c r="L28">
        <f>IF($N$5=1,K28-$N$8,"")</f>
      </c>
    </row>
    <row r="29" spans="1:12" x14ac:dyDescent="0.25">
      <c r="A29" s="34">
        <f>IF(AND($N$5=1,1&lt;=$N$11),"1° ajuste","")</f>
      </c>
      <c r="B29" s="34">
        <f>IF(AND($N$5=1,1&lt;=$N$11),INDEX(IPC!$J$5:$J$16,MOD(J29,12)+1)&amp;" de "&amp;INT((J29)/12),"")</f>
      </c>
      <c r="C29" s="34">
        <f>IF(AND(AND($N$5=1,1&lt;=$N$11),$N$10=1),INDEX(IPC!$J$5:$J$16,MOD(L29,12)+1)&amp;" de "&amp;INT((L29)/12),"")</f>
      </c>
      <c r="D29" s="34">
        <f>IF(AND(AND($N$5=1,1&lt;=$N$11),$N$10=1),INDEX(IPC!$J$5:$J$16,MOD(K29,12)+1)&amp;" de "&amp;INT((K29)/12),"")</f>
      </c>
      <c r="E29" s="35">
        <f>IF(NOT(AND($N$5=1,1&lt;=$N$11)),"",IF($N$10=1,IF(AND($N$14=1,K29&lt;=$N$12),INDEX(IPC!$D$5:$D$173,(K29)-IPC!$J$2+1)/INDEX(IPC!$D$5:$D$173,(L29)-IPC!$J$2+1)-1,""),IF(ISNUMBER(F29),F29/100,"")))</f>
      </c>
      <c r="F29" s="36"/>
      <c r="G29" s="37">
        <f>IF(AND(AND($N$5=1,1&lt;=$N$11),ISNUMBER(G28),ISNUMBER(E29)),G28*(1+E29),"")</f>
      </c>
      <c r="H29" s="34">
        <f>IF(NOT(AND($N$5=1,1&lt;=$N$11)),"",IF(ISNUMBER(G29),"Aplicado",IF(ISNUMBER(G28),IF($N$10=1,"Falta el IPC de "&amp;INDEX(IPC!$J$5:$J$16,MOD($N$12+1,12)+1)&amp;" de "&amp;INT(($N$12+1)/12),"Cargá el % de este ajuste en la columna F"),"")))</f>
      </c>
      <c r="J29">
        <f>IF($N$5=1,$N$7+1*$N$8,"")</f>
      </c>
      <c r="K29">
        <f>IF($N$5=1,J29-1-$N$9,"")</f>
      </c>
      <c r="L29">
        <f>IF($N$5=1,K29-$N$8,"")</f>
      </c>
    </row>
    <row r="30" spans="1:12" x14ac:dyDescent="0.25">
      <c r="A30" s="31">
        <f>IF(AND($N$5=1,2&lt;=$N$11),"2° ajuste","")</f>
      </c>
      <c r="B30" s="31">
        <f>IF(AND($N$5=1,2&lt;=$N$11),INDEX(IPC!$J$5:$J$16,MOD(J30,12)+1)&amp;" de "&amp;INT((J30)/12),"")</f>
      </c>
      <c r="C30" s="31">
        <f>IF(AND(AND($N$5=1,2&lt;=$N$11),$N$10=1),INDEX(IPC!$J$5:$J$16,MOD(L30,12)+1)&amp;" de "&amp;INT((L30)/12),"")</f>
      </c>
      <c r="D30" s="31">
        <f>IF(AND(AND($N$5=1,2&lt;=$N$11),$N$10=1),INDEX(IPC!$J$5:$J$16,MOD(K30,12)+1)&amp;" de "&amp;INT((K30)/12),"")</f>
      </c>
      <c r="E30" s="38">
        <f>IF(NOT(AND($N$5=1,2&lt;=$N$11)),"",IF($N$10=1,IF(AND($N$14=1,K30&lt;=$N$12),INDEX(IPC!$D$5:$D$173,(K30)-IPC!$J$2+1)/INDEX(IPC!$D$5:$D$173,(L30)-IPC!$J$2+1)-1,""),IF(ISNUMBER(F30),F30/100,"")))</f>
      </c>
      <c r="F30" s="36"/>
      <c r="G30" s="33">
        <f>IF(AND(AND($N$5=1,2&lt;=$N$11),ISNUMBER(G29),ISNUMBER(E30)),G29*(1+E30),"")</f>
      </c>
      <c r="H30" s="31">
        <f>IF(NOT(AND($N$5=1,2&lt;=$N$11)),"",IF(ISNUMBER(G30),"Aplicado",IF(ISNUMBER(G29),IF($N$10=1,"Falta el IPC de "&amp;INDEX(IPC!$J$5:$J$16,MOD($N$12+1,12)+1)&amp;" de "&amp;INT(($N$12+1)/12),"Cargá el % de este ajuste en la columna F"),"")))</f>
      </c>
      <c r="J30">
        <f>IF($N$5=1,$N$7+2*$N$8,"")</f>
      </c>
      <c r="K30">
        <f>IF($N$5=1,J30-1-$N$9,"")</f>
      </c>
      <c r="L30">
        <f>IF($N$5=1,K30-$N$8,"")</f>
      </c>
    </row>
    <row r="31" spans="1:12" x14ac:dyDescent="0.25">
      <c r="A31" s="34">
        <f>IF(AND($N$5=1,3&lt;=$N$11),"3° ajuste","")</f>
      </c>
      <c r="B31" s="34">
        <f>IF(AND($N$5=1,3&lt;=$N$11),INDEX(IPC!$J$5:$J$16,MOD(J31,12)+1)&amp;" de "&amp;INT((J31)/12),"")</f>
      </c>
      <c r="C31" s="34">
        <f>IF(AND(AND($N$5=1,3&lt;=$N$11),$N$10=1),INDEX(IPC!$J$5:$J$16,MOD(L31,12)+1)&amp;" de "&amp;INT((L31)/12),"")</f>
      </c>
      <c r="D31" s="34">
        <f>IF(AND(AND($N$5=1,3&lt;=$N$11),$N$10=1),INDEX(IPC!$J$5:$J$16,MOD(K31,12)+1)&amp;" de "&amp;INT((K31)/12),"")</f>
      </c>
      <c r="E31" s="35">
        <f>IF(NOT(AND($N$5=1,3&lt;=$N$11)),"",IF($N$10=1,IF(AND($N$14=1,K31&lt;=$N$12),INDEX(IPC!$D$5:$D$173,(K31)-IPC!$J$2+1)/INDEX(IPC!$D$5:$D$173,(L31)-IPC!$J$2+1)-1,""),IF(ISNUMBER(F31),F31/100,"")))</f>
      </c>
      <c r="F31" s="36"/>
      <c r="G31" s="37">
        <f>IF(AND(AND($N$5=1,3&lt;=$N$11),ISNUMBER(G30),ISNUMBER(E31)),G30*(1+E31),"")</f>
      </c>
      <c r="H31" s="34">
        <f>IF(NOT(AND($N$5=1,3&lt;=$N$11)),"",IF(ISNUMBER(G31),"Aplicado",IF(ISNUMBER(G30),IF($N$10=1,"Falta el IPC de "&amp;INDEX(IPC!$J$5:$J$16,MOD($N$12+1,12)+1)&amp;" de "&amp;INT(($N$12+1)/12),"Cargá el % de este ajuste en la columna F"),"")))</f>
      </c>
      <c r="J31">
        <f>IF($N$5=1,$N$7+3*$N$8,"")</f>
      </c>
      <c r="K31">
        <f>IF($N$5=1,J31-1-$N$9,"")</f>
      </c>
      <c r="L31">
        <f>IF($N$5=1,K31-$N$8,"")</f>
      </c>
    </row>
    <row r="32" spans="1:12" x14ac:dyDescent="0.25">
      <c r="A32" s="31">
        <f>IF(AND($N$5=1,4&lt;=$N$11),"4° ajuste","")</f>
      </c>
      <c r="B32" s="31">
        <f>IF(AND($N$5=1,4&lt;=$N$11),INDEX(IPC!$J$5:$J$16,MOD(J32,12)+1)&amp;" de "&amp;INT((J32)/12),"")</f>
      </c>
      <c r="C32" s="31">
        <f>IF(AND(AND($N$5=1,4&lt;=$N$11),$N$10=1),INDEX(IPC!$J$5:$J$16,MOD(L32,12)+1)&amp;" de "&amp;INT((L32)/12),"")</f>
      </c>
      <c r="D32" s="31">
        <f>IF(AND(AND($N$5=1,4&lt;=$N$11),$N$10=1),INDEX(IPC!$J$5:$J$16,MOD(K32,12)+1)&amp;" de "&amp;INT((K32)/12),"")</f>
      </c>
      <c r="E32" s="38">
        <f>IF(NOT(AND($N$5=1,4&lt;=$N$11)),"",IF($N$10=1,IF(AND($N$14=1,K32&lt;=$N$12),INDEX(IPC!$D$5:$D$173,(K32)-IPC!$J$2+1)/INDEX(IPC!$D$5:$D$173,(L32)-IPC!$J$2+1)-1,""),IF(ISNUMBER(F32),F32/100,"")))</f>
      </c>
      <c r="F32" s="36"/>
      <c r="G32" s="33">
        <f>IF(AND(AND($N$5=1,4&lt;=$N$11),ISNUMBER(G31),ISNUMBER(E32)),G31*(1+E32),"")</f>
      </c>
      <c r="H32" s="31">
        <f>IF(NOT(AND($N$5=1,4&lt;=$N$11)),"",IF(ISNUMBER(G32),"Aplicado",IF(ISNUMBER(G31),IF($N$10=1,"Falta el IPC de "&amp;INDEX(IPC!$J$5:$J$16,MOD($N$12+1,12)+1)&amp;" de "&amp;INT(($N$12+1)/12),"Cargá el % de este ajuste en la columna F"),"")))</f>
      </c>
      <c r="J32">
        <f>IF($N$5=1,$N$7+4*$N$8,"")</f>
      </c>
      <c r="K32">
        <f>IF($N$5=1,J32-1-$N$9,"")</f>
      </c>
      <c r="L32">
        <f>IF($N$5=1,K32-$N$8,"")</f>
      </c>
    </row>
    <row r="33" spans="1:12" x14ac:dyDescent="0.25">
      <c r="A33" s="34">
        <f>IF(AND($N$5=1,5&lt;=$N$11),"5° ajuste","")</f>
      </c>
      <c r="B33" s="34">
        <f>IF(AND($N$5=1,5&lt;=$N$11),INDEX(IPC!$J$5:$J$16,MOD(J33,12)+1)&amp;" de "&amp;INT((J33)/12),"")</f>
      </c>
      <c r="C33" s="34">
        <f>IF(AND(AND($N$5=1,5&lt;=$N$11),$N$10=1),INDEX(IPC!$J$5:$J$16,MOD(L33,12)+1)&amp;" de "&amp;INT((L33)/12),"")</f>
      </c>
      <c r="D33" s="34">
        <f>IF(AND(AND($N$5=1,5&lt;=$N$11),$N$10=1),INDEX(IPC!$J$5:$J$16,MOD(K33,12)+1)&amp;" de "&amp;INT((K33)/12),"")</f>
      </c>
      <c r="E33" s="35">
        <f>IF(NOT(AND($N$5=1,5&lt;=$N$11)),"",IF($N$10=1,IF(AND($N$14=1,K33&lt;=$N$12),INDEX(IPC!$D$5:$D$173,(K33)-IPC!$J$2+1)/INDEX(IPC!$D$5:$D$173,(L33)-IPC!$J$2+1)-1,""),IF(ISNUMBER(F33),F33/100,"")))</f>
      </c>
      <c r="F33" s="36"/>
      <c r="G33" s="37">
        <f>IF(AND(AND($N$5=1,5&lt;=$N$11),ISNUMBER(G32),ISNUMBER(E33)),G32*(1+E33),"")</f>
      </c>
      <c r="H33" s="34">
        <f>IF(NOT(AND($N$5=1,5&lt;=$N$11)),"",IF(ISNUMBER(G33),"Aplicado",IF(ISNUMBER(G32),IF($N$10=1,"Falta el IPC de "&amp;INDEX(IPC!$J$5:$J$16,MOD($N$12+1,12)+1)&amp;" de "&amp;INT(($N$12+1)/12),"Cargá el % de este ajuste en la columna F"),"")))</f>
      </c>
      <c r="J33">
        <f>IF($N$5=1,$N$7+5*$N$8,"")</f>
      </c>
      <c r="K33">
        <f>IF($N$5=1,J33-1-$N$9,"")</f>
      </c>
      <c r="L33">
        <f>IF($N$5=1,K33-$N$8,"")</f>
      </c>
    </row>
    <row r="34" spans="1:12" x14ac:dyDescent="0.25">
      <c r="A34" s="31">
        <f>IF(AND($N$5=1,6&lt;=$N$11),"6° ajuste","")</f>
      </c>
      <c r="B34" s="31">
        <f>IF(AND($N$5=1,6&lt;=$N$11),INDEX(IPC!$J$5:$J$16,MOD(J34,12)+1)&amp;" de "&amp;INT((J34)/12),"")</f>
      </c>
      <c r="C34" s="31">
        <f>IF(AND(AND($N$5=1,6&lt;=$N$11),$N$10=1),INDEX(IPC!$J$5:$J$16,MOD(L34,12)+1)&amp;" de "&amp;INT((L34)/12),"")</f>
      </c>
      <c r="D34" s="31">
        <f>IF(AND(AND($N$5=1,6&lt;=$N$11),$N$10=1),INDEX(IPC!$J$5:$J$16,MOD(K34,12)+1)&amp;" de "&amp;INT((K34)/12),"")</f>
      </c>
      <c r="E34" s="38">
        <f>IF(NOT(AND($N$5=1,6&lt;=$N$11)),"",IF($N$10=1,IF(AND($N$14=1,K34&lt;=$N$12),INDEX(IPC!$D$5:$D$173,(K34)-IPC!$J$2+1)/INDEX(IPC!$D$5:$D$173,(L34)-IPC!$J$2+1)-1,""),IF(ISNUMBER(F34),F34/100,"")))</f>
      </c>
      <c r="F34" s="36"/>
      <c r="G34" s="33">
        <f>IF(AND(AND($N$5=1,6&lt;=$N$11),ISNUMBER(G33),ISNUMBER(E34)),G33*(1+E34),"")</f>
      </c>
      <c r="H34" s="31">
        <f>IF(NOT(AND($N$5=1,6&lt;=$N$11)),"",IF(ISNUMBER(G34),"Aplicado",IF(ISNUMBER(G33),IF($N$10=1,"Falta el IPC de "&amp;INDEX(IPC!$J$5:$J$16,MOD($N$12+1,12)+1)&amp;" de "&amp;INT(($N$12+1)/12),"Cargá el % de este ajuste en la columna F"),"")))</f>
      </c>
      <c r="J34">
        <f>IF($N$5=1,$N$7+6*$N$8,"")</f>
      </c>
      <c r="K34">
        <f>IF($N$5=1,J34-1-$N$9,"")</f>
      </c>
      <c r="L34">
        <f>IF($N$5=1,K34-$N$8,"")</f>
      </c>
    </row>
    <row r="35" spans="1:12" x14ac:dyDescent="0.25">
      <c r="A35" s="34">
        <f>IF(AND($N$5=1,7&lt;=$N$11),"7° ajuste","")</f>
      </c>
      <c r="B35" s="34">
        <f>IF(AND($N$5=1,7&lt;=$N$11),INDEX(IPC!$J$5:$J$16,MOD(J35,12)+1)&amp;" de "&amp;INT((J35)/12),"")</f>
      </c>
      <c r="C35" s="34">
        <f>IF(AND(AND($N$5=1,7&lt;=$N$11),$N$10=1),INDEX(IPC!$J$5:$J$16,MOD(L35,12)+1)&amp;" de "&amp;INT((L35)/12),"")</f>
      </c>
      <c r="D35" s="34">
        <f>IF(AND(AND($N$5=1,7&lt;=$N$11),$N$10=1),INDEX(IPC!$J$5:$J$16,MOD(K35,12)+1)&amp;" de "&amp;INT((K35)/12),"")</f>
      </c>
      <c r="E35" s="35">
        <f>IF(NOT(AND($N$5=1,7&lt;=$N$11)),"",IF($N$10=1,IF(AND($N$14=1,K35&lt;=$N$12),INDEX(IPC!$D$5:$D$173,(K35)-IPC!$J$2+1)/INDEX(IPC!$D$5:$D$173,(L35)-IPC!$J$2+1)-1,""),IF(ISNUMBER(F35),F35/100,"")))</f>
      </c>
      <c r="F35" s="36"/>
      <c r="G35" s="37">
        <f>IF(AND(AND($N$5=1,7&lt;=$N$11),ISNUMBER(G34),ISNUMBER(E35)),G34*(1+E35),"")</f>
      </c>
      <c r="H35" s="34">
        <f>IF(NOT(AND($N$5=1,7&lt;=$N$11)),"",IF(ISNUMBER(G35),"Aplicado",IF(ISNUMBER(G34),IF($N$10=1,"Falta el IPC de "&amp;INDEX(IPC!$J$5:$J$16,MOD($N$12+1,12)+1)&amp;" de "&amp;INT(($N$12+1)/12),"Cargá el % de este ajuste en la columna F"),"")))</f>
      </c>
      <c r="J35">
        <f>IF($N$5=1,$N$7+7*$N$8,"")</f>
      </c>
      <c r="K35">
        <f>IF($N$5=1,J35-1-$N$9,"")</f>
      </c>
      <c r="L35">
        <f>IF($N$5=1,K35-$N$8,"")</f>
      </c>
    </row>
    <row r="36" spans="1:12" x14ac:dyDescent="0.25">
      <c r="A36" s="31">
        <f>IF(AND($N$5=1,8&lt;=$N$11),"8° ajuste","")</f>
      </c>
      <c r="B36" s="31">
        <f>IF(AND($N$5=1,8&lt;=$N$11),INDEX(IPC!$J$5:$J$16,MOD(J36,12)+1)&amp;" de "&amp;INT((J36)/12),"")</f>
      </c>
      <c r="C36" s="31">
        <f>IF(AND(AND($N$5=1,8&lt;=$N$11),$N$10=1),INDEX(IPC!$J$5:$J$16,MOD(L36,12)+1)&amp;" de "&amp;INT((L36)/12),"")</f>
      </c>
      <c r="D36" s="31">
        <f>IF(AND(AND($N$5=1,8&lt;=$N$11),$N$10=1),INDEX(IPC!$J$5:$J$16,MOD(K36,12)+1)&amp;" de "&amp;INT((K36)/12),"")</f>
      </c>
      <c r="E36" s="38">
        <f>IF(NOT(AND($N$5=1,8&lt;=$N$11)),"",IF($N$10=1,IF(AND($N$14=1,K36&lt;=$N$12),INDEX(IPC!$D$5:$D$173,(K36)-IPC!$J$2+1)/INDEX(IPC!$D$5:$D$173,(L36)-IPC!$J$2+1)-1,""),IF(ISNUMBER(F36),F36/100,"")))</f>
      </c>
      <c r="F36" s="36"/>
      <c r="G36" s="33">
        <f>IF(AND(AND($N$5=1,8&lt;=$N$11),ISNUMBER(G35),ISNUMBER(E36)),G35*(1+E36),"")</f>
      </c>
      <c r="H36" s="31">
        <f>IF(NOT(AND($N$5=1,8&lt;=$N$11)),"",IF(ISNUMBER(G36),"Aplicado",IF(ISNUMBER(G35),IF($N$10=1,"Falta el IPC de "&amp;INDEX(IPC!$J$5:$J$16,MOD($N$12+1,12)+1)&amp;" de "&amp;INT(($N$12+1)/12),"Cargá el % de este ajuste en la columna F"),"")))</f>
      </c>
      <c r="J36">
        <f>IF($N$5=1,$N$7+8*$N$8,"")</f>
      </c>
      <c r="K36">
        <f>IF($N$5=1,J36-1-$N$9,"")</f>
      </c>
      <c r="L36">
        <f>IF($N$5=1,K36-$N$8,"")</f>
      </c>
    </row>
    <row r="37" spans="1:12" x14ac:dyDescent="0.25">
      <c r="A37" s="34">
        <f>IF(AND($N$5=1,9&lt;=$N$11),"9° ajuste","")</f>
      </c>
      <c r="B37" s="34">
        <f>IF(AND($N$5=1,9&lt;=$N$11),INDEX(IPC!$J$5:$J$16,MOD(J37,12)+1)&amp;" de "&amp;INT((J37)/12),"")</f>
      </c>
      <c r="C37" s="34">
        <f>IF(AND(AND($N$5=1,9&lt;=$N$11),$N$10=1),INDEX(IPC!$J$5:$J$16,MOD(L37,12)+1)&amp;" de "&amp;INT((L37)/12),"")</f>
      </c>
      <c r="D37" s="34">
        <f>IF(AND(AND($N$5=1,9&lt;=$N$11),$N$10=1),INDEX(IPC!$J$5:$J$16,MOD(K37,12)+1)&amp;" de "&amp;INT((K37)/12),"")</f>
      </c>
      <c r="E37" s="35">
        <f>IF(NOT(AND($N$5=1,9&lt;=$N$11)),"",IF($N$10=1,IF(AND($N$14=1,K37&lt;=$N$12),INDEX(IPC!$D$5:$D$173,(K37)-IPC!$J$2+1)/INDEX(IPC!$D$5:$D$173,(L37)-IPC!$J$2+1)-1,""),IF(ISNUMBER(F37),F37/100,"")))</f>
      </c>
      <c r="F37" s="36"/>
      <c r="G37" s="37">
        <f>IF(AND(AND($N$5=1,9&lt;=$N$11),ISNUMBER(G36),ISNUMBER(E37)),G36*(1+E37),"")</f>
      </c>
      <c r="H37" s="34">
        <f>IF(NOT(AND($N$5=1,9&lt;=$N$11)),"",IF(ISNUMBER(G37),"Aplicado",IF(ISNUMBER(G36),IF($N$10=1,"Falta el IPC de "&amp;INDEX(IPC!$J$5:$J$16,MOD($N$12+1,12)+1)&amp;" de "&amp;INT(($N$12+1)/12),"Cargá el % de este ajuste en la columna F"),"")))</f>
      </c>
      <c r="J37">
        <f>IF($N$5=1,$N$7+9*$N$8,"")</f>
      </c>
      <c r="K37">
        <f>IF($N$5=1,J37-1-$N$9,"")</f>
      </c>
      <c r="L37">
        <f>IF($N$5=1,K37-$N$8,"")</f>
      </c>
    </row>
    <row r="38" spans="1:12" x14ac:dyDescent="0.25">
      <c r="A38" s="31">
        <f>IF(AND($N$5=1,10&lt;=$N$11),"10° ajuste","")</f>
      </c>
      <c r="B38" s="31">
        <f>IF(AND($N$5=1,10&lt;=$N$11),INDEX(IPC!$J$5:$J$16,MOD(J38,12)+1)&amp;" de "&amp;INT((J38)/12),"")</f>
      </c>
      <c r="C38" s="31">
        <f>IF(AND(AND($N$5=1,10&lt;=$N$11),$N$10=1),INDEX(IPC!$J$5:$J$16,MOD(L38,12)+1)&amp;" de "&amp;INT((L38)/12),"")</f>
      </c>
      <c r="D38" s="31">
        <f>IF(AND(AND($N$5=1,10&lt;=$N$11),$N$10=1),INDEX(IPC!$J$5:$J$16,MOD(K38,12)+1)&amp;" de "&amp;INT((K38)/12),"")</f>
      </c>
      <c r="E38" s="38">
        <f>IF(NOT(AND($N$5=1,10&lt;=$N$11)),"",IF($N$10=1,IF(AND($N$14=1,K38&lt;=$N$12),INDEX(IPC!$D$5:$D$173,(K38)-IPC!$J$2+1)/INDEX(IPC!$D$5:$D$173,(L38)-IPC!$J$2+1)-1,""),IF(ISNUMBER(F38),F38/100,"")))</f>
      </c>
      <c r="F38" s="36"/>
      <c r="G38" s="33">
        <f>IF(AND(AND($N$5=1,10&lt;=$N$11),ISNUMBER(G37),ISNUMBER(E38)),G37*(1+E38),"")</f>
      </c>
      <c r="H38" s="31">
        <f>IF(NOT(AND($N$5=1,10&lt;=$N$11)),"",IF(ISNUMBER(G38),"Aplicado",IF(ISNUMBER(G37),IF($N$10=1,"Falta el IPC de "&amp;INDEX(IPC!$J$5:$J$16,MOD($N$12+1,12)+1)&amp;" de "&amp;INT(($N$12+1)/12),"Cargá el % de este ajuste en la columna F"),"")))</f>
      </c>
      <c r="J38">
        <f>IF($N$5=1,$N$7+10*$N$8,"")</f>
      </c>
      <c r="K38">
        <f>IF($N$5=1,J38-1-$N$9,"")</f>
      </c>
      <c r="L38">
        <f>IF($N$5=1,K38-$N$8,"")</f>
      </c>
    </row>
    <row r="39" spans="1:12" x14ac:dyDescent="0.25">
      <c r="A39" s="34">
        <f>IF(AND($N$5=1,11&lt;=$N$11),"11° ajuste","")</f>
      </c>
      <c r="B39" s="34">
        <f>IF(AND($N$5=1,11&lt;=$N$11),INDEX(IPC!$J$5:$J$16,MOD(J39,12)+1)&amp;" de "&amp;INT((J39)/12),"")</f>
      </c>
      <c r="C39" s="34">
        <f>IF(AND(AND($N$5=1,11&lt;=$N$11),$N$10=1),INDEX(IPC!$J$5:$J$16,MOD(L39,12)+1)&amp;" de "&amp;INT((L39)/12),"")</f>
      </c>
      <c r="D39" s="34">
        <f>IF(AND(AND($N$5=1,11&lt;=$N$11),$N$10=1),INDEX(IPC!$J$5:$J$16,MOD(K39,12)+1)&amp;" de "&amp;INT((K39)/12),"")</f>
      </c>
      <c r="E39" s="35">
        <f>IF(NOT(AND($N$5=1,11&lt;=$N$11)),"",IF($N$10=1,IF(AND($N$14=1,K39&lt;=$N$12),INDEX(IPC!$D$5:$D$173,(K39)-IPC!$J$2+1)/INDEX(IPC!$D$5:$D$173,(L39)-IPC!$J$2+1)-1,""),IF(ISNUMBER(F39),F39/100,"")))</f>
      </c>
      <c r="F39" s="36"/>
      <c r="G39" s="37">
        <f>IF(AND(AND($N$5=1,11&lt;=$N$11),ISNUMBER(G38),ISNUMBER(E39)),G38*(1+E39),"")</f>
      </c>
      <c r="H39" s="34">
        <f>IF(NOT(AND($N$5=1,11&lt;=$N$11)),"",IF(ISNUMBER(G39),"Aplicado",IF(ISNUMBER(G38),IF($N$10=1,"Falta el IPC de "&amp;INDEX(IPC!$J$5:$J$16,MOD($N$12+1,12)+1)&amp;" de "&amp;INT(($N$12+1)/12),"Cargá el % de este ajuste en la columna F"),"")))</f>
      </c>
      <c r="J39">
        <f>IF($N$5=1,$N$7+11*$N$8,"")</f>
      </c>
      <c r="K39">
        <f>IF($N$5=1,J39-1-$N$9,"")</f>
      </c>
      <c r="L39">
        <f>IF($N$5=1,K39-$N$8,"")</f>
      </c>
    </row>
    <row r="40" spans="1:12" x14ac:dyDescent="0.25">
      <c r="A40" s="31">
        <f>IF(AND($N$5=1,12&lt;=$N$11),"12° ajuste","")</f>
      </c>
      <c r="B40" s="31">
        <f>IF(AND($N$5=1,12&lt;=$N$11),INDEX(IPC!$J$5:$J$16,MOD(J40,12)+1)&amp;" de "&amp;INT((J40)/12),"")</f>
      </c>
      <c r="C40" s="31">
        <f>IF(AND(AND($N$5=1,12&lt;=$N$11),$N$10=1),INDEX(IPC!$J$5:$J$16,MOD(L40,12)+1)&amp;" de "&amp;INT((L40)/12),"")</f>
      </c>
      <c r="D40" s="31">
        <f>IF(AND(AND($N$5=1,12&lt;=$N$11),$N$10=1),INDEX(IPC!$J$5:$J$16,MOD(K40,12)+1)&amp;" de "&amp;INT((K40)/12),"")</f>
      </c>
      <c r="E40" s="38">
        <f>IF(NOT(AND($N$5=1,12&lt;=$N$11)),"",IF($N$10=1,IF(AND($N$14=1,K40&lt;=$N$12),INDEX(IPC!$D$5:$D$173,(K40)-IPC!$J$2+1)/INDEX(IPC!$D$5:$D$173,(L40)-IPC!$J$2+1)-1,""),IF(ISNUMBER(F40),F40/100,"")))</f>
      </c>
      <c r="F40" s="36"/>
      <c r="G40" s="33">
        <f>IF(AND(AND($N$5=1,12&lt;=$N$11),ISNUMBER(G39),ISNUMBER(E40)),G39*(1+E40),"")</f>
      </c>
      <c r="H40" s="31">
        <f>IF(NOT(AND($N$5=1,12&lt;=$N$11)),"",IF(ISNUMBER(G40),"Aplicado",IF(ISNUMBER(G39),IF($N$10=1,"Falta el IPC de "&amp;INDEX(IPC!$J$5:$J$16,MOD($N$12+1,12)+1)&amp;" de "&amp;INT(($N$12+1)/12),"Cargá el % de este ajuste en la columna F"),"")))</f>
      </c>
      <c r="J40">
        <f>IF($N$5=1,$N$7+12*$N$8,"")</f>
      </c>
      <c r="K40">
        <f>IF($N$5=1,J40-1-$N$9,"")</f>
      </c>
      <c r="L40">
        <f>IF($N$5=1,K40-$N$8,"")</f>
      </c>
    </row>
    <row r="41" spans="1:12" x14ac:dyDescent="0.25">
      <c r="A41" s="34">
        <f>IF(AND($N$5=1,13&lt;=$N$11),"13° ajuste","")</f>
      </c>
      <c r="B41" s="34">
        <f>IF(AND($N$5=1,13&lt;=$N$11),INDEX(IPC!$J$5:$J$16,MOD(J41,12)+1)&amp;" de "&amp;INT((J41)/12),"")</f>
      </c>
      <c r="C41" s="34">
        <f>IF(AND(AND($N$5=1,13&lt;=$N$11),$N$10=1),INDEX(IPC!$J$5:$J$16,MOD(L41,12)+1)&amp;" de "&amp;INT((L41)/12),"")</f>
      </c>
      <c r="D41" s="34">
        <f>IF(AND(AND($N$5=1,13&lt;=$N$11),$N$10=1),INDEX(IPC!$J$5:$J$16,MOD(K41,12)+1)&amp;" de "&amp;INT((K41)/12),"")</f>
      </c>
      <c r="E41" s="35">
        <f>IF(NOT(AND($N$5=1,13&lt;=$N$11)),"",IF($N$10=1,IF(AND($N$14=1,K41&lt;=$N$12),INDEX(IPC!$D$5:$D$173,(K41)-IPC!$J$2+1)/INDEX(IPC!$D$5:$D$173,(L41)-IPC!$J$2+1)-1,""),IF(ISNUMBER(F41),F41/100,"")))</f>
      </c>
      <c r="F41" s="36"/>
      <c r="G41" s="37">
        <f>IF(AND(AND($N$5=1,13&lt;=$N$11),ISNUMBER(G40),ISNUMBER(E41)),G40*(1+E41),"")</f>
      </c>
      <c r="H41" s="34">
        <f>IF(NOT(AND($N$5=1,13&lt;=$N$11)),"",IF(ISNUMBER(G41),"Aplicado",IF(ISNUMBER(G40),IF($N$10=1,"Falta el IPC de "&amp;INDEX(IPC!$J$5:$J$16,MOD($N$12+1,12)+1)&amp;" de "&amp;INT(($N$12+1)/12),"Cargá el % de este ajuste en la columna F"),"")))</f>
      </c>
      <c r="J41">
        <f>IF($N$5=1,$N$7+13*$N$8,"")</f>
      </c>
      <c r="K41">
        <f>IF($N$5=1,J41-1-$N$9,"")</f>
      </c>
      <c r="L41">
        <f>IF($N$5=1,K41-$N$8,"")</f>
      </c>
    </row>
    <row r="42" spans="1:12" x14ac:dyDescent="0.25">
      <c r="A42" s="31">
        <f>IF(AND($N$5=1,14&lt;=$N$11),"14° ajuste","")</f>
      </c>
      <c r="B42" s="31">
        <f>IF(AND($N$5=1,14&lt;=$N$11),INDEX(IPC!$J$5:$J$16,MOD(J42,12)+1)&amp;" de "&amp;INT((J42)/12),"")</f>
      </c>
      <c r="C42" s="31">
        <f>IF(AND(AND($N$5=1,14&lt;=$N$11),$N$10=1),INDEX(IPC!$J$5:$J$16,MOD(L42,12)+1)&amp;" de "&amp;INT((L42)/12),"")</f>
      </c>
      <c r="D42" s="31">
        <f>IF(AND(AND($N$5=1,14&lt;=$N$11),$N$10=1),INDEX(IPC!$J$5:$J$16,MOD(K42,12)+1)&amp;" de "&amp;INT((K42)/12),"")</f>
      </c>
      <c r="E42" s="38">
        <f>IF(NOT(AND($N$5=1,14&lt;=$N$11)),"",IF($N$10=1,IF(AND($N$14=1,K42&lt;=$N$12),INDEX(IPC!$D$5:$D$173,(K42)-IPC!$J$2+1)/INDEX(IPC!$D$5:$D$173,(L42)-IPC!$J$2+1)-1,""),IF(ISNUMBER(F42),F42/100,"")))</f>
      </c>
      <c r="F42" s="36"/>
      <c r="G42" s="33">
        <f>IF(AND(AND($N$5=1,14&lt;=$N$11),ISNUMBER(G41),ISNUMBER(E42)),G41*(1+E42),"")</f>
      </c>
      <c r="H42" s="31">
        <f>IF(NOT(AND($N$5=1,14&lt;=$N$11)),"",IF(ISNUMBER(G42),"Aplicado",IF(ISNUMBER(G41),IF($N$10=1,"Falta el IPC de "&amp;INDEX(IPC!$J$5:$J$16,MOD($N$12+1,12)+1)&amp;" de "&amp;INT(($N$12+1)/12),"Cargá el % de este ajuste en la columna F"),"")))</f>
      </c>
      <c r="J42">
        <f>IF($N$5=1,$N$7+14*$N$8,"")</f>
      </c>
      <c r="K42">
        <f>IF($N$5=1,J42-1-$N$9,"")</f>
      </c>
      <c r="L42">
        <f>IF($N$5=1,K42-$N$8,"")</f>
      </c>
    </row>
    <row r="43" spans="1:12" x14ac:dyDescent="0.25">
      <c r="A43" s="34">
        <f>IF(AND($N$5=1,15&lt;=$N$11),"15° ajuste","")</f>
      </c>
      <c r="B43" s="34">
        <f>IF(AND($N$5=1,15&lt;=$N$11),INDEX(IPC!$J$5:$J$16,MOD(J43,12)+1)&amp;" de "&amp;INT((J43)/12),"")</f>
      </c>
      <c r="C43" s="34">
        <f>IF(AND(AND($N$5=1,15&lt;=$N$11),$N$10=1),INDEX(IPC!$J$5:$J$16,MOD(L43,12)+1)&amp;" de "&amp;INT((L43)/12),"")</f>
      </c>
      <c r="D43" s="34">
        <f>IF(AND(AND($N$5=1,15&lt;=$N$11),$N$10=1),INDEX(IPC!$J$5:$J$16,MOD(K43,12)+1)&amp;" de "&amp;INT((K43)/12),"")</f>
      </c>
      <c r="E43" s="35">
        <f>IF(NOT(AND($N$5=1,15&lt;=$N$11)),"",IF($N$10=1,IF(AND($N$14=1,K43&lt;=$N$12),INDEX(IPC!$D$5:$D$173,(K43)-IPC!$J$2+1)/INDEX(IPC!$D$5:$D$173,(L43)-IPC!$J$2+1)-1,""),IF(ISNUMBER(F43),F43/100,"")))</f>
      </c>
      <c r="F43" s="36"/>
      <c r="G43" s="37">
        <f>IF(AND(AND($N$5=1,15&lt;=$N$11),ISNUMBER(G42),ISNUMBER(E43)),G42*(1+E43),"")</f>
      </c>
      <c r="H43" s="34">
        <f>IF(NOT(AND($N$5=1,15&lt;=$N$11)),"",IF(ISNUMBER(G43),"Aplicado",IF(ISNUMBER(G42),IF($N$10=1,"Falta el IPC de "&amp;INDEX(IPC!$J$5:$J$16,MOD($N$12+1,12)+1)&amp;" de "&amp;INT(($N$12+1)/12),"Cargá el % de este ajuste en la columna F"),"")))</f>
      </c>
      <c r="J43">
        <f>IF($N$5=1,$N$7+15*$N$8,"")</f>
      </c>
      <c r="K43">
        <f>IF($N$5=1,J43-1-$N$9,"")</f>
      </c>
      <c r="L43">
        <f>IF($N$5=1,K43-$N$8,"")</f>
      </c>
    </row>
    <row r="44" spans="1:12" x14ac:dyDescent="0.25">
      <c r="A44" s="31">
        <f>IF(AND($N$5=1,16&lt;=$N$11),"16° ajuste","")</f>
      </c>
      <c r="B44" s="31">
        <f>IF(AND($N$5=1,16&lt;=$N$11),INDEX(IPC!$J$5:$J$16,MOD(J44,12)+1)&amp;" de "&amp;INT((J44)/12),"")</f>
      </c>
      <c r="C44" s="31">
        <f>IF(AND(AND($N$5=1,16&lt;=$N$11),$N$10=1),INDEX(IPC!$J$5:$J$16,MOD(L44,12)+1)&amp;" de "&amp;INT((L44)/12),"")</f>
      </c>
      <c r="D44" s="31">
        <f>IF(AND(AND($N$5=1,16&lt;=$N$11),$N$10=1),INDEX(IPC!$J$5:$J$16,MOD(K44,12)+1)&amp;" de "&amp;INT((K44)/12),"")</f>
      </c>
      <c r="E44" s="38">
        <f>IF(NOT(AND($N$5=1,16&lt;=$N$11)),"",IF($N$10=1,IF(AND($N$14=1,K44&lt;=$N$12),INDEX(IPC!$D$5:$D$173,(K44)-IPC!$J$2+1)/INDEX(IPC!$D$5:$D$173,(L44)-IPC!$J$2+1)-1,""),IF(ISNUMBER(F44),F44/100,"")))</f>
      </c>
      <c r="F44" s="36"/>
      <c r="G44" s="33">
        <f>IF(AND(AND($N$5=1,16&lt;=$N$11),ISNUMBER(G43),ISNUMBER(E44)),G43*(1+E44),"")</f>
      </c>
      <c r="H44" s="31">
        <f>IF(NOT(AND($N$5=1,16&lt;=$N$11)),"",IF(ISNUMBER(G44),"Aplicado",IF(ISNUMBER(G43),IF($N$10=1,"Falta el IPC de "&amp;INDEX(IPC!$J$5:$J$16,MOD($N$12+1,12)+1)&amp;" de "&amp;INT(($N$12+1)/12),"Cargá el % de este ajuste en la columna F"),"")))</f>
      </c>
      <c r="J44">
        <f>IF($N$5=1,$N$7+16*$N$8,"")</f>
      </c>
      <c r="K44">
        <f>IF($N$5=1,J44-1-$N$9,"")</f>
      </c>
      <c r="L44">
        <f>IF($N$5=1,K44-$N$8,"")</f>
      </c>
    </row>
    <row r="45" spans="1:12" x14ac:dyDescent="0.25">
      <c r="A45" s="34">
        <f>IF(AND($N$5=1,17&lt;=$N$11),"17° ajuste","")</f>
      </c>
      <c r="B45" s="34">
        <f>IF(AND($N$5=1,17&lt;=$N$11),INDEX(IPC!$J$5:$J$16,MOD(J45,12)+1)&amp;" de "&amp;INT((J45)/12),"")</f>
      </c>
      <c r="C45" s="34">
        <f>IF(AND(AND($N$5=1,17&lt;=$N$11),$N$10=1),INDEX(IPC!$J$5:$J$16,MOD(L45,12)+1)&amp;" de "&amp;INT((L45)/12),"")</f>
      </c>
      <c r="D45" s="34">
        <f>IF(AND(AND($N$5=1,17&lt;=$N$11),$N$10=1),INDEX(IPC!$J$5:$J$16,MOD(K45,12)+1)&amp;" de "&amp;INT((K45)/12),"")</f>
      </c>
      <c r="E45" s="35">
        <f>IF(NOT(AND($N$5=1,17&lt;=$N$11)),"",IF($N$10=1,IF(AND($N$14=1,K45&lt;=$N$12),INDEX(IPC!$D$5:$D$173,(K45)-IPC!$J$2+1)/INDEX(IPC!$D$5:$D$173,(L45)-IPC!$J$2+1)-1,""),IF(ISNUMBER(F45),F45/100,"")))</f>
      </c>
      <c r="F45" s="36"/>
      <c r="G45" s="37">
        <f>IF(AND(AND($N$5=1,17&lt;=$N$11),ISNUMBER(G44),ISNUMBER(E45)),G44*(1+E45),"")</f>
      </c>
      <c r="H45" s="34">
        <f>IF(NOT(AND($N$5=1,17&lt;=$N$11)),"",IF(ISNUMBER(G45),"Aplicado",IF(ISNUMBER(G44),IF($N$10=1,"Falta el IPC de "&amp;INDEX(IPC!$J$5:$J$16,MOD($N$12+1,12)+1)&amp;" de "&amp;INT(($N$12+1)/12),"Cargá el % de este ajuste en la columna F"),"")))</f>
      </c>
      <c r="J45">
        <f>IF($N$5=1,$N$7+17*$N$8,"")</f>
      </c>
      <c r="K45">
        <f>IF($N$5=1,J45-1-$N$9,"")</f>
      </c>
      <c r="L45">
        <f>IF($N$5=1,K45-$N$8,"")</f>
      </c>
    </row>
    <row r="46" spans="1:12" x14ac:dyDescent="0.25">
      <c r="A46" s="31">
        <f>IF(AND($N$5=1,18&lt;=$N$11),"18° ajuste","")</f>
      </c>
      <c r="B46" s="31">
        <f>IF(AND($N$5=1,18&lt;=$N$11),INDEX(IPC!$J$5:$J$16,MOD(J46,12)+1)&amp;" de "&amp;INT((J46)/12),"")</f>
      </c>
      <c r="C46" s="31">
        <f>IF(AND(AND($N$5=1,18&lt;=$N$11),$N$10=1),INDEX(IPC!$J$5:$J$16,MOD(L46,12)+1)&amp;" de "&amp;INT((L46)/12),"")</f>
      </c>
      <c r="D46" s="31">
        <f>IF(AND(AND($N$5=1,18&lt;=$N$11),$N$10=1),INDEX(IPC!$J$5:$J$16,MOD(K46,12)+1)&amp;" de "&amp;INT((K46)/12),"")</f>
      </c>
      <c r="E46" s="38">
        <f>IF(NOT(AND($N$5=1,18&lt;=$N$11)),"",IF($N$10=1,IF(AND($N$14=1,K46&lt;=$N$12),INDEX(IPC!$D$5:$D$173,(K46)-IPC!$J$2+1)/INDEX(IPC!$D$5:$D$173,(L46)-IPC!$J$2+1)-1,""),IF(ISNUMBER(F46),F46/100,"")))</f>
      </c>
      <c r="F46" s="36"/>
      <c r="G46" s="33">
        <f>IF(AND(AND($N$5=1,18&lt;=$N$11),ISNUMBER(G45),ISNUMBER(E46)),G45*(1+E46),"")</f>
      </c>
      <c r="H46" s="31">
        <f>IF(NOT(AND($N$5=1,18&lt;=$N$11)),"",IF(ISNUMBER(G46),"Aplicado",IF(ISNUMBER(G45),IF($N$10=1,"Falta el IPC de "&amp;INDEX(IPC!$J$5:$J$16,MOD($N$12+1,12)+1)&amp;" de "&amp;INT(($N$12+1)/12),"Cargá el % de este ajuste en la columna F"),"")))</f>
      </c>
      <c r="J46">
        <f>IF($N$5=1,$N$7+18*$N$8,"")</f>
      </c>
      <c r="K46">
        <f>IF($N$5=1,J46-1-$N$9,"")</f>
      </c>
      <c r="L46">
        <f>IF($N$5=1,K46-$N$8,"")</f>
      </c>
    </row>
    <row r="47" spans="1:12" x14ac:dyDescent="0.25">
      <c r="A47" s="34">
        <f>IF(AND($N$5=1,19&lt;=$N$11),"19° ajuste","")</f>
      </c>
      <c r="B47" s="34">
        <f>IF(AND($N$5=1,19&lt;=$N$11),INDEX(IPC!$J$5:$J$16,MOD(J47,12)+1)&amp;" de "&amp;INT((J47)/12),"")</f>
      </c>
      <c r="C47" s="34">
        <f>IF(AND(AND($N$5=1,19&lt;=$N$11),$N$10=1),INDEX(IPC!$J$5:$J$16,MOD(L47,12)+1)&amp;" de "&amp;INT((L47)/12),"")</f>
      </c>
      <c r="D47" s="34">
        <f>IF(AND(AND($N$5=1,19&lt;=$N$11),$N$10=1),INDEX(IPC!$J$5:$J$16,MOD(K47,12)+1)&amp;" de "&amp;INT((K47)/12),"")</f>
      </c>
      <c r="E47" s="35">
        <f>IF(NOT(AND($N$5=1,19&lt;=$N$11)),"",IF($N$10=1,IF(AND($N$14=1,K47&lt;=$N$12),INDEX(IPC!$D$5:$D$173,(K47)-IPC!$J$2+1)/INDEX(IPC!$D$5:$D$173,(L47)-IPC!$J$2+1)-1,""),IF(ISNUMBER(F47),F47/100,"")))</f>
      </c>
      <c r="F47" s="36"/>
      <c r="G47" s="37">
        <f>IF(AND(AND($N$5=1,19&lt;=$N$11),ISNUMBER(G46),ISNUMBER(E47)),G46*(1+E47),"")</f>
      </c>
      <c r="H47" s="34">
        <f>IF(NOT(AND($N$5=1,19&lt;=$N$11)),"",IF(ISNUMBER(G47),"Aplicado",IF(ISNUMBER(G46),IF($N$10=1,"Falta el IPC de "&amp;INDEX(IPC!$J$5:$J$16,MOD($N$12+1,12)+1)&amp;" de "&amp;INT(($N$12+1)/12),"Cargá el % de este ajuste en la columna F"),"")))</f>
      </c>
      <c r="J47">
        <f>IF($N$5=1,$N$7+19*$N$8,"")</f>
      </c>
      <c r="K47">
        <f>IF($N$5=1,J47-1-$N$9,"")</f>
      </c>
      <c r="L47">
        <f>IF($N$5=1,K47-$N$8,"")</f>
      </c>
    </row>
    <row r="48" spans="1:12" x14ac:dyDescent="0.25">
      <c r="A48" s="31">
        <f>IF(AND($N$5=1,20&lt;=$N$11),"20° ajuste","")</f>
      </c>
      <c r="B48" s="31">
        <f>IF(AND($N$5=1,20&lt;=$N$11),INDEX(IPC!$J$5:$J$16,MOD(J48,12)+1)&amp;" de "&amp;INT((J48)/12),"")</f>
      </c>
      <c r="C48" s="31">
        <f>IF(AND(AND($N$5=1,20&lt;=$N$11),$N$10=1),INDEX(IPC!$J$5:$J$16,MOD(L48,12)+1)&amp;" de "&amp;INT((L48)/12),"")</f>
      </c>
      <c r="D48" s="31">
        <f>IF(AND(AND($N$5=1,20&lt;=$N$11),$N$10=1),INDEX(IPC!$J$5:$J$16,MOD(K48,12)+1)&amp;" de "&amp;INT((K48)/12),"")</f>
      </c>
      <c r="E48" s="38">
        <f>IF(NOT(AND($N$5=1,20&lt;=$N$11)),"",IF($N$10=1,IF(AND($N$14=1,K48&lt;=$N$12),INDEX(IPC!$D$5:$D$173,(K48)-IPC!$J$2+1)/INDEX(IPC!$D$5:$D$173,(L48)-IPC!$J$2+1)-1,""),IF(ISNUMBER(F48),F48/100,"")))</f>
      </c>
      <c r="F48" s="36"/>
      <c r="G48" s="33">
        <f>IF(AND(AND($N$5=1,20&lt;=$N$11),ISNUMBER(G47),ISNUMBER(E48)),G47*(1+E48),"")</f>
      </c>
      <c r="H48" s="31">
        <f>IF(NOT(AND($N$5=1,20&lt;=$N$11)),"",IF(ISNUMBER(G48),"Aplicado",IF(ISNUMBER(G47),IF($N$10=1,"Falta el IPC de "&amp;INDEX(IPC!$J$5:$J$16,MOD($N$12+1,12)+1)&amp;" de "&amp;INT(($N$12+1)/12),"Cargá el % de este ajuste en la columna F"),"")))</f>
      </c>
      <c r="J48">
        <f>IF($N$5=1,$N$7+20*$N$8,"")</f>
      </c>
      <c r="K48">
        <f>IF($N$5=1,J48-1-$N$9,"")</f>
      </c>
      <c r="L48">
        <f>IF($N$5=1,K48-$N$8,"")</f>
      </c>
    </row>
    <row r="49" spans="1:12" x14ac:dyDescent="0.25">
      <c r="A49" s="34">
        <f>IF(AND($N$5=1,21&lt;=$N$11),"21° ajuste","")</f>
      </c>
      <c r="B49" s="34">
        <f>IF(AND($N$5=1,21&lt;=$N$11),INDEX(IPC!$J$5:$J$16,MOD(J49,12)+1)&amp;" de "&amp;INT((J49)/12),"")</f>
      </c>
      <c r="C49" s="34">
        <f>IF(AND(AND($N$5=1,21&lt;=$N$11),$N$10=1),INDEX(IPC!$J$5:$J$16,MOD(L49,12)+1)&amp;" de "&amp;INT((L49)/12),"")</f>
      </c>
      <c r="D49" s="34">
        <f>IF(AND(AND($N$5=1,21&lt;=$N$11),$N$10=1),INDEX(IPC!$J$5:$J$16,MOD(K49,12)+1)&amp;" de "&amp;INT((K49)/12),"")</f>
      </c>
      <c r="E49" s="35">
        <f>IF(NOT(AND($N$5=1,21&lt;=$N$11)),"",IF($N$10=1,IF(AND($N$14=1,K49&lt;=$N$12),INDEX(IPC!$D$5:$D$173,(K49)-IPC!$J$2+1)/INDEX(IPC!$D$5:$D$173,(L49)-IPC!$J$2+1)-1,""),IF(ISNUMBER(F49),F49/100,"")))</f>
      </c>
      <c r="F49" s="36"/>
      <c r="G49" s="37">
        <f>IF(AND(AND($N$5=1,21&lt;=$N$11),ISNUMBER(G48),ISNUMBER(E49)),G48*(1+E49),"")</f>
      </c>
      <c r="H49" s="34">
        <f>IF(NOT(AND($N$5=1,21&lt;=$N$11)),"",IF(ISNUMBER(G49),"Aplicado",IF(ISNUMBER(G48),IF($N$10=1,"Falta el IPC de "&amp;INDEX(IPC!$J$5:$J$16,MOD($N$12+1,12)+1)&amp;" de "&amp;INT(($N$12+1)/12),"Cargá el % de este ajuste en la columna F"),"")))</f>
      </c>
      <c r="J49">
        <f>IF($N$5=1,$N$7+21*$N$8,"")</f>
      </c>
      <c r="K49">
        <f>IF($N$5=1,J49-1-$N$9,"")</f>
      </c>
      <c r="L49">
        <f>IF($N$5=1,K49-$N$8,"")</f>
      </c>
    </row>
    <row r="50" spans="1:12" x14ac:dyDescent="0.25">
      <c r="A50" s="31">
        <f>IF(AND($N$5=1,22&lt;=$N$11),"22° ajuste","")</f>
      </c>
      <c r="B50" s="31">
        <f>IF(AND($N$5=1,22&lt;=$N$11),INDEX(IPC!$J$5:$J$16,MOD(J50,12)+1)&amp;" de "&amp;INT((J50)/12),"")</f>
      </c>
      <c r="C50" s="31">
        <f>IF(AND(AND($N$5=1,22&lt;=$N$11),$N$10=1),INDEX(IPC!$J$5:$J$16,MOD(L50,12)+1)&amp;" de "&amp;INT((L50)/12),"")</f>
      </c>
      <c r="D50" s="31">
        <f>IF(AND(AND($N$5=1,22&lt;=$N$11),$N$10=1),INDEX(IPC!$J$5:$J$16,MOD(K50,12)+1)&amp;" de "&amp;INT((K50)/12),"")</f>
      </c>
      <c r="E50" s="38">
        <f>IF(NOT(AND($N$5=1,22&lt;=$N$11)),"",IF($N$10=1,IF(AND($N$14=1,K50&lt;=$N$12),INDEX(IPC!$D$5:$D$173,(K50)-IPC!$J$2+1)/INDEX(IPC!$D$5:$D$173,(L50)-IPC!$J$2+1)-1,""),IF(ISNUMBER(F50),F50/100,"")))</f>
      </c>
      <c r="F50" s="36"/>
      <c r="G50" s="33">
        <f>IF(AND(AND($N$5=1,22&lt;=$N$11),ISNUMBER(G49),ISNUMBER(E50)),G49*(1+E50),"")</f>
      </c>
      <c r="H50" s="31">
        <f>IF(NOT(AND($N$5=1,22&lt;=$N$11)),"",IF(ISNUMBER(G50),"Aplicado",IF(ISNUMBER(G49),IF($N$10=1,"Falta el IPC de "&amp;INDEX(IPC!$J$5:$J$16,MOD($N$12+1,12)+1)&amp;" de "&amp;INT(($N$12+1)/12),"Cargá el % de este ajuste en la columna F"),"")))</f>
      </c>
      <c r="J50">
        <f>IF($N$5=1,$N$7+22*$N$8,"")</f>
      </c>
      <c r="K50">
        <f>IF($N$5=1,J50-1-$N$9,"")</f>
      </c>
      <c r="L50">
        <f>IF($N$5=1,K50-$N$8,"")</f>
      </c>
    </row>
    <row r="51" spans="1:12" x14ac:dyDescent="0.25">
      <c r="A51" s="34">
        <f>IF(AND($N$5=1,23&lt;=$N$11),"23° ajuste","")</f>
      </c>
      <c r="B51" s="34">
        <f>IF(AND($N$5=1,23&lt;=$N$11),INDEX(IPC!$J$5:$J$16,MOD(J51,12)+1)&amp;" de "&amp;INT((J51)/12),"")</f>
      </c>
      <c r="C51" s="34">
        <f>IF(AND(AND($N$5=1,23&lt;=$N$11),$N$10=1),INDEX(IPC!$J$5:$J$16,MOD(L51,12)+1)&amp;" de "&amp;INT((L51)/12),"")</f>
      </c>
      <c r="D51" s="34">
        <f>IF(AND(AND($N$5=1,23&lt;=$N$11),$N$10=1),INDEX(IPC!$J$5:$J$16,MOD(K51,12)+1)&amp;" de "&amp;INT((K51)/12),"")</f>
      </c>
      <c r="E51" s="35">
        <f>IF(NOT(AND($N$5=1,23&lt;=$N$11)),"",IF($N$10=1,IF(AND($N$14=1,K51&lt;=$N$12),INDEX(IPC!$D$5:$D$173,(K51)-IPC!$J$2+1)/INDEX(IPC!$D$5:$D$173,(L51)-IPC!$J$2+1)-1,""),IF(ISNUMBER(F51),F51/100,"")))</f>
      </c>
      <c r="F51" s="36"/>
      <c r="G51" s="37">
        <f>IF(AND(AND($N$5=1,23&lt;=$N$11),ISNUMBER(G50),ISNUMBER(E51)),G50*(1+E51),"")</f>
      </c>
      <c r="H51" s="34">
        <f>IF(NOT(AND($N$5=1,23&lt;=$N$11)),"",IF(ISNUMBER(G51),"Aplicado",IF(ISNUMBER(G50),IF($N$10=1,"Falta el IPC de "&amp;INDEX(IPC!$J$5:$J$16,MOD($N$12+1,12)+1)&amp;" de "&amp;INT(($N$12+1)/12),"Cargá el % de este ajuste en la columna F"),"")))</f>
      </c>
      <c r="J51">
        <f>IF($N$5=1,$N$7+23*$N$8,"")</f>
      </c>
      <c r="K51">
        <f>IF($N$5=1,J51-1-$N$9,"")</f>
      </c>
      <c r="L51">
        <f>IF($N$5=1,K51-$N$8,"")</f>
      </c>
    </row>
    <row r="52" spans="1:12" x14ac:dyDescent="0.25">
      <c r="A52" s="31">
        <f>IF(AND($N$5=1,24&lt;=$N$11),"24° ajuste","")</f>
      </c>
      <c r="B52" s="31">
        <f>IF(AND($N$5=1,24&lt;=$N$11),INDEX(IPC!$J$5:$J$16,MOD(J52,12)+1)&amp;" de "&amp;INT((J52)/12),"")</f>
      </c>
      <c r="C52" s="31">
        <f>IF(AND(AND($N$5=1,24&lt;=$N$11),$N$10=1),INDEX(IPC!$J$5:$J$16,MOD(L52,12)+1)&amp;" de "&amp;INT((L52)/12),"")</f>
      </c>
      <c r="D52" s="31">
        <f>IF(AND(AND($N$5=1,24&lt;=$N$11),$N$10=1),INDEX(IPC!$J$5:$J$16,MOD(K52,12)+1)&amp;" de "&amp;INT((K52)/12),"")</f>
      </c>
      <c r="E52" s="38">
        <f>IF(NOT(AND($N$5=1,24&lt;=$N$11)),"",IF($N$10=1,IF(AND($N$14=1,K52&lt;=$N$12),INDEX(IPC!$D$5:$D$173,(K52)-IPC!$J$2+1)/INDEX(IPC!$D$5:$D$173,(L52)-IPC!$J$2+1)-1,""),IF(ISNUMBER(F52),F52/100,"")))</f>
      </c>
      <c r="F52" s="36"/>
      <c r="G52" s="33">
        <f>IF(AND(AND($N$5=1,24&lt;=$N$11),ISNUMBER(G51),ISNUMBER(E52)),G51*(1+E52),"")</f>
      </c>
      <c r="H52" s="31">
        <f>IF(NOT(AND($N$5=1,24&lt;=$N$11)),"",IF(ISNUMBER(G52),"Aplicado",IF(ISNUMBER(G51),IF($N$10=1,"Falta el IPC de "&amp;INDEX(IPC!$J$5:$J$16,MOD($N$12+1,12)+1)&amp;" de "&amp;INT(($N$12+1)/12),"Cargá el % de este ajuste en la columna F"),"")))</f>
      </c>
      <c r="J52">
        <f>IF($N$5=1,$N$7+24*$N$8,"")</f>
      </c>
      <c r="K52">
        <f>IF($N$5=1,J52-1-$N$9,"")</f>
      </c>
      <c r="L52">
        <f>IF($N$5=1,K52-$N$8,"")</f>
      </c>
    </row>
    <row r="53" spans="1:12" x14ac:dyDescent="0.25">
      <c r="A53" s="34">
        <f>IF(AND($N$5=1,25&lt;=$N$11),"25° ajuste","")</f>
      </c>
      <c r="B53" s="34">
        <f>IF(AND($N$5=1,25&lt;=$N$11),INDEX(IPC!$J$5:$J$16,MOD(J53,12)+1)&amp;" de "&amp;INT((J53)/12),"")</f>
      </c>
      <c r="C53" s="34">
        <f>IF(AND(AND($N$5=1,25&lt;=$N$11),$N$10=1),INDEX(IPC!$J$5:$J$16,MOD(L53,12)+1)&amp;" de "&amp;INT((L53)/12),"")</f>
      </c>
      <c r="D53" s="34">
        <f>IF(AND(AND($N$5=1,25&lt;=$N$11),$N$10=1),INDEX(IPC!$J$5:$J$16,MOD(K53,12)+1)&amp;" de "&amp;INT((K53)/12),"")</f>
      </c>
      <c r="E53" s="35">
        <f>IF(NOT(AND($N$5=1,25&lt;=$N$11)),"",IF($N$10=1,IF(AND($N$14=1,K53&lt;=$N$12),INDEX(IPC!$D$5:$D$173,(K53)-IPC!$J$2+1)/INDEX(IPC!$D$5:$D$173,(L53)-IPC!$J$2+1)-1,""),IF(ISNUMBER(F53),F53/100,"")))</f>
      </c>
      <c r="F53" s="36"/>
      <c r="G53" s="37">
        <f>IF(AND(AND($N$5=1,25&lt;=$N$11),ISNUMBER(G52),ISNUMBER(E53)),G52*(1+E53),"")</f>
      </c>
      <c r="H53" s="34">
        <f>IF(NOT(AND($N$5=1,25&lt;=$N$11)),"",IF(ISNUMBER(G53),"Aplicado",IF(ISNUMBER(G52),IF($N$10=1,"Falta el IPC de "&amp;INDEX(IPC!$J$5:$J$16,MOD($N$12+1,12)+1)&amp;" de "&amp;INT(($N$12+1)/12),"Cargá el % de este ajuste en la columna F"),"")))</f>
      </c>
      <c r="J53">
        <f>IF($N$5=1,$N$7+25*$N$8,"")</f>
      </c>
      <c r="K53">
        <f>IF($N$5=1,J53-1-$N$9,"")</f>
      </c>
      <c r="L53">
        <f>IF($N$5=1,K53-$N$8,"")</f>
      </c>
    </row>
    <row r="54" spans="1:12" x14ac:dyDescent="0.25">
      <c r="A54" s="31">
        <f>IF(AND($N$5=1,26&lt;=$N$11),"26° ajuste","")</f>
      </c>
      <c r="B54" s="31">
        <f>IF(AND($N$5=1,26&lt;=$N$11),INDEX(IPC!$J$5:$J$16,MOD(J54,12)+1)&amp;" de "&amp;INT((J54)/12),"")</f>
      </c>
      <c r="C54" s="31">
        <f>IF(AND(AND($N$5=1,26&lt;=$N$11),$N$10=1),INDEX(IPC!$J$5:$J$16,MOD(L54,12)+1)&amp;" de "&amp;INT((L54)/12),"")</f>
      </c>
      <c r="D54" s="31">
        <f>IF(AND(AND($N$5=1,26&lt;=$N$11),$N$10=1),INDEX(IPC!$J$5:$J$16,MOD(K54,12)+1)&amp;" de "&amp;INT((K54)/12),"")</f>
      </c>
      <c r="E54" s="38">
        <f>IF(NOT(AND($N$5=1,26&lt;=$N$11)),"",IF($N$10=1,IF(AND($N$14=1,K54&lt;=$N$12),INDEX(IPC!$D$5:$D$173,(K54)-IPC!$J$2+1)/INDEX(IPC!$D$5:$D$173,(L54)-IPC!$J$2+1)-1,""),IF(ISNUMBER(F54),F54/100,"")))</f>
      </c>
      <c r="F54" s="36"/>
      <c r="G54" s="33">
        <f>IF(AND(AND($N$5=1,26&lt;=$N$11),ISNUMBER(G53),ISNUMBER(E54)),G53*(1+E54),"")</f>
      </c>
      <c r="H54" s="31">
        <f>IF(NOT(AND($N$5=1,26&lt;=$N$11)),"",IF(ISNUMBER(G54),"Aplicado",IF(ISNUMBER(G53),IF($N$10=1,"Falta el IPC de "&amp;INDEX(IPC!$J$5:$J$16,MOD($N$12+1,12)+1)&amp;" de "&amp;INT(($N$12+1)/12),"Cargá el % de este ajuste en la columna F"),"")))</f>
      </c>
      <c r="J54">
        <f>IF($N$5=1,$N$7+26*$N$8,"")</f>
      </c>
      <c r="K54">
        <f>IF($N$5=1,J54-1-$N$9,"")</f>
      </c>
      <c r="L54">
        <f>IF($N$5=1,K54-$N$8,"")</f>
      </c>
    </row>
    <row r="55" spans="1:12" x14ac:dyDescent="0.25">
      <c r="A55" s="34">
        <f>IF(AND($N$5=1,27&lt;=$N$11),"27° ajuste","")</f>
      </c>
      <c r="B55" s="34">
        <f>IF(AND($N$5=1,27&lt;=$N$11),INDEX(IPC!$J$5:$J$16,MOD(J55,12)+1)&amp;" de "&amp;INT((J55)/12),"")</f>
      </c>
      <c r="C55" s="34">
        <f>IF(AND(AND($N$5=1,27&lt;=$N$11),$N$10=1),INDEX(IPC!$J$5:$J$16,MOD(L55,12)+1)&amp;" de "&amp;INT((L55)/12),"")</f>
      </c>
      <c r="D55" s="34">
        <f>IF(AND(AND($N$5=1,27&lt;=$N$11),$N$10=1),INDEX(IPC!$J$5:$J$16,MOD(K55,12)+1)&amp;" de "&amp;INT((K55)/12),"")</f>
      </c>
      <c r="E55" s="35">
        <f>IF(NOT(AND($N$5=1,27&lt;=$N$11)),"",IF($N$10=1,IF(AND($N$14=1,K55&lt;=$N$12),INDEX(IPC!$D$5:$D$173,(K55)-IPC!$J$2+1)/INDEX(IPC!$D$5:$D$173,(L55)-IPC!$J$2+1)-1,""),IF(ISNUMBER(F55),F55/100,"")))</f>
      </c>
      <c r="F55" s="36"/>
      <c r="G55" s="37">
        <f>IF(AND(AND($N$5=1,27&lt;=$N$11),ISNUMBER(G54),ISNUMBER(E55)),G54*(1+E55),"")</f>
      </c>
      <c r="H55" s="34">
        <f>IF(NOT(AND($N$5=1,27&lt;=$N$11)),"",IF(ISNUMBER(G55),"Aplicado",IF(ISNUMBER(G54),IF($N$10=1,"Falta el IPC de "&amp;INDEX(IPC!$J$5:$J$16,MOD($N$12+1,12)+1)&amp;" de "&amp;INT(($N$12+1)/12),"Cargá el % de este ajuste en la columna F"),"")))</f>
      </c>
      <c r="J55">
        <f>IF($N$5=1,$N$7+27*$N$8,"")</f>
      </c>
      <c r="K55">
        <f>IF($N$5=1,J55-1-$N$9,"")</f>
      </c>
      <c r="L55">
        <f>IF($N$5=1,K55-$N$8,"")</f>
      </c>
    </row>
    <row r="56" spans="1:12" x14ac:dyDescent="0.25">
      <c r="A56" s="31">
        <f>IF(AND($N$5=1,28&lt;=$N$11),"28° ajuste","")</f>
      </c>
      <c r="B56" s="31">
        <f>IF(AND($N$5=1,28&lt;=$N$11),INDEX(IPC!$J$5:$J$16,MOD(J56,12)+1)&amp;" de "&amp;INT((J56)/12),"")</f>
      </c>
      <c r="C56" s="31">
        <f>IF(AND(AND($N$5=1,28&lt;=$N$11),$N$10=1),INDEX(IPC!$J$5:$J$16,MOD(L56,12)+1)&amp;" de "&amp;INT((L56)/12),"")</f>
      </c>
      <c r="D56" s="31">
        <f>IF(AND(AND($N$5=1,28&lt;=$N$11),$N$10=1),INDEX(IPC!$J$5:$J$16,MOD(K56,12)+1)&amp;" de "&amp;INT((K56)/12),"")</f>
      </c>
      <c r="E56" s="38">
        <f>IF(NOT(AND($N$5=1,28&lt;=$N$11)),"",IF($N$10=1,IF(AND($N$14=1,K56&lt;=$N$12),INDEX(IPC!$D$5:$D$173,(K56)-IPC!$J$2+1)/INDEX(IPC!$D$5:$D$173,(L56)-IPC!$J$2+1)-1,""),IF(ISNUMBER(F56),F56/100,"")))</f>
      </c>
      <c r="F56" s="36"/>
      <c r="G56" s="33">
        <f>IF(AND(AND($N$5=1,28&lt;=$N$11),ISNUMBER(G55),ISNUMBER(E56)),G55*(1+E56),"")</f>
      </c>
      <c r="H56" s="31">
        <f>IF(NOT(AND($N$5=1,28&lt;=$N$11)),"",IF(ISNUMBER(G56),"Aplicado",IF(ISNUMBER(G55),IF($N$10=1,"Falta el IPC de "&amp;INDEX(IPC!$J$5:$J$16,MOD($N$12+1,12)+1)&amp;" de "&amp;INT(($N$12+1)/12),"Cargá el % de este ajuste en la columna F"),"")))</f>
      </c>
      <c r="J56">
        <f>IF($N$5=1,$N$7+28*$N$8,"")</f>
      </c>
      <c r="K56">
        <f>IF($N$5=1,J56-1-$N$9,"")</f>
      </c>
      <c r="L56">
        <f>IF($N$5=1,K56-$N$8,"")</f>
      </c>
    </row>
    <row r="57" spans="1:12" x14ac:dyDescent="0.25">
      <c r="A57" s="34">
        <f>IF(AND($N$5=1,29&lt;=$N$11),"29° ajuste","")</f>
      </c>
      <c r="B57" s="34">
        <f>IF(AND($N$5=1,29&lt;=$N$11),INDEX(IPC!$J$5:$J$16,MOD(J57,12)+1)&amp;" de "&amp;INT((J57)/12),"")</f>
      </c>
      <c r="C57" s="34">
        <f>IF(AND(AND($N$5=1,29&lt;=$N$11),$N$10=1),INDEX(IPC!$J$5:$J$16,MOD(L57,12)+1)&amp;" de "&amp;INT((L57)/12),"")</f>
      </c>
      <c r="D57" s="34">
        <f>IF(AND(AND($N$5=1,29&lt;=$N$11),$N$10=1),INDEX(IPC!$J$5:$J$16,MOD(K57,12)+1)&amp;" de "&amp;INT((K57)/12),"")</f>
      </c>
      <c r="E57" s="35">
        <f>IF(NOT(AND($N$5=1,29&lt;=$N$11)),"",IF($N$10=1,IF(AND($N$14=1,K57&lt;=$N$12),INDEX(IPC!$D$5:$D$173,(K57)-IPC!$J$2+1)/INDEX(IPC!$D$5:$D$173,(L57)-IPC!$J$2+1)-1,""),IF(ISNUMBER(F57),F57/100,"")))</f>
      </c>
      <c r="F57" s="36"/>
      <c r="G57" s="37">
        <f>IF(AND(AND($N$5=1,29&lt;=$N$11),ISNUMBER(G56),ISNUMBER(E57)),G56*(1+E57),"")</f>
      </c>
      <c r="H57" s="34">
        <f>IF(NOT(AND($N$5=1,29&lt;=$N$11)),"",IF(ISNUMBER(G57),"Aplicado",IF(ISNUMBER(G56),IF($N$10=1,"Falta el IPC de "&amp;INDEX(IPC!$J$5:$J$16,MOD($N$12+1,12)+1)&amp;" de "&amp;INT(($N$12+1)/12),"Cargá el % de este ajuste en la columna F"),"")))</f>
      </c>
      <c r="J57">
        <f>IF($N$5=1,$N$7+29*$N$8,"")</f>
      </c>
      <c r="K57">
        <f>IF($N$5=1,J57-1-$N$9,"")</f>
      </c>
      <c r="L57">
        <f>IF($N$5=1,K57-$N$8,"")</f>
      </c>
    </row>
    <row r="58" spans="1:12" x14ac:dyDescent="0.25">
      <c r="A58" s="31">
        <f>IF(AND($N$5=1,30&lt;=$N$11),"30° ajuste","")</f>
      </c>
      <c r="B58" s="31">
        <f>IF(AND($N$5=1,30&lt;=$N$11),INDEX(IPC!$J$5:$J$16,MOD(J58,12)+1)&amp;" de "&amp;INT((J58)/12),"")</f>
      </c>
      <c r="C58" s="31">
        <f>IF(AND(AND($N$5=1,30&lt;=$N$11),$N$10=1),INDEX(IPC!$J$5:$J$16,MOD(L58,12)+1)&amp;" de "&amp;INT((L58)/12),"")</f>
      </c>
      <c r="D58" s="31">
        <f>IF(AND(AND($N$5=1,30&lt;=$N$11),$N$10=1),INDEX(IPC!$J$5:$J$16,MOD(K58,12)+1)&amp;" de "&amp;INT((K58)/12),"")</f>
      </c>
      <c r="E58" s="38">
        <f>IF(NOT(AND($N$5=1,30&lt;=$N$11)),"",IF($N$10=1,IF(AND($N$14=1,K58&lt;=$N$12),INDEX(IPC!$D$5:$D$173,(K58)-IPC!$J$2+1)/INDEX(IPC!$D$5:$D$173,(L58)-IPC!$J$2+1)-1,""),IF(ISNUMBER(F58),F58/100,"")))</f>
      </c>
      <c r="F58" s="36"/>
      <c r="G58" s="33">
        <f>IF(AND(AND($N$5=1,30&lt;=$N$11),ISNUMBER(G57),ISNUMBER(E58)),G57*(1+E58),"")</f>
      </c>
      <c r="H58" s="31">
        <f>IF(NOT(AND($N$5=1,30&lt;=$N$11)),"",IF(ISNUMBER(G58),"Aplicado",IF(ISNUMBER(G57),IF($N$10=1,"Falta el IPC de "&amp;INDEX(IPC!$J$5:$J$16,MOD($N$12+1,12)+1)&amp;" de "&amp;INT(($N$12+1)/12),"Cargá el % de este ajuste en la columna F"),"")))</f>
      </c>
      <c r="J58">
        <f>IF($N$5=1,$N$7+30*$N$8,"")</f>
      </c>
      <c r="K58">
        <f>IF($N$5=1,J58-1-$N$9,"")</f>
      </c>
      <c r="L58">
        <f>IF($N$5=1,K58-$N$8,"")</f>
      </c>
    </row>
    <row r="59" spans="1:12" x14ac:dyDescent="0.25">
      <c r="A59" s="34">
        <f>IF(AND($N$5=1,31&lt;=$N$11),"31° ajuste","")</f>
      </c>
      <c r="B59" s="34">
        <f>IF(AND($N$5=1,31&lt;=$N$11),INDEX(IPC!$J$5:$J$16,MOD(J59,12)+1)&amp;" de "&amp;INT((J59)/12),"")</f>
      </c>
      <c r="C59" s="34">
        <f>IF(AND(AND($N$5=1,31&lt;=$N$11),$N$10=1),INDEX(IPC!$J$5:$J$16,MOD(L59,12)+1)&amp;" de "&amp;INT((L59)/12),"")</f>
      </c>
      <c r="D59" s="34">
        <f>IF(AND(AND($N$5=1,31&lt;=$N$11),$N$10=1),INDEX(IPC!$J$5:$J$16,MOD(K59,12)+1)&amp;" de "&amp;INT((K59)/12),"")</f>
      </c>
      <c r="E59" s="35">
        <f>IF(NOT(AND($N$5=1,31&lt;=$N$11)),"",IF($N$10=1,IF(AND($N$14=1,K59&lt;=$N$12),INDEX(IPC!$D$5:$D$173,(K59)-IPC!$J$2+1)/INDEX(IPC!$D$5:$D$173,(L59)-IPC!$J$2+1)-1,""),IF(ISNUMBER(F59),F59/100,"")))</f>
      </c>
      <c r="F59" s="36"/>
      <c r="G59" s="37">
        <f>IF(AND(AND($N$5=1,31&lt;=$N$11),ISNUMBER(G58),ISNUMBER(E59)),G58*(1+E59),"")</f>
      </c>
      <c r="H59" s="34">
        <f>IF(NOT(AND($N$5=1,31&lt;=$N$11)),"",IF(ISNUMBER(G59),"Aplicado",IF(ISNUMBER(G58),IF($N$10=1,"Falta el IPC de "&amp;INDEX(IPC!$J$5:$J$16,MOD($N$12+1,12)+1)&amp;" de "&amp;INT(($N$12+1)/12),"Cargá el % de este ajuste en la columna F"),"")))</f>
      </c>
      <c r="J59">
        <f>IF($N$5=1,$N$7+31*$N$8,"")</f>
      </c>
      <c r="K59">
        <f>IF($N$5=1,J59-1-$N$9,"")</f>
      </c>
      <c r="L59">
        <f>IF($N$5=1,K59-$N$8,"")</f>
      </c>
    </row>
    <row r="60" spans="1:12" x14ac:dyDescent="0.25">
      <c r="A60" s="31">
        <f>IF(AND($N$5=1,32&lt;=$N$11),"32° ajuste","")</f>
      </c>
      <c r="B60" s="31">
        <f>IF(AND($N$5=1,32&lt;=$N$11),INDEX(IPC!$J$5:$J$16,MOD(J60,12)+1)&amp;" de "&amp;INT((J60)/12),"")</f>
      </c>
      <c r="C60" s="31">
        <f>IF(AND(AND($N$5=1,32&lt;=$N$11),$N$10=1),INDEX(IPC!$J$5:$J$16,MOD(L60,12)+1)&amp;" de "&amp;INT((L60)/12),"")</f>
      </c>
      <c r="D60" s="31">
        <f>IF(AND(AND($N$5=1,32&lt;=$N$11),$N$10=1),INDEX(IPC!$J$5:$J$16,MOD(K60,12)+1)&amp;" de "&amp;INT((K60)/12),"")</f>
      </c>
      <c r="E60" s="38">
        <f>IF(NOT(AND($N$5=1,32&lt;=$N$11)),"",IF($N$10=1,IF(AND($N$14=1,K60&lt;=$N$12),INDEX(IPC!$D$5:$D$173,(K60)-IPC!$J$2+1)/INDEX(IPC!$D$5:$D$173,(L60)-IPC!$J$2+1)-1,""),IF(ISNUMBER(F60),F60/100,"")))</f>
      </c>
      <c r="F60" s="36"/>
      <c r="G60" s="33">
        <f>IF(AND(AND($N$5=1,32&lt;=$N$11),ISNUMBER(G59),ISNUMBER(E60)),G59*(1+E60),"")</f>
      </c>
      <c r="H60" s="31">
        <f>IF(NOT(AND($N$5=1,32&lt;=$N$11)),"",IF(ISNUMBER(G60),"Aplicado",IF(ISNUMBER(G59),IF($N$10=1,"Falta el IPC de "&amp;INDEX(IPC!$J$5:$J$16,MOD($N$12+1,12)+1)&amp;" de "&amp;INT(($N$12+1)/12),"Cargá el % de este ajuste en la columna F"),"")))</f>
      </c>
      <c r="J60">
        <f>IF($N$5=1,$N$7+32*$N$8,"")</f>
      </c>
      <c r="K60">
        <f>IF($N$5=1,J60-1-$N$9,"")</f>
      </c>
      <c r="L60">
        <f>IF($N$5=1,K60-$N$8,"")</f>
      </c>
    </row>
    <row r="61" spans="1:12" x14ac:dyDescent="0.25">
      <c r="A61" s="34">
        <f>IF(AND($N$5=1,33&lt;=$N$11),"33° ajuste","")</f>
      </c>
      <c r="B61" s="34">
        <f>IF(AND($N$5=1,33&lt;=$N$11),INDEX(IPC!$J$5:$J$16,MOD(J61,12)+1)&amp;" de "&amp;INT((J61)/12),"")</f>
      </c>
      <c r="C61" s="34">
        <f>IF(AND(AND($N$5=1,33&lt;=$N$11),$N$10=1),INDEX(IPC!$J$5:$J$16,MOD(L61,12)+1)&amp;" de "&amp;INT((L61)/12),"")</f>
      </c>
      <c r="D61" s="34">
        <f>IF(AND(AND($N$5=1,33&lt;=$N$11),$N$10=1),INDEX(IPC!$J$5:$J$16,MOD(K61,12)+1)&amp;" de "&amp;INT((K61)/12),"")</f>
      </c>
      <c r="E61" s="35">
        <f>IF(NOT(AND($N$5=1,33&lt;=$N$11)),"",IF($N$10=1,IF(AND($N$14=1,K61&lt;=$N$12),INDEX(IPC!$D$5:$D$173,(K61)-IPC!$J$2+1)/INDEX(IPC!$D$5:$D$173,(L61)-IPC!$J$2+1)-1,""),IF(ISNUMBER(F61),F61/100,"")))</f>
      </c>
      <c r="F61" s="36"/>
      <c r="G61" s="37">
        <f>IF(AND(AND($N$5=1,33&lt;=$N$11),ISNUMBER(G60),ISNUMBER(E61)),G60*(1+E61),"")</f>
      </c>
      <c r="H61" s="34">
        <f>IF(NOT(AND($N$5=1,33&lt;=$N$11)),"",IF(ISNUMBER(G61),"Aplicado",IF(ISNUMBER(G60),IF($N$10=1,"Falta el IPC de "&amp;INDEX(IPC!$J$5:$J$16,MOD($N$12+1,12)+1)&amp;" de "&amp;INT(($N$12+1)/12),"Cargá el % de este ajuste en la columna F"),"")))</f>
      </c>
      <c r="J61">
        <f>IF($N$5=1,$N$7+33*$N$8,"")</f>
      </c>
      <c r="K61">
        <f>IF($N$5=1,J61-1-$N$9,"")</f>
      </c>
      <c r="L61">
        <f>IF($N$5=1,K61-$N$8,"")</f>
      </c>
    </row>
    <row r="62" spans="1:12" x14ac:dyDescent="0.25">
      <c r="A62" s="31">
        <f>IF(AND($N$5=1,34&lt;=$N$11),"34° ajuste","")</f>
      </c>
      <c r="B62" s="31">
        <f>IF(AND($N$5=1,34&lt;=$N$11),INDEX(IPC!$J$5:$J$16,MOD(J62,12)+1)&amp;" de "&amp;INT((J62)/12),"")</f>
      </c>
      <c r="C62" s="31">
        <f>IF(AND(AND($N$5=1,34&lt;=$N$11),$N$10=1),INDEX(IPC!$J$5:$J$16,MOD(L62,12)+1)&amp;" de "&amp;INT((L62)/12),"")</f>
      </c>
      <c r="D62" s="31">
        <f>IF(AND(AND($N$5=1,34&lt;=$N$11),$N$10=1),INDEX(IPC!$J$5:$J$16,MOD(K62,12)+1)&amp;" de "&amp;INT((K62)/12),"")</f>
      </c>
      <c r="E62" s="38">
        <f>IF(NOT(AND($N$5=1,34&lt;=$N$11)),"",IF($N$10=1,IF(AND($N$14=1,K62&lt;=$N$12),INDEX(IPC!$D$5:$D$173,(K62)-IPC!$J$2+1)/INDEX(IPC!$D$5:$D$173,(L62)-IPC!$J$2+1)-1,""),IF(ISNUMBER(F62),F62/100,"")))</f>
      </c>
      <c r="F62" s="36"/>
      <c r="G62" s="33">
        <f>IF(AND(AND($N$5=1,34&lt;=$N$11),ISNUMBER(G61),ISNUMBER(E62)),G61*(1+E62),"")</f>
      </c>
      <c r="H62" s="31">
        <f>IF(NOT(AND($N$5=1,34&lt;=$N$11)),"",IF(ISNUMBER(G62),"Aplicado",IF(ISNUMBER(G61),IF($N$10=1,"Falta el IPC de "&amp;INDEX(IPC!$J$5:$J$16,MOD($N$12+1,12)+1)&amp;" de "&amp;INT(($N$12+1)/12),"Cargá el % de este ajuste en la columna F"),"")))</f>
      </c>
      <c r="J62">
        <f>IF($N$5=1,$N$7+34*$N$8,"")</f>
      </c>
      <c r="K62">
        <f>IF($N$5=1,J62-1-$N$9,"")</f>
      </c>
      <c r="L62">
        <f>IF($N$5=1,K62-$N$8,"")</f>
      </c>
    </row>
    <row r="63" spans="1:12" x14ac:dyDescent="0.25">
      <c r="A63" s="34">
        <f>IF(AND($N$5=1,35&lt;=$N$11),"35° ajuste","")</f>
      </c>
      <c r="B63" s="34">
        <f>IF(AND($N$5=1,35&lt;=$N$11),INDEX(IPC!$J$5:$J$16,MOD(J63,12)+1)&amp;" de "&amp;INT((J63)/12),"")</f>
      </c>
      <c r="C63" s="34">
        <f>IF(AND(AND($N$5=1,35&lt;=$N$11),$N$10=1),INDEX(IPC!$J$5:$J$16,MOD(L63,12)+1)&amp;" de "&amp;INT((L63)/12),"")</f>
      </c>
      <c r="D63" s="34">
        <f>IF(AND(AND($N$5=1,35&lt;=$N$11),$N$10=1),INDEX(IPC!$J$5:$J$16,MOD(K63,12)+1)&amp;" de "&amp;INT((K63)/12),"")</f>
      </c>
      <c r="E63" s="35">
        <f>IF(NOT(AND($N$5=1,35&lt;=$N$11)),"",IF($N$10=1,IF(AND($N$14=1,K63&lt;=$N$12),INDEX(IPC!$D$5:$D$173,(K63)-IPC!$J$2+1)/INDEX(IPC!$D$5:$D$173,(L63)-IPC!$J$2+1)-1,""),IF(ISNUMBER(F63),F63/100,"")))</f>
      </c>
      <c r="F63" s="36"/>
      <c r="G63" s="37">
        <f>IF(AND(AND($N$5=1,35&lt;=$N$11),ISNUMBER(G62),ISNUMBER(E63)),G62*(1+E63),"")</f>
      </c>
      <c r="H63" s="34">
        <f>IF(NOT(AND($N$5=1,35&lt;=$N$11)),"",IF(ISNUMBER(G63),"Aplicado",IF(ISNUMBER(G62),IF($N$10=1,"Falta el IPC de "&amp;INDEX(IPC!$J$5:$J$16,MOD($N$12+1,12)+1)&amp;" de "&amp;INT(($N$12+1)/12),"Cargá el % de este ajuste en la columna F"),"")))</f>
      </c>
      <c r="J63">
        <f>IF($N$5=1,$N$7+35*$N$8,"")</f>
      </c>
      <c r="K63">
        <f>IF($N$5=1,J63-1-$N$9,"")</f>
      </c>
      <c r="L63">
        <f>IF($N$5=1,K63-$N$8,"")</f>
      </c>
    </row>
    <row r="64" spans="1:12" x14ac:dyDescent="0.25">
      <c r="A64" s="31">
        <f>IF(AND($N$5=1,36&lt;=$N$11),"36° ajuste","")</f>
      </c>
      <c r="B64" s="31">
        <f>IF(AND($N$5=1,36&lt;=$N$11),INDEX(IPC!$J$5:$J$16,MOD(J64,12)+1)&amp;" de "&amp;INT((J64)/12),"")</f>
      </c>
      <c r="C64" s="31">
        <f>IF(AND(AND($N$5=1,36&lt;=$N$11),$N$10=1),INDEX(IPC!$J$5:$J$16,MOD(L64,12)+1)&amp;" de "&amp;INT((L64)/12),"")</f>
      </c>
      <c r="D64" s="31">
        <f>IF(AND(AND($N$5=1,36&lt;=$N$11),$N$10=1),INDEX(IPC!$J$5:$J$16,MOD(K64,12)+1)&amp;" de "&amp;INT((K64)/12),"")</f>
      </c>
      <c r="E64" s="38">
        <f>IF(NOT(AND($N$5=1,36&lt;=$N$11)),"",IF($N$10=1,IF(AND($N$14=1,K64&lt;=$N$12),INDEX(IPC!$D$5:$D$173,(K64)-IPC!$J$2+1)/INDEX(IPC!$D$5:$D$173,(L64)-IPC!$J$2+1)-1,""),IF(ISNUMBER(F64),F64/100,"")))</f>
      </c>
      <c r="F64" s="36"/>
      <c r="G64" s="33">
        <f>IF(AND(AND($N$5=1,36&lt;=$N$11),ISNUMBER(G63),ISNUMBER(E64)),G63*(1+E64),"")</f>
      </c>
      <c r="H64" s="31">
        <f>IF(NOT(AND($N$5=1,36&lt;=$N$11)),"",IF(ISNUMBER(G64),"Aplicado",IF(ISNUMBER(G63),IF($N$10=1,"Falta el IPC de "&amp;INDEX(IPC!$J$5:$J$16,MOD($N$12+1,12)+1)&amp;" de "&amp;INT(($N$12+1)/12),"Cargá el % de este ajuste en la columna F"),"")))</f>
      </c>
      <c r="J64">
        <f>IF($N$5=1,$N$7+36*$N$8,"")</f>
      </c>
      <c r="K64">
        <f>IF($N$5=1,J64-1-$N$9,"")</f>
      </c>
      <c r="L64">
        <f>IF($N$5=1,K64-$N$8,"")</f>
      </c>
    </row>
    <row r="65" spans="1:12" x14ac:dyDescent="0.25">
      <c r="A65" s="34">
        <f>IF(AND($N$5=1,37&lt;=$N$11),"37° ajuste","")</f>
      </c>
      <c r="B65" s="34">
        <f>IF(AND($N$5=1,37&lt;=$N$11),INDEX(IPC!$J$5:$J$16,MOD(J65,12)+1)&amp;" de "&amp;INT((J65)/12),"")</f>
      </c>
      <c r="C65" s="34">
        <f>IF(AND(AND($N$5=1,37&lt;=$N$11),$N$10=1),INDEX(IPC!$J$5:$J$16,MOD(L65,12)+1)&amp;" de "&amp;INT((L65)/12),"")</f>
      </c>
      <c r="D65" s="34">
        <f>IF(AND(AND($N$5=1,37&lt;=$N$11),$N$10=1),INDEX(IPC!$J$5:$J$16,MOD(K65,12)+1)&amp;" de "&amp;INT((K65)/12),"")</f>
      </c>
      <c r="E65" s="35">
        <f>IF(NOT(AND($N$5=1,37&lt;=$N$11)),"",IF($N$10=1,IF(AND($N$14=1,K65&lt;=$N$12),INDEX(IPC!$D$5:$D$173,(K65)-IPC!$J$2+1)/INDEX(IPC!$D$5:$D$173,(L65)-IPC!$J$2+1)-1,""),IF(ISNUMBER(F65),F65/100,"")))</f>
      </c>
      <c r="F65" s="36"/>
      <c r="G65" s="37">
        <f>IF(AND(AND($N$5=1,37&lt;=$N$11),ISNUMBER(G64),ISNUMBER(E65)),G64*(1+E65),"")</f>
      </c>
      <c r="H65" s="34">
        <f>IF(NOT(AND($N$5=1,37&lt;=$N$11)),"",IF(ISNUMBER(G65),"Aplicado",IF(ISNUMBER(G64),IF($N$10=1,"Falta el IPC de "&amp;INDEX(IPC!$J$5:$J$16,MOD($N$12+1,12)+1)&amp;" de "&amp;INT(($N$12+1)/12),"Cargá el % de este ajuste en la columna F"),"")))</f>
      </c>
      <c r="J65">
        <f>IF($N$5=1,$N$7+37*$N$8,"")</f>
      </c>
      <c r="K65">
        <f>IF($N$5=1,J65-1-$N$9,"")</f>
      </c>
      <c r="L65">
        <f>IF($N$5=1,K65-$N$8,"")</f>
      </c>
    </row>
    <row r="66" spans="1:12" x14ac:dyDescent="0.25">
      <c r="A66" s="31">
        <f>IF(AND($N$5=1,38&lt;=$N$11),"38° ajuste","")</f>
      </c>
      <c r="B66" s="31">
        <f>IF(AND($N$5=1,38&lt;=$N$11),INDEX(IPC!$J$5:$J$16,MOD(J66,12)+1)&amp;" de "&amp;INT((J66)/12),"")</f>
      </c>
      <c r="C66" s="31">
        <f>IF(AND(AND($N$5=1,38&lt;=$N$11),$N$10=1),INDEX(IPC!$J$5:$J$16,MOD(L66,12)+1)&amp;" de "&amp;INT((L66)/12),"")</f>
      </c>
      <c r="D66" s="31">
        <f>IF(AND(AND($N$5=1,38&lt;=$N$11),$N$10=1),INDEX(IPC!$J$5:$J$16,MOD(K66,12)+1)&amp;" de "&amp;INT((K66)/12),"")</f>
      </c>
      <c r="E66" s="38">
        <f>IF(NOT(AND($N$5=1,38&lt;=$N$11)),"",IF($N$10=1,IF(AND($N$14=1,K66&lt;=$N$12),INDEX(IPC!$D$5:$D$173,(K66)-IPC!$J$2+1)/INDEX(IPC!$D$5:$D$173,(L66)-IPC!$J$2+1)-1,""),IF(ISNUMBER(F66),F66/100,"")))</f>
      </c>
      <c r="F66" s="36"/>
      <c r="G66" s="33">
        <f>IF(AND(AND($N$5=1,38&lt;=$N$11),ISNUMBER(G65),ISNUMBER(E66)),G65*(1+E66),"")</f>
      </c>
      <c r="H66" s="31">
        <f>IF(NOT(AND($N$5=1,38&lt;=$N$11)),"",IF(ISNUMBER(G66),"Aplicado",IF(ISNUMBER(G65),IF($N$10=1,"Falta el IPC de "&amp;INDEX(IPC!$J$5:$J$16,MOD($N$12+1,12)+1)&amp;" de "&amp;INT(($N$12+1)/12),"Cargá el % de este ajuste en la columna F"),"")))</f>
      </c>
      <c r="J66">
        <f>IF($N$5=1,$N$7+38*$N$8,"")</f>
      </c>
      <c r="K66">
        <f>IF($N$5=1,J66-1-$N$9,"")</f>
      </c>
      <c r="L66">
        <f>IF($N$5=1,K66-$N$8,"")</f>
      </c>
    </row>
    <row r="67" spans="1:12" x14ac:dyDescent="0.25">
      <c r="A67" s="34">
        <f>IF(AND($N$5=1,39&lt;=$N$11),"39° ajuste","")</f>
      </c>
      <c r="B67" s="34">
        <f>IF(AND($N$5=1,39&lt;=$N$11),INDEX(IPC!$J$5:$J$16,MOD(J67,12)+1)&amp;" de "&amp;INT((J67)/12),"")</f>
      </c>
      <c r="C67" s="34">
        <f>IF(AND(AND($N$5=1,39&lt;=$N$11),$N$10=1),INDEX(IPC!$J$5:$J$16,MOD(L67,12)+1)&amp;" de "&amp;INT((L67)/12),"")</f>
      </c>
      <c r="D67" s="34">
        <f>IF(AND(AND($N$5=1,39&lt;=$N$11),$N$10=1),INDEX(IPC!$J$5:$J$16,MOD(K67,12)+1)&amp;" de "&amp;INT((K67)/12),"")</f>
      </c>
      <c r="E67" s="35">
        <f>IF(NOT(AND($N$5=1,39&lt;=$N$11)),"",IF($N$10=1,IF(AND($N$14=1,K67&lt;=$N$12),INDEX(IPC!$D$5:$D$173,(K67)-IPC!$J$2+1)/INDEX(IPC!$D$5:$D$173,(L67)-IPC!$J$2+1)-1,""),IF(ISNUMBER(F67),F67/100,"")))</f>
      </c>
      <c r="F67" s="36"/>
      <c r="G67" s="37">
        <f>IF(AND(AND($N$5=1,39&lt;=$N$11),ISNUMBER(G66),ISNUMBER(E67)),G66*(1+E67),"")</f>
      </c>
      <c r="H67" s="34">
        <f>IF(NOT(AND($N$5=1,39&lt;=$N$11)),"",IF(ISNUMBER(G67),"Aplicado",IF(ISNUMBER(G66),IF($N$10=1,"Falta el IPC de "&amp;INDEX(IPC!$J$5:$J$16,MOD($N$12+1,12)+1)&amp;" de "&amp;INT(($N$12+1)/12),"Cargá el % de este ajuste en la columna F"),"")))</f>
      </c>
      <c r="J67">
        <f>IF($N$5=1,$N$7+39*$N$8,"")</f>
      </c>
      <c r="K67">
        <f>IF($N$5=1,J67-1-$N$9,"")</f>
      </c>
      <c r="L67">
        <f>IF($N$5=1,K67-$N$8,"")</f>
      </c>
    </row>
    <row r="68" spans="1:12" x14ac:dyDescent="0.25">
      <c r="A68" s="31">
        <f>IF(AND($N$5=1,40&lt;=$N$11),"40° ajuste","")</f>
      </c>
      <c r="B68" s="31">
        <f>IF(AND($N$5=1,40&lt;=$N$11),INDEX(IPC!$J$5:$J$16,MOD(J68,12)+1)&amp;" de "&amp;INT((J68)/12),"")</f>
      </c>
      <c r="C68" s="31">
        <f>IF(AND(AND($N$5=1,40&lt;=$N$11),$N$10=1),INDEX(IPC!$J$5:$J$16,MOD(L68,12)+1)&amp;" de "&amp;INT((L68)/12),"")</f>
      </c>
      <c r="D68" s="31">
        <f>IF(AND(AND($N$5=1,40&lt;=$N$11),$N$10=1),INDEX(IPC!$J$5:$J$16,MOD(K68,12)+1)&amp;" de "&amp;INT((K68)/12),"")</f>
      </c>
      <c r="E68" s="38">
        <f>IF(NOT(AND($N$5=1,40&lt;=$N$11)),"",IF($N$10=1,IF(AND($N$14=1,K68&lt;=$N$12),INDEX(IPC!$D$5:$D$173,(K68)-IPC!$J$2+1)/INDEX(IPC!$D$5:$D$173,(L68)-IPC!$J$2+1)-1,""),IF(ISNUMBER(F68),F68/100,"")))</f>
      </c>
      <c r="F68" s="36"/>
      <c r="G68" s="33">
        <f>IF(AND(AND($N$5=1,40&lt;=$N$11),ISNUMBER(G67),ISNUMBER(E68)),G67*(1+E68),"")</f>
      </c>
      <c r="H68" s="31">
        <f>IF(NOT(AND($N$5=1,40&lt;=$N$11)),"",IF(ISNUMBER(G68),"Aplicado",IF(ISNUMBER(G67),IF($N$10=1,"Falta el IPC de "&amp;INDEX(IPC!$J$5:$J$16,MOD($N$12+1,12)+1)&amp;" de "&amp;INT(($N$12+1)/12),"Cargá el % de este ajuste en la columna F"),"")))</f>
      </c>
      <c r="J68">
        <f>IF($N$5=1,$N$7+40*$N$8,"")</f>
      </c>
      <c r="K68">
        <f>IF($N$5=1,J68-1-$N$9,"")</f>
      </c>
      <c r="L68">
        <f>IF($N$5=1,K68-$N$8,"")</f>
      </c>
    </row>
    <row r="69" spans="1:12" x14ac:dyDescent="0.25">
      <c r="A69" s="34">
        <f>IF(AND($N$5=1,41&lt;=$N$11),"41° ajuste","")</f>
      </c>
      <c r="B69" s="34">
        <f>IF(AND($N$5=1,41&lt;=$N$11),INDEX(IPC!$J$5:$J$16,MOD(J69,12)+1)&amp;" de "&amp;INT((J69)/12),"")</f>
      </c>
      <c r="C69" s="34">
        <f>IF(AND(AND($N$5=1,41&lt;=$N$11),$N$10=1),INDEX(IPC!$J$5:$J$16,MOD(L69,12)+1)&amp;" de "&amp;INT((L69)/12),"")</f>
      </c>
      <c r="D69" s="34">
        <f>IF(AND(AND($N$5=1,41&lt;=$N$11),$N$10=1),INDEX(IPC!$J$5:$J$16,MOD(K69,12)+1)&amp;" de "&amp;INT((K69)/12),"")</f>
      </c>
      <c r="E69" s="35">
        <f>IF(NOT(AND($N$5=1,41&lt;=$N$11)),"",IF($N$10=1,IF(AND($N$14=1,K69&lt;=$N$12),INDEX(IPC!$D$5:$D$173,(K69)-IPC!$J$2+1)/INDEX(IPC!$D$5:$D$173,(L69)-IPC!$J$2+1)-1,""),IF(ISNUMBER(F69),F69/100,"")))</f>
      </c>
      <c r="F69" s="36"/>
      <c r="G69" s="37">
        <f>IF(AND(AND($N$5=1,41&lt;=$N$11),ISNUMBER(G68),ISNUMBER(E69)),G68*(1+E69),"")</f>
      </c>
      <c r="H69" s="34">
        <f>IF(NOT(AND($N$5=1,41&lt;=$N$11)),"",IF(ISNUMBER(G69),"Aplicado",IF(ISNUMBER(G68),IF($N$10=1,"Falta el IPC de "&amp;INDEX(IPC!$J$5:$J$16,MOD($N$12+1,12)+1)&amp;" de "&amp;INT(($N$12+1)/12),"Cargá el % de este ajuste en la columna F"),"")))</f>
      </c>
      <c r="J69">
        <f>IF($N$5=1,$N$7+41*$N$8,"")</f>
      </c>
      <c r="K69">
        <f>IF($N$5=1,J69-1-$N$9,"")</f>
      </c>
      <c r="L69">
        <f>IF($N$5=1,K69-$N$8,"")</f>
      </c>
    </row>
    <row r="70" spans="1:12" x14ac:dyDescent="0.25">
      <c r="A70" s="31">
        <f>IF(AND($N$5=1,42&lt;=$N$11),"42° ajuste","")</f>
      </c>
      <c r="B70" s="31">
        <f>IF(AND($N$5=1,42&lt;=$N$11),INDEX(IPC!$J$5:$J$16,MOD(J70,12)+1)&amp;" de "&amp;INT((J70)/12),"")</f>
      </c>
      <c r="C70" s="31">
        <f>IF(AND(AND($N$5=1,42&lt;=$N$11),$N$10=1),INDEX(IPC!$J$5:$J$16,MOD(L70,12)+1)&amp;" de "&amp;INT((L70)/12),"")</f>
      </c>
      <c r="D70" s="31">
        <f>IF(AND(AND($N$5=1,42&lt;=$N$11),$N$10=1),INDEX(IPC!$J$5:$J$16,MOD(K70,12)+1)&amp;" de "&amp;INT((K70)/12),"")</f>
      </c>
      <c r="E70" s="38">
        <f>IF(NOT(AND($N$5=1,42&lt;=$N$11)),"",IF($N$10=1,IF(AND($N$14=1,K70&lt;=$N$12),INDEX(IPC!$D$5:$D$173,(K70)-IPC!$J$2+1)/INDEX(IPC!$D$5:$D$173,(L70)-IPC!$J$2+1)-1,""),IF(ISNUMBER(F70),F70/100,"")))</f>
      </c>
      <c r="F70" s="36"/>
      <c r="G70" s="33">
        <f>IF(AND(AND($N$5=1,42&lt;=$N$11),ISNUMBER(G69),ISNUMBER(E70)),G69*(1+E70),"")</f>
      </c>
      <c r="H70" s="31">
        <f>IF(NOT(AND($N$5=1,42&lt;=$N$11)),"",IF(ISNUMBER(G70),"Aplicado",IF(ISNUMBER(G69),IF($N$10=1,"Falta el IPC de "&amp;INDEX(IPC!$J$5:$J$16,MOD($N$12+1,12)+1)&amp;" de "&amp;INT(($N$12+1)/12),"Cargá el % de este ajuste en la columna F"),"")))</f>
      </c>
      <c r="J70">
        <f>IF($N$5=1,$N$7+42*$N$8,"")</f>
      </c>
      <c r="K70">
        <f>IF($N$5=1,J70-1-$N$9,"")</f>
      </c>
      <c r="L70">
        <f>IF($N$5=1,K70-$N$8,"")</f>
      </c>
    </row>
    <row r="71" spans="1:12" x14ac:dyDescent="0.25">
      <c r="A71" s="34">
        <f>IF(AND($N$5=1,43&lt;=$N$11),"43° ajuste","")</f>
      </c>
      <c r="B71" s="34">
        <f>IF(AND($N$5=1,43&lt;=$N$11),INDEX(IPC!$J$5:$J$16,MOD(J71,12)+1)&amp;" de "&amp;INT((J71)/12),"")</f>
      </c>
      <c r="C71" s="34">
        <f>IF(AND(AND($N$5=1,43&lt;=$N$11),$N$10=1),INDEX(IPC!$J$5:$J$16,MOD(L71,12)+1)&amp;" de "&amp;INT((L71)/12),"")</f>
      </c>
      <c r="D71" s="34">
        <f>IF(AND(AND($N$5=1,43&lt;=$N$11),$N$10=1),INDEX(IPC!$J$5:$J$16,MOD(K71,12)+1)&amp;" de "&amp;INT((K71)/12),"")</f>
      </c>
      <c r="E71" s="35">
        <f>IF(NOT(AND($N$5=1,43&lt;=$N$11)),"",IF($N$10=1,IF(AND($N$14=1,K71&lt;=$N$12),INDEX(IPC!$D$5:$D$173,(K71)-IPC!$J$2+1)/INDEX(IPC!$D$5:$D$173,(L71)-IPC!$J$2+1)-1,""),IF(ISNUMBER(F71),F71/100,"")))</f>
      </c>
      <c r="F71" s="36"/>
      <c r="G71" s="37">
        <f>IF(AND(AND($N$5=1,43&lt;=$N$11),ISNUMBER(G70),ISNUMBER(E71)),G70*(1+E71),"")</f>
      </c>
      <c r="H71" s="34">
        <f>IF(NOT(AND($N$5=1,43&lt;=$N$11)),"",IF(ISNUMBER(G71),"Aplicado",IF(ISNUMBER(G70),IF($N$10=1,"Falta el IPC de "&amp;INDEX(IPC!$J$5:$J$16,MOD($N$12+1,12)+1)&amp;" de "&amp;INT(($N$12+1)/12),"Cargá el % de este ajuste en la columna F"),"")))</f>
      </c>
      <c r="J71">
        <f>IF($N$5=1,$N$7+43*$N$8,"")</f>
      </c>
      <c r="K71">
        <f>IF($N$5=1,J71-1-$N$9,"")</f>
      </c>
      <c r="L71">
        <f>IF($N$5=1,K71-$N$8,"")</f>
      </c>
    </row>
    <row r="72" spans="1:12" x14ac:dyDescent="0.25">
      <c r="A72" s="31">
        <f>IF(AND($N$5=1,44&lt;=$N$11),"44° ajuste","")</f>
      </c>
      <c r="B72" s="31">
        <f>IF(AND($N$5=1,44&lt;=$N$11),INDEX(IPC!$J$5:$J$16,MOD(J72,12)+1)&amp;" de "&amp;INT((J72)/12),"")</f>
      </c>
      <c r="C72" s="31">
        <f>IF(AND(AND($N$5=1,44&lt;=$N$11),$N$10=1),INDEX(IPC!$J$5:$J$16,MOD(L72,12)+1)&amp;" de "&amp;INT((L72)/12),"")</f>
      </c>
      <c r="D72" s="31">
        <f>IF(AND(AND($N$5=1,44&lt;=$N$11),$N$10=1),INDEX(IPC!$J$5:$J$16,MOD(K72,12)+1)&amp;" de "&amp;INT((K72)/12),"")</f>
      </c>
      <c r="E72" s="38">
        <f>IF(NOT(AND($N$5=1,44&lt;=$N$11)),"",IF($N$10=1,IF(AND($N$14=1,K72&lt;=$N$12),INDEX(IPC!$D$5:$D$173,(K72)-IPC!$J$2+1)/INDEX(IPC!$D$5:$D$173,(L72)-IPC!$J$2+1)-1,""),IF(ISNUMBER(F72),F72/100,"")))</f>
      </c>
      <c r="F72" s="36"/>
      <c r="G72" s="33">
        <f>IF(AND(AND($N$5=1,44&lt;=$N$11),ISNUMBER(G71),ISNUMBER(E72)),G71*(1+E72),"")</f>
      </c>
      <c r="H72" s="31">
        <f>IF(NOT(AND($N$5=1,44&lt;=$N$11)),"",IF(ISNUMBER(G72),"Aplicado",IF(ISNUMBER(G71),IF($N$10=1,"Falta el IPC de "&amp;INDEX(IPC!$J$5:$J$16,MOD($N$12+1,12)+1)&amp;" de "&amp;INT(($N$12+1)/12),"Cargá el % de este ajuste en la columna F"),"")))</f>
      </c>
      <c r="J72">
        <f>IF($N$5=1,$N$7+44*$N$8,"")</f>
      </c>
      <c r="K72">
        <f>IF($N$5=1,J72-1-$N$9,"")</f>
      </c>
      <c r="L72">
        <f>IF($N$5=1,K72-$N$8,"")</f>
      </c>
    </row>
    <row r="73" spans="1:12" x14ac:dyDescent="0.25">
      <c r="A73" s="34">
        <f>IF(AND($N$5=1,45&lt;=$N$11),"45° ajuste","")</f>
      </c>
      <c r="B73" s="34">
        <f>IF(AND($N$5=1,45&lt;=$N$11),INDEX(IPC!$J$5:$J$16,MOD(J73,12)+1)&amp;" de "&amp;INT((J73)/12),"")</f>
      </c>
      <c r="C73" s="34">
        <f>IF(AND(AND($N$5=1,45&lt;=$N$11),$N$10=1),INDEX(IPC!$J$5:$J$16,MOD(L73,12)+1)&amp;" de "&amp;INT((L73)/12),"")</f>
      </c>
      <c r="D73" s="34">
        <f>IF(AND(AND($N$5=1,45&lt;=$N$11),$N$10=1),INDEX(IPC!$J$5:$J$16,MOD(K73,12)+1)&amp;" de "&amp;INT((K73)/12),"")</f>
      </c>
      <c r="E73" s="35">
        <f>IF(NOT(AND($N$5=1,45&lt;=$N$11)),"",IF($N$10=1,IF(AND($N$14=1,K73&lt;=$N$12),INDEX(IPC!$D$5:$D$173,(K73)-IPC!$J$2+1)/INDEX(IPC!$D$5:$D$173,(L73)-IPC!$J$2+1)-1,""),IF(ISNUMBER(F73),F73/100,"")))</f>
      </c>
      <c r="F73" s="36"/>
      <c r="G73" s="37">
        <f>IF(AND(AND($N$5=1,45&lt;=$N$11),ISNUMBER(G72),ISNUMBER(E73)),G72*(1+E73),"")</f>
      </c>
      <c r="H73" s="34">
        <f>IF(NOT(AND($N$5=1,45&lt;=$N$11)),"",IF(ISNUMBER(G73),"Aplicado",IF(ISNUMBER(G72),IF($N$10=1,"Falta el IPC de "&amp;INDEX(IPC!$J$5:$J$16,MOD($N$12+1,12)+1)&amp;" de "&amp;INT(($N$12+1)/12),"Cargá el % de este ajuste en la columna F"),"")))</f>
      </c>
      <c r="J73">
        <f>IF($N$5=1,$N$7+45*$N$8,"")</f>
      </c>
      <c r="K73">
        <f>IF($N$5=1,J73-1-$N$9,"")</f>
      </c>
      <c r="L73">
        <f>IF($N$5=1,K73-$N$8,"")</f>
      </c>
    </row>
    <row r="74" spans="1:12" x14ac:dyDescent="0.25">
      <c r="A74" s="31">
        <f>IF(AND($N$5=1,46&lt;=$N$11),"46° ajuste","")</f>
      </c>
      <c r="B74" s="31">
        <f>IF(AND($N$5=1,46&lt;=$N$11),INDEX(IPC!$J$5:$J$16,MOD(J74,12)+1)&amp;" de "&amp;INT((J74)/12),"")</f>
      </c>
      <c r="C74" s="31">
        <f>IF(AND(AND($N$5=1,46&lt;=$N$11),$N$10=1),INDEX(IPC!$J$5:$J$16,MOD(L74,12)+1)&amp;" de "&amp;INT((L74)/12),"")</f>
      </c>
      <c r="D74" s="31">
        <f>IF(AND(AND($N$5=1,46&lt;=$N$11),$N$10=1),INDEX(IPC!$J$5:$J$16,MOD(K74,12)+1)&amp;" de "&amp;INT((K74)/12),"")</f>
      </c>
      <c r="E74" s="38">
        <f>IF(NOT(AND($N$5=1,46&lt;=$N$11)),"",IF($N$10=1,IF(AND($N$14=1,K74&lt;=$N$12),INDEX(IPC!$D$5:$D$173,(K74)-IPC!$J$2+1)/INDEX(IPC!$D$5:$D$173,(L74)-IPC!$J$2+1)-1,""),IF(ISNUMBER(F74),F74/100,"")))</f>
      </c>
      <c r="F74" s="36"/>
      <c r="G74" s="33">
        <f>IF(AND(AND($N$5=1,46&lt;=$N$11),ISNUMBER(G73),ISNUMBER(E74)),G73*(1+E74),"")</f>
      </c>
      <c r="H74" s="31">
        <f>IF(NOT(AND($N$5=1,46&lt;=$N$11)),"",IF(ISNUMBER(G74),"Aplicado",IF(ISNUMBER(G73),IF($N$10=1,"Falta el IPC de "&amp;INDEX(IPC!$J$5:$J$16,MOD($N$12+1,12)+1)&amp;" de "&amp;INT(($N$12+1)/12),"Cargá el % de este ajuste en la columna F"),"")))</f>
      </c>
      <c r="J74">
        <f>IF($N$5=1,$N$7+46*$N$8,"")</f>
      </c>
      <c r="K74">
        <f>IF($N$5=1,J74-1-$N$9,"")</f>
      </c>
      <c r="L74">
        <f>IF($N$5=1,K74-$N$8,"")</f>
      </c>
    </row>
    <row r="75" spans="1:12" x14ac:dyDescent="0.25">
      <c r="A75" s="34">
        <f>IF(AND($N$5=1,47&lt;=$N$11),"47° ajuste","")</f>
      </c>
      <c r="B75" s="34">
        <f>IF(AND($N$5=1,47&lt;=$N$11),INDEX(IPC!$J$5:$J$16,MOD(J75,12)+1)&amp;" de "&amp;INT((J75)/12),"")</f>
      </c>
      <c r="C75" s="34">
        <f>IF(AND(AND($N$5=1,47&lt;=$N$11),$N$10=1),INDEX(IPC!$J$5:$J$16,MOD(L75,12)+1)&amp;" de "&amp;INT((L75)/12),"")</f>
      </c>
      <c r="D75" s="34">
        <f>IF(AND(AND($N$5=1,47&lt;=$N$11),$N$10=1),INDEX(IPC!$J$5:$J$16,MOD(K75,12)+1)&amp;" de "&amp;INT((K75)/12),"")</f>
      </c>
      <c r="E75" s="35">
        <f>IF(NOT(AND($N$5=1,47&lt;=$N$11)),"",IF($N$10=1,IF(AND($N$14=1,K75&lt;=$N$12),INDEX(IPC!$D$5:$D$173,(K75)-IPC!$J$2+1)/INDEX(IPC!$D$5:$D$173,(L75)-IPC!$J$2+1)-1,""),IF(ISNUMBER(F75),F75/100,"")))</f>
      </c>
      <c r="F75" s="36"/>
      <c r="G75" s="37">
        <f>IF(AND(AND($N$5=1,47&lt;=$N$11),ISNUMBER(G74),ISNUMBER(E75)),G74*(1+E75),"")</f>
      </c>
      <c r="H75" s="34">
        <f>IF(NOT(AND($N$5=1,47&lt;=$N$11)),"",IF(ISNUMBER(G75),"Aplicado",IF(ISNUMBER(G74),IF($N$10=1,"Falta el IPC de "&amp;INDEX(IPC!$J$5:$J$16,MOD($N$12+1,12)+1)&amp;" de "&amp;INT(($N$12+1)/12),"Cargá el % de este ajuste en la columna F"),"")))</f>
      </c>
      <c r="J75">
        <f>IF($N$5=1,$N$7+47*$N$8,"")</f>
      </c>
      <c r="K75">
        <f>IF($N$5=1,J75-1-$N$9,"")</f>
      </c>
      <c r="L75">
        <f>IF($N$5=1,K75-$N$8,"")</f>
      </c>
    </row>
    <row r="76" spans="1:12" x14ac:dyDescent="0.25">
      <c r="A76" s="31">
        <f>IF(AND($N$5=1,48&lt;=$N$11),"48° ajuste","")</f>
      </c>
      <c r="B76" s="31">
        <f>IF(AND($N$5=1,48&lt;=$N$11),INDEX(IPC!$J$5:$J$16,MOD(J76,12)+1)&amp;" de "&amp;INT((J76)/12),"")</f>
      </c>
      <c r="C76" s="31">
        <f>IF(AND(AND($N$5=1,48&lt;=$N$11),$N$10=1),INDEX(IPC!$J$5:$J$16,MOD(L76,12)+1)&amp;" de "&amp;INT((L76)/12),"")</f>
      </c>
      <c r="D76" s="31">
        <f>IF(AND(AND($N$5=1,48&lt;=$N$11),$N$10=1),INDEX(IPC!$J$5:$J$16,MOD(K76,12)+1)&amp;" de "&amp;INT((K76)/12),"")</f>
      </c>
      <c r="E76" s="38">
        <f>IF(NOT(AND($N$5=1,48&lt;=$N$11)),"",IF($N$10=1,IF(AND($N$14=1,K76&lt;=$N$12),INDEX(IPC!$D$5:$D$173,(K76)-IPC!$J$2+1)/INDEX(IPC!$D$5:$D$173,(L76)-IPC!$J$2+1)-1,""),IF(ISNUMBER(F76),F76/100,"")))</f>
      </c>
      <c r="F76" s="36"/>
      <c r="G76" s="33">
        <f>IF(AND(AND($N$5=1,48&lt;=$N$11),ISNUMBER(G75),ISNUMBER(E76)),G75*(1+E76),"")</f>
      </c>
      <c r="H76" s="31">
        <f>IF(NOT(AND($N$5=1,48&lt;=$N$11)),"",IF(ISNUMBER(G76),"Aplicado",IF(ISNUMBER(G75),IF($N$10=1,"Falta el IPC de "&amp;INDEX(IPC!$J$5:$J$16,MOD($N$12+1,12)+1)&amp;" de "&amp;INT(($N$12+1)/12),"Cargá el % de este ajuste en la columna F"),"")))</f>
      </c>
      <c r="J76">
        <f>IF($N$5=1,$N$7+48*$N$8,"")</f>
      </c>
      <c r="K76">
        <f>IF($N$5=1,J76-1-$N$9,"")</f>
      </c>
      <c r="L76">
        <f>IF($N$5=1,K76-$N$8,"")</f>
      </c>
    </row>
    <row r="77" spans="1:12" x14ac:dyDescent="0.25">
      <c r="A77" s="34">
        <f>IF(AND($N$5=1,49&lt;=$N$11),"49° ajuste","")</f>
      </c>
      <c r="B77" s="34">
        <f>IF(AND($N$5=1,49&lt;=$N$11),INDEX(IPC!$J$5:$J$16,MOD(J77,12)+1)&amp;" de "&amp;INT((J77)/12),"")</f>
      </c>
      <c r="C77" s="34">
        <f>IF(AND(AND($N$5=1,49&lt;=$N$11),$N$10=1),INDEX(IPC!$J$5:$J$16,MOD(L77,12)+1)&amp;" de "&amp;INT((L77)/12),"")</f>
      </c>
      <c r="D77" s="34">
        <f>IF(AND(AND($N$5=1,49&lt;=$N$11),$N$10=1),INDEX(IPC!$J$5:$J$16,MOD(K77,12)+1)&amp;" de "&amp;INT((K77)/12),"")</f>
      </c>
      <c r="E77" s="35">
        <f>IF(NOT(AND($N$5=1,49&lt;=$N$11)),"",IF($N$10=1,IF(AND($N$14=1,K77&lt;=$N$12),INDEX(IPC!$D$5:$D$173,(K77)-IPC!$J$2+1)/INDEX(IPC!$D$5:$D$173,(L77)-IPC!$J$2+1)-1,""),IF(ISNUMBER(F77),F77/100,"")))</f>
      </c>
      <c r="F77" s="36"/>
      <c r="G77" s="37">
        <f>IF(AND(AND($N$5=1,49&lt;=$N$11),ISNUMBER(G76),ISNUMBER(E77)),G76*(1+E77),"")</f>
      </c>
      <c r="H77" s="34">
        <f>IF(NOT(AND($N$5=1,49&lt;=$N$11)),"",IF(ISNUMBER(G77),"Aplicado",IF(ISNUMBER(G76),IF($N$10=1,"Falta el IPC de "&amp;INDEX(IPC!$J$5:$J$16,MOD($N$12+1,12)+1)&amp;" de "&amp;INT(($N$12+1)/12),"Cargá el % de este ajuste en la columna F"),"")))</f>
      </c>
      <c r="J77">
        <f>IF($N$5=1,$N$7+49*$N$8,"")</f>
      </c>
      <c r="K77">
        <f>IF($N$5=1,J77-1-$N$9,"")</f>
      </c>
      <c r="L77">
        <f>IF($N$5=1,K77-$N$8,"")</f>
      </c>
    </row>
    <row r="78" spans="1:12" x14ac:dyDescent="0.25">
      <c r="A78" s="31">
        <f>IF(AND($N$5=1,50&lt;=$N$11),"50° ajuste","")</f>
      </c>
      <c r="B78" s="31">
        <f>IF(AND($N$5=1,50&lt;=$N$11),INDEX(IPC!$J$5:$J$16,MOD(J78,12)+1)&amp;" de "&amp;INT((J78)/12),"")</f>
      </c>
      <c r="C78" s="31">
        <f>IF(AND(AND($N$5=1,50&lt;=$N$11),$N$10=1),INDEX(IPC!$J$5:$J$16,MOD(L78,12)+1)&amp;" de "&amp;INT((L78)/12),"")</f>
      </c>
      <c r="D78" s="31">
        <f>IF(AND(AND($N$5=1,50&lt;=$N$11),$N$10=1),INDEX(IPC!$J$5:$J$16,MOD(K78,12)+1)&amp;" de "&amp;INT((K78)/12),"")</f>
      </c>
      <c r="E78" s="38">
        <f>IF(NOT(AND($N$5=1,50&lt;=$N$11)),"",IF($N$10=1,IF(AND($N$14=1,K78&lt;=$N$12),INDEX(IPC!$D$5:$D$173,(K78)-IPC!$J$2+1)/INDEX(IPC!$D$5:$D$173,(L78)-IPC!$J$2+1)-1,""),IF(ISNUMBER(F78),F78/100,"")))</f>
      </c>
      <c r="F78" s="36"/>
      <c r="G78" s="33">
        <f>IF(AND(AND($N$5=1,50&lt;=$N$11),ISNUMBER(G77),ISNUMBER(E78)),G77*(1+E78),"")</f>
      </c>
      <c r="H78" s="31">
        <f>IF(NOT(AND($N$5=1,50&lt;=$N$11)),"",IF(ISNUMBER(G78),"Aplicado",IF(ISNUMBER(G77),IF($N$10=1,"Falta el IPC de "&amp;INDEX(IPC!$J$5:$J$16,MOD($N$12+1,12)+1)&amp;" de "&amp;INT(($N$12+1)/12),"Cargá el % de este ajuste en la columna F"),"")))</f>
      </c>
      <c r="J78">
        <f>IF($N$5=1,$N$7+50*$N$8,"")</f>
      </c>
      <c r="K78">
        <f>IF($N$5=1,J78-1-$N$9,"")</f>
      </c>
      <c r="L78">
        <f>IF($N$5=1,K78-$N$8,"")</f>
      </c>
    </row>
    <row r="79" spans="1:12" x14ac:dyDescent="0.25">
      <c r="A79" s="34">
        <f>IF(AND($N$5=1,51&lt;=$N$11),"51° ajuste","")</f>
      </c>
      <c r="B79" s="34">
        <f>IF(AND($N$5=1,51&lt;=$N$11),INDEX(IPC!$J$5:$J$16,MOD(J79,12)+1)&amp;" de "&amp;INT((J79)/12),"")</f>
      </c>
      <c r="C79" s="34">
        <f>IF(AND(AND($N$5=1,51&lt;=$N$11),$N$10=1),INDEX(IPC!$J$5:$J$16,MOD(L79,12)+1)&amp;" de "&amp;INT((L79)/12),"")</f>
      </c>
      <c r="D79" s="34">
        <f>IF(AND(AND($N$5=1,51&lt;=$N$11),$N$10=1),INDEX(IPC!$J$5:$J$16,MOD(K79,12)+1)&amp;" de "&amp;INT((K79)/12),"")</f>
      </c>
      <c r="E79" s="35">
        <f>IF(NOT(AND($N$5=1,51&lt;=$N$11)),"",IF($N$10=1,IF(AND($N$14=1,K79&lt;=$N$12),INDEX(IPC!$D$5:$D$173,(K79)-IPC!$J$2+1)/INDEX(IPC!$D$5:$D$173,(L79)-IPC!$J$2+1)-1,""),IF(ISNUMBER(F79),F79/100,"")))</f>
      </c>
      <c r="F79" s="36"/>
      <c r="G79" s="37">
        <f>IF(AND(AND($N$5=1,51&lt;=$N$11),ISNUMBER(G78),ISNUMBER(E79)),G78*(1+E79),"")</f>
      </c>
      <c r="H79" s="34">
        <f>IF(NOT(AND($N$5=1,51&lt;=$N$11)),"",IF(ISNUMBER(G79),"Aplicado",IF(ISNUMBER(G78),IF($N$10=1,"Falta el IPC de "&amp;INDEX(IPC!$J$5:$J$16,MOD($N$12+1,12)+1)&amp;" de "&amp;INT(($N$12+1)/12),"Cargá el % de este ajuste en la columna F"),"")))</f>
      </c>
      <c r="J79">
        <f>IF($N$5=1,$N$7+51*$N$8,"")</f>
      </c>
      <c r="K79">
        <f>IF($N$5=1,J79-1-$N$9,"")</f>
      </c>
      <c r="L79">
        <f>IF($N$5=1,K79-$N$8,"")</f>
      </c>
    </row>
    <row r="80" spans="1:12" x14ac:dyDescent="0.25">
      <c r="A80" s="31">
        <f>IF(AND($N$5=1,52&lt;=$N$11),"52° ajuste","")</f>
      </c>
      <c r="B80" s="31">
        <f>IF(AND($N$5=1,52&lt;=$N$11),INDEX(IPC!$J$5:$J$16,MOD(J80,12)+1)&amp;" de "&amp;INT((J80)/12),"")</f>
      </c>
      <c r="C80" s="31">
        <f>IF(AND(AND($N$5=1,52&lt;=$N$11),$N$10=1),INDEX(IPC!$J$5:$J$16,MOD(L80,12)+1)&amp;" de "&amp;INT((L80)/12),"")</f>
      </c>
      <c r="D80" s="31">
        <f>IF(AND(AND($N$5=1,52&lt;=$N$11),$N$10=1),INDEX(IPC!$J$5:$J$16,MOD(K80,12)+1)&amp;" de "&amp;INT((K80)/12),"")</f>
      </c>
      <c r="E80" s="38">
        <f>IF(NOT(AND($N$5=1,52&lt;=$N$11)),"",IF($N$10=1,IF(AND($N$14=1,K80&lt;=$N$12),INDEX(IPC!$D$5:$D$173,(K80)-IPC!$J$2+1)/INDEX(IPC!$D$5:$D$173,(L80)-IPC!$J$2+1)-1,""),IF(ISNUMBER(F80),F80/100,"")))</f>
      </c>
      <c r="F80" s="36"/>
      <c r="G80" s="33">
        <f>IF(AND(AND($N$5=1,52&lt;=$N$11),ISNUMBER(G79),ISNUMBER(E80)),G79*(1+E80),"")</f>
      </c>
      <c r="H80" s="31">
        <f>IF(NOT(AND($N$5=1,52&lt;=$N$11)),"",IF(ISNUMBER(G80),"Aplicado",IF(ISNUMBER(G79),IF($N$10=1,"Falta el IPC de "&amp;INDEX(IPC!$J$5:$J$16,MOD($N$12+1,12)+1)&amp;" de "&amp;INT(($N$12+1)/12),"Cargá el % de este ajuste en la columna F"),"")))</f>
      </c>
      <c r="J80">
        <f>IF($N$5=1,$N$7+52*$N$8,"")</f>
      </c>
      <c r="K80">
        <f>IF($N$5=1,J80-1-$N$9,"")</f>
      </c>
      <c r="L80">
        <f>IF($N$5=1,K80-$N$8,"")</f>
      </c>
    </row>
    <row r="81" spans="1:12" x14ac:dyDescent="0.25">
      <c r="A81" s="34">
        <f>IF(AND($N$5=1,53&lt;=$N$11),"53° ajuste","")</f>
      </c>
      <c r="B81" s="34">
        <f>IF(AND($N$5=1,53&lt;=$N$11),INDEX(IPC!$J$5:$J$16,MOD(J81,12)+1)&amp;" de "&amp;INT((J81)/12),"")</f>
      </c>
      <c r="C81" s="34">
        <f>IF(AND(AND($N$5=1,53&lt;=$N$11),$N$10=1),INDEX(IPC!$J$5:$J$16,MOD(L81,12)+1)&amp;" de "&amp;INT((L81)/12),"")</f>
      </c>
      <c r="D81" s="34">
        <f>IF(AND(AND($N$5=1,53&lt;=$N$11),$N$10=1),INDEX(IPC!$J$5:$J$16,MOD(K81,12)+1)&amp;" de "&amp;INT((K81)/12),"")</f>
      </c>
      <c r="E81" s="35">
        <f>IF(NOT(AND($N$5=1,53&lt;=$N$11)),"",IF($N$10=1,IF(AND($N$14=1,K81&lt;=$N$12),INDEX(IPC!$D$5:$D$173,(K81)-IPC!$J$2+1)/INDEX(IPC!$D$5:$D$173,(L81)-IPC!$J$2+1)-1,""),IF(ISNUMBER(F81),F81/100,"")))</f>
      </c>
      <c r="F81" s="36"/>
      <c r="G81" s="37">
        <f>IF(AND(AND($N$5=1,53&lt;=$N$11),ISNUMBER(G80),ISNUMBER(E81)),G80*(1+E81),"")</f>
      </c>
      <c r="H81" s="34">
        <f>IF(NOT(AND($N$5=1,53&lt;=$N$11)),"",IF(ISNUMBER(G81),"Aplicado",IF(ISNUMBER(G80),IF($N$10=1,"Falta el IPC de "&amp;INDEX(IPC!$J$5:$J$16,MOD($N$12+1,12)+1)&amp;" de "&amp;INT(($N$12+1)/12),"Cargá el % de este ajuste en la columna F"),"")))</f>
      </c>
      <c r="J81">
        <f>IF($N$5=1,$N$7+53*$N$8,"")</f>
      </c>
      <c r="K81">
        <f>IF($N$5=1,J81-1-$N$9,"")</f>
      </c>
      <c r="L81">
        <f>IF($N$5=1,K81-$N$8,"")</f>
      </c>
    </row>
    <row r="82" spans="1:12" x14ac:dyDescent="0.25">
      <c r="A82" s="31">
        <f>IF(AND($N$5=1,54&lt;=$N$11),"54° ajuste","")</f>
      </c>
      <c r="B82" s="31">
        <f>IF(AND($N$5=1,54&lt;=$N$11),INDEX(IPC!$J$5:$J$16,MOD(J82,12)+1)&amp;" de "&amp;INT((J82)/12),"")</f>
      </c>
      <c r="C82" s="31">
        <f>IF(AND(AND($N$5=1,54&lt;=$N$11),$N$10=1),INDEX(IPC!$J$5:$J$16,MOD(L82,12)+1)&amp;" de "&amp;INT((L82)/12),"")</f>
      </c>
      <c r="D82" s="31">
        <f>IF(AND(AND($N$5=1,54&lt;=$N$11),$N$10=1),INDEX(IPC!$J$5:$J$16,MOD(K82,12)+1)&amp;" de "&amp;INT((K82)/12),"")</f>
      </c>
      <c r="E82" s="38">
        <f>IF(NOT(AND($N$5=1,54&lt;=$N$11)),"",IF($N$10=1,IF(AND($N$14=1,K82&lt;=$N$12),INDEX(IPC!$D$5:$D$173,(K82)-IPC!$J$2+1)/INDEX(IPC!$D$5:$D$173,(L82)-IPC!$J$2+1)-1,""),IF(ISNUMBER(F82),F82/100,"")))</f>
      </c>
      <c r="F82" s="36"/>
      <c r="G82" s="33">
        <f>IF(AND(AND($N$5=1,54&lt;=$N$11),ISNUMBER(G81),ISNUMBER(E82)),G81*(1+E82),"")</f>
      </c>
      <c r="H82" s="31">
        <f>IF(NOT(AND($N$5=1,54&lt;=$N$11)),"",IF(ISNUMBER(G82),"Aplicado",IF(ISNUMBER(G81),IF($N$10=1,"Falta el IPC de "&amp;INDEX(IPC!$J$5:$J$16,MOD($N$12+1,12)+1)&amp;" de "&amp;INT(($N$12+1)/12),"Cargá el % de este ajuste en la columna F"),"")))</f>
      </c>
      <c r="J82">
        <f>IF($N$5=1,$N$7+54*$N$8,"")</f>
      </c>
      <c r="K82">
        <f>IF($N$5=1,J82-1-$N$9,"")</f>
      </c>
      <c r="L82">
        <f>IF($N$5=1,K82-$N$8,"")</f>
      </c>
    </row>
    <row r="83" spans="1:12" x14ac:dyDescent="0.25">
      <c r="A83" s="34">
        <f>IF(AND($N$5=1,55&lt;=$N$11),"55° ajuste","")</f>
      </c>
      <c r="B83" s="34">
        <f>IF(AND($N$5=1,55&lt;=$N$11),INDEX(IPC!$J$5:$J$16,MOD(J83,12)+1)&amp;" de "&amp;INT((J83)/12),"")</f>
      </c>
      <c r="C83" s="34">
        <f>IF(AND(AND($N$5=1,55&lt;=$N$11),$N$10=1),INDEX(IPC!$J$5:$J$16,MOD(L83,12)+1)&amp;" de "&amp;INT((L83)/12),"")</f>
      </c>
      <c r="D83" s="34">
        <f>IF(AND(AND($N$5=1,55&lt;=$N$11),$N$10=1),INDEX(IPC!$J$5:$J$16,MOD(K83,12)+1)&amp;" de "&amp;INT((K83)/12),"")</f>
      </c>
      <c r="E83" s="35">
        <f>IF(NOT(AND($N$5=1,55&lt;=$N$11)),"",IF($N$10=1,IF(AND($N$14=1,K83&lt;=$N$12),INDEX(IPC!$D$5:$D$173,(K83)-IPC!$J$2+1)/INDEX(IPC!$D$5:$D$173,(L83)-IPC!$J$2+1)-1,""),IF(ISNUMBER(F83),F83/100,"")))</f>
      </c>
      <c r="F83" s="36"/>
      <c r="G83" s="37">
        <f>IF(AND(AND($N$5=1,55&lt;=$N$11),ISNUMBER(G82),ISNUMBER(E83)),G82*(1+E83),"")</f>
      </c>
      <c r="H83" s="34">
        <f>IF(NOT(AND($N$5=1,55&lt;=$N$11)),"",IF(ISNUMBER(G83),"Aplicado",IF(ISNUMBER(G82),IF($N$10=1,"Falta el IPC de "&amp;INDEX(IPC!$J$5:$J$16,MOD($N$12+1,12)+1)&amp;" de "&amp;INT(($N$12+1)/12),"Cargá el % de este ajuste en la columna F"),"")))</f>
      </c>
      <c r="J83">
        <f>IF($N$5=1,$N$7+55*$N$8,"")</f>
      </c>
      <c r="K83">
        <f>IF($N$5=1,J83-1-$N$9,"")</f>
      </c>
      <c r="L83">
        <f>IF($N$5=1,K83-$N$8,"")</f>
      </c>
    </row>
    <row r="84" spans="1:12" x14ac:dyDescent="0.25">
      <c r="A84" s="31">
        <f>IF(AND($N$5=1,56&lt;=$N$11),"56° ajuste","")</f>
      </c>
      <c r="B84" s="31">
        <f>IF(AND($N$5=1,56&lt;=$N$11),INDEX(IPC!$J$5:$J$16,MOD(J84,12)+1)&amp;" de "&amp;INT((J84)/12),"")</f>
      </c>
      <c r="C84" s="31">
        <f>IF(AND(AND($N$5=1,56&lt;=$N$11),$N$10=1),INDEX(IPC!$J$5:$J$16,MOD(L84,12)+1)&amp;" de "&amp;INT((L84)/12),"")</f>
      </c>
      <c r="D84" s="31">
        <f>IF(AND(AND($N$5=1,56&lt;=$N$11),$N$10=1),INDEX(IPC!$J$5:$J$16,MOD(K84,12)+1)&amp;" de "&amp;INT((K84)/12),"")</f>
      </c>
      <c r="E84" s="38">
        <f>IF(NOT(AND($N$5=1,56&lt;=$N$11)),"",IF($N$10=1,IF(AND($N$14=1,K84&lt;=$N$12),INDEX(IPC!$D$5:$D$173,(K84)-IPC!$J$2+1)/INDEX(IPC!$D$5:$D$173,(L84)-IPC!$J$2+1)-1,""),IF(ISNUMBER(F84),F84/100,"")))</f>
      </c>
      <c r="F84" s="36"/>
      <c r="G84" s="33">
        <f>IF(AND(AND($N$5=1,56&lt;=$N$11),ISNUMBER(G83),ISNUMBER(E84)),G83*(1+E84),"")</f>
      </c>
      <c r="H84" s="31">
        <f>IF(NOT(AND($N$5=1,56&lt;=$N$11)),"",IF(ISNUMBER(G84),"Aplicado",IF(ISNUMBER(G83),IF($N$10=1,"Falta el IPC de "&amp;INDEX(IPC!$J$5:$J$16,MOD($N$12+1,12)+1)&amp;" de "&amp;INT(($N$12+1)/12),"Cargá el % de este ajuste en la columna F"),"")))</f>
      </c>
      <c r="J84">
        <f>IF($N$5=1,$N$7+56*$N$8,"")</f>
      </c>
      <c r="K84">
        <f>IF($N$5=1,J84-1-$N$9,"")</f>
      </c>
      <c r="L84">
        <f>IF($N$5=1,K84-$N$8,"")</f>
      </c>
    </row>
    <row r="85" spans="1:12" x14ac:dyDescent="0.25">
      <c r="A85" s="34">
        <f>IF(AND($N$5=1,57&lt;=$N$11),"57° ajuste","")</f>
      </c>
      <c r="B85" s="34">
        <f>IF(AND($N$5=1,57&lt;=$N$11),INDEX(IPC!$J$5:$J$16,MOD(J85,12)+1)&amp;" de "&amp;INT((J85)/12),"")</f>
      </c>
      <c r="C85" s="34">
        <f>IF(AND(AND($N$5=1,57&lt;=$N$11),$N$10=1),INDEX(IPC!$J$5:$J$16,MOD(L85,12)+1)&amp;" de "&amp;INT((L85)/12),"")</f>
      </c>
      <c r="D85" s="34">
        <f>IF(AND(AND($N$5=1,57&lt;=$N$11),$N$10=1),INDEX(IPC!$J$5:$J$16,MOD(K85,12)+1)&amp;" de "&amp;INT((K85)/12),"")</f>
      </c>
      <c r="E85" s="35">
        <f>IF(NOT(AND($N$5=1,57&lt;=$N$11)),"",IF($N$10=1,IF(AND($N$14=1,K85&lt;=$N$12),INDEX(IPC!$D$5:$D$173,(K85)-IPC!$J$2+1)/INDEX(IPC!$D$5:$D$173,(L85)-IPC!$J$2+1)-1,""),IF(ISNUMBER(F85),F85/100,"")))</f>
      </c>
      <c r="F85" s="36"/>
      <c r="G85" s="37">
        <f>IF(AND(AND($N$5=1,57&lt;=$N$11),ISNUMBER(G84),ISNUMBER(E85)),G84*(1+E85),"")</f>
      </c>
      <c r="H85" s="34">
        <f>IF(NOT(AND($N$5=1,57&lt;=$N$11)),"",IF(ISNUMBER(G85),"Aplicado",IF(ISNUMBER(G84),IF($N$10=1,"Falta el IPC de "&amp;INDEX(IPC!$J$5:$J$16,MOD($N$12+1,12)+1)&amp;" de "&amp;INT(($N$12+1)/12),"Cargá el % de este ajuste en la columna F"),"")))</f>
      </c>
      <c r="J85">
        <f>IF($N$5=1,$N$7+57*$N$8,"")</f>
      </c>
      <c r="K85">
        <f>IF($N$5=1,J85-1-$N$9,"")</f>
      </c>
      <c r="L85">
        <f>IF($N$5=1,K85-$N$8,"")</f>
      </c>
    </row>
    <row r="86" spans="1:12" x14ac:dyDescent="0.25">
      <c r="A86" s="31">
        <f>IF(AND($N$5=1,58&lt;=$N$11),"58° ajuste","")</f>
      </c>
      <c r="B86" s="31">
        <f>IF(AND($N$5=1,58&lt;=$N$11),INDEX(IPC!$J$5:$J$16,MOD(J86,12)+1)&amp;" de "&amp;INT((J86)/12),"")</f>
      </c>
      <c r="C86" s="31">
        <f>IF(AND(AND($N$5=1,58&lt;=$N$11),$N$10=1),INDEX(IPC!$J$5:$J$16,MOD(L86,12)+1)&amp;" de "&amp;INT((L86)/12),"")</f>
      </c>
      <c r="D86" s="31">
        <f>IF(AND(AND($N$5=1,58&lt;=$N$11),$N$10=1),INDEX(IPC!$J$5:$J$16,MOD(K86,12)+1)&amp;" de "&amp;INT((K86)/12),"")</f>
      </c>
      <c r="E86" s="38">
        <f>IF(NOT(AND($N$5=1,58&lt;=$N$11)),"",IF($N$10=1,IF(AND($N$14=1,K86&lt;=$N$12),INDEX(IPC!$D$5:$D$173,(K86)-IPC!$J$2+1)/INDEX(IPC!$D$5:$D$173,(L86)-IPC!$J$2+1)-1,""),IF(ISNUMBER(F86),F86/100,"")))</f>
      </c>
      <c r="F86" s="36"/>
      <c r="G86" s="33">
        <f>IF(AND(AND($N$5=1,58&lt;=$N$11),ISNUMBER(G85),ISNUMBER(E86)),G85*(1+E86),"")</f>
      </c>
      <c r="H86" s="31">
        <f>IF(NOT(AND($N$5=1,58&lt;=$N$11)),"",IF(ISNUMBER(G86),"Aplicado",IF(ISNUMBER(G85),IF($N$10=1,"Falta el IPC de "&amp;INDEX(IPC!$J$5:$J$16,MOD($N$12+1,12)+1)&amp;" de "&amp;INT(($N$12+1)/12),"Cargá el % de este ajuste en la columna F"),"")))</f>
      </c>
      <c r="J86">
        <f>IF($N$5=1,$N$7+58*$N$8,"")</f>
      </c>
      <c r="K86">
        <f>IF($N$5=1,J86-1-$N$9,"")</f>
      </c>
      <c r="L86">
        <f>IF($N$5=1,K86-$N$8,"")</f>
      </c>
    </row>
    <row r="87" spans="1:12" x14ac:dyDescent="0.25">
      <c r="A87" s="34">
        <f>IF(AND($N$5=1,59&lt;=$N$11),"59° ajuste","")</f>
      </c>
      <c r="B87" s="34">
        <f>IF(AND($N$5=1,59&lt;=$N$11),INDEX(IPC!$J$5:$J$16,MOD(J87,12)+1)&amp;" de "&amp;INT((J87)/12),"")</f>
      </c>
      <c r="C87" s="34">
        <f>IF(AND(AND($N$5=1,59&lt;=$N$11),$N$10=1),INDEX(IPC!$J$5:$J$16,MOD(L87,12)+1)&amp;" de "&amp;INT((L87)/12),"")</f>
      </c>
      <c r="D87" s="34">
        <f>IF(AND(AND($N$5=1,59&lt;=$N$11),$N$10=1),INDEX(IPC!$J$5:$J$16,MOD(K87,12)+1)&amp;" de "&amp;INT((K87)/12),"")</f>
      </c>
      <c r="E87" s="35">
        <f>IF(NOT(AND($N$5=1,59&lt;=$N$11)),"",IF($N$10=1,IF(AND($N$14=1,K87&lt;=$N$12),INDEX(IPC!$D$5:$D$173,(K87)-IPC!$J$2+1)/INDEX(IPC!$D$5:$D$173,(L87)-IPC!$J$2+1)-1,""),IF(ISNUMBER(F87),F87/100,"")))</f>
      </c>
      <c r="F87" s="36"/>
      <c r="G87" s="37">
        <f>IF(AND(AND($N$5=1,59&lt;=$N$11),ISNUMBER(G86),ISNUMBER(E87)),G86*(1+E87),"")</f>
      </c>
      <c r="H87" s="34">
        <f>IF(NOT(AND($N$5=1,59&lt;=$N$11)),"",IF(ISNUMBER(G87),"Aplicado",IF(ISNUMBER(G86),IF($N$10=1,"Falta el IPC de "&amp;INDEX(IPC!$J$5:$J$16,MOD($N$12+1,12)+1)&amp;" de "&amp;INT(($N$12+1)/12),"Cargá el % de este ajuste en la columna F"),"")))</f>
      </c>
      <c r="J87">
        <f>IF($N$5=1,$N$7+59*$N$8,"")</f>
      </c>
      <c r="K87">
        <f>IF($N$5=1,J87-1-$N$9,"")</f>
      </c>
      <c r="L87">
        <f>IF($N$5=1,K87-$N$8,"")</f>
      </c>
    </row>
    <row r="88" spans="1:12" x14ac:dyDescent="0.25">
      <c r="A88" s="31">
        <f>IF(AND($N$5=1,60&lt;=$N$11),"60° ajuste","")</f>
      </c>
      <c r="B88" s="31">
        <f>IF(AND($N$5=1,60&lt;=$N$11),INDEX(IPC!$J$5:$J$16,MOD(J88,12)+1)&amp;" de "&amp;INT((J88)/12),"")</f>
      </c>
      <c r="C88" s="31">
        <f>IF(AND(AND($N$5=1,60&lt;=$N$11),$N$10=1),INDEX(IPC!$J$5:$J$16,MOD(L88,12)+1)&amp;" de "&amp;INT((L88)/12),"")</f>
      </c>
      <c r="D88" s="31">
        <f>IF(AND(AND($N$5=1,60&lt;=$N$11),$N$10=1),INDEX(IPC!$J$5:$J$16,MOD(K88,12)+1)&amp;" de "&amp;INT((K88)/12),"")</f>
      </c>
      <c r="E88" s="38">
        <f>IF(NOT(AND($N$5=1,60&lt;=$N$11)),"",IF($N$10=1,IF(AND($N$14=1,K88&lt;=$N$12),INDEX(IPC!$D$5:$D$173,(K88)-IPC!$J$2+1)/INDEX(IPC!$D$5:$D$173,(L88)-IPC!$J$2+1)-1,""),IF(ISNUMBER(F88),F88/100,"")))</f>
      </c>
      <c r="F88" s="36"/>
      <c r="G88" s="33">
        <f>IF(AND(AND($N$5=1,60&lt;=$N$11),ISNUMBER(G87),ISNUMBER(E88)),G87*(1+E88),"")</f>
      </c>
      <c r="H88" s="31">
        <f>IF(NOT(AND($N$5=1,60&lt;=$N$11)),"",IF(ISNUMBER(G88),"Aplicado",IF(ISNUMBER(G87),IF($N$10=1,"Falta el IPC de "&amp;INDEX(IPC!$J$5:$J$16,MOD($N$12+1,12)+1)&amp;" de "&amp;INT(($N$12+1)/12),"Cargá el % de este ajuste en la columna F"),"")))</f>
      </c>
      <c r="J88">
        <f>IF($N$5=1,$N$7+60*$N$8,"")</f>
      </c>
      <c r="K88">
        <f>IF($N$5=1,J88-1-$N$9,"")</f>
      </c>
      <c r="L88">
        <f>IF($N$5=1,K88-$N$8,"")</f>
      </c>
    </row>
    <row r="90" ht="40" customHeight="1" spans="1:8" x14ac:dyDescent="0.25">
      <c r="A90" s="9" t="s">
        <v>75</v>
      </c>
      <c r="B90" s="9"/>
      <c r="C90" s="9"/>
      <c r="D90" s="9"/>
      <c r="E90" s="9"/>
      <c r="F90" s="9"/>
      <c r="G90" s="9"/>
      <c r="H90" s="9"/>
    </row>
  </sheetData>
  <sheetProtection sheet="1" formatColumns="0" formatRows="0"/>
  <mergeCells count="11">
    <mergeCell ref="A1:H1"/>
    <mergeCell ref="A2:H2"/>
    <mergeCell ref="A4:B4"/>
    <mergeCell ref="C8:H8"/>
    <mergeCell ref="C12:H12"/>
    <mergeCell ref="C13:H13"/>
    <mergeCell ref="C14:H14"/>
    <mergeCell ref="A16:B16"/>
    <mergeCell ref="B24:H24"/>
    <mergeCell ref="A26:H26"/>
    <mergeCell ref="A90:H90"/>
  </mergeCells>
  <dataValidations count="8">
    <dataValidation type="whole" showErrorMessage="1" error="La duración va en meses, entre 1 y 60. Un contrato de dos años son 24." sqref="B10">
      <formula1>1</formula1>
      <formula2>60</formula2>
    </dataValidation>
    <dataValidation type="decimal" allowBlank="1" showErrorMessage="1" error="Escribí el alquiler del primer mes, sin puntos ni signo $. Por ejemplo: 500000." sqref="B11">
      <formula1>1</formula1>
      <formula2>10000000000</formula2>
    </dataValidation>
    <dataValidation type="list" showErrorMessage="1" error="Elegí una opción de la lista." sqref="B12">
      <formula1>"IPC (INDEC),Otro índice (cargo el %)"</formula1>
    </dataValidation>
    <dataValidation type="whole" showErrorMessage="1" error="Escribí cada cuántos meses se ajusta: 3, 4, 6 o 12 son los más comunes." sqref="B13">
      <formula1>1</formula1>
      <formula2>12</formula2>
    </dataValidation>
    <dataValidation type="list" showErrorMessage="1" error="Elegí una opción de la lista." sqref="B14">
      <formula1>"Los completos antes del ajuste,Los últimos publicados"</formula1>
    </dataValidation>
    <dataValidation type="list" showErrorMessage="1" error="Elegí un mes de la lista." sqref="B8">
      <formula1>"enero,febrero,marzo,abril,mayo,junio,julio,agosto,septiembre,octubre,noviembre,diciembre"</formula1>
    </dataValidation>
    <dataValidation type="whole" allowBlank="1" showErrorMessage="1" error="Escribí el año con cuatro cifras, entre 2017 y 2040." sqref="B9">
      <formula1>2017</formula1>
      <formula2>2040</formula2>
    </dataValidation>
    <dataValidation type="decimal" allowBlank="1" showErrorMessage="1" error="Cargá el % del ajuste como número: por ejemplo 9,32 para 9,32%." sqref="F29:F88">
      <formula1>-90</formula1>
      <formula2>500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N9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22" customWidth="1"/>
    <col min="5" max="5" width="13" customWidth="1"/>
    <col min="6" max="6" width="14" customWidth="1"/>
    <col min="7" max="7" width="18" customWidth="1"/>
    <col min="8" max="8" width="46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</cols>
  <sheetData>
    <row r="1" ht="28" customHeight="1" spans="1:8" x14ac:dyDescent="0.25">
      <c r="A1" s="10" t="s">
        <v>37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76</v>
      </c>
      <c r="B2" s="11"/>
      <c r="C2" s="11"/>
      <c r="D2" s="11"/>
      <c r="E2" s="11"/>
      <c r="F2" s="11"/>
      <c r="G2" s="11"/>
      <c r="H2" s="11"/>
    </row>
    <row r="4" spans="1:2" x14ac:dyDescent="0.25">
      <c r="A4" s="4" t="s">
        <v>41</v>
      </c>
      <c r="B4" s="4"/>
    </row>
    <row r="5" spans="1:14" x14ac:dyDescent="0.25">
      <c r="A5" s="19" t="s">
        <v>42</v>
      </c>
      <c r="B5" s="20"/>
      <c r="N5">
        <f>IF(AND(N6&gt;0,ISNUMBER(B9),ISNUMBER(B11),B11&gt;0,ISNUMBER(B13),B13&gt;=1,ISNUMBER(B10),B10&gt;=1),1,0)</f>
      </c>
    </row>
    <row r="6" spans="1:14" x14ac:dyDescent="0.25">
      <c r="A6" s="19" t="s">
        <v>27</v>
      </c>
      <c r="B6" s="20"/>
      <c r="N6">
        <f>IFERROR(MATCH(B8,IPC!$J$5:$J$16,0),0)</f>
      </c>
    </row>
    <row r="7" spans="1:14" x14ac:dyDescent="0.25">
      <c r="A7" s="19" t="s">
        <v>45</v>
      </c>
      <c r="B7" s="20"/>
      <c r="N7">
        <f>IF(N5=1,B9*12+N6-1,0)</f>
      </c>
    </row>
    <row r="8" spans="1:14" x14ac:dyDescent="0.25">
      <c r="A8" s="19" t="s">
        <v>46</v>
      </c>
      <c r="B8" s="20"/>
      <c r="C8" s="21" t="s">
        <v>48</v>
      </c>
      <c r="D8" s="21"/>
      <c r="E8" s="21"/>
      <c r="F8" s="21"/>
      <c r="G8" s="21"/>
      <c r="H8" s="21"/>
      <c r="N8">
        <f>IF(N5=1,INT(B13),1)</f>
      </c>
    </row>
    <row r="9" spans="1:14" x14ac:dyDescent="0.25">
      <c r="A9" s="19" t="s">
        <v>49</v>
      </c>
      <c r="B9" s="22"/>
      <c r="N9">
        <f>IF(B14="Los últimos publicados",1,0)</f>
      </c>
    </row>
    <row r="10" spans="1:14" x14ac:dyDescent="0.25">
      <c r="A10" s="19" t="s">
        <v>50</v>
      </c>
      <c r="B10" s="22">
        <v>24</v>
      </c>
      <c r="N10">
        <f>IF(B12="Otro índice (cargo el %)",0,1)</f>
      </c>
    </row>
    <row r="11" spans="1:14" x14ac:dyDescent="0.25">
      <c r="A11" s="19" t="s">
        <v>51</v>
      </c>
      <c r="B11" s="23"/>
      <c r="N11">
        <f>IF(N5=1,MIN(INT((B10-1)/N8),60),0)</f>
      </c>
    </row>
    <row r="12" ht="30" customHeight="1" spans="1:14" x14ac:dyDescent="0.25">
      <c r="A12" s="19" t="s">
        <v>52</v>
      </c>
      <c r="B12" s="20" t="s">
        <v>53</v>
      </c>
      <c r="C12" s="21" t="s">
        <v>54</v>
      </c>
      <c r="D12" s="21"/>
      <c r="E12" s="21"/>
      <c r="F12" s="21"/>
      <c r="G12" s="21"/>
      <c r="H12" s="21"/>
      <c r="N12">
        <f>IPC!$J$3</f>
      </c>
    </row>
    <row r="13" spans="1:14" x14ac:dyDescent="0.25">
      <c r="A13" s="19" t="s">
        <v>55</v>
      </c>
      <c r="B13" s="22">
        <v>3</v>
      </c>
      <c r="C13" s="21" t="s">
        <v>56</v>
      </c>
      <c r="D13" s="21"/>
      <c r="E13" s="21"/>
      <c r="F13" s="21"/>
      <c r="G13" s="21"/>
      <c r="H13" s="21"/>
      <c r="N13">
        <f>IPC!$J$2</f>
      </c>
    </row>
    <row r="14" ht="42" customHeight="1" spans="1:14" x14ac:dyDescent="0.25">
      <c r="A14" s="19" t="s">
        <v>57</v>
      </c>
      <c r="B14" s="20" t="s">
        <v>58</v>
      </c>
      <c r="C14" s="21" t="s">
        <v>59</v>
      </c>
      <c r="D14" s="21"/>
      <c r="E14" s="21"/>
      <c r="F14" s="21"/>
      <c r="G14" s="21"/>
      <c r="H14" s="21"/>
      <c r="N14">
        <f>IF(N5=0,0,IF(N10=0,1,IF(AND(N7-1-N9&gt;=N13,N7-1-N9&lt;=N12),1,0)))</f>
      </c>
    </row>
    <row r="15" ht="6" customHeight="1" spans="14:14" x14ac:dyDescent="0.25">
      <c r="N15">
        <f>COUNT(G29:G88)</f>
      </c>
    </row>
    <row r="16" spans="1:14" x14ac:dyDescent="0.25">
      <c r="A16" s="4" t="s">
        <v>60</v>
      </c>
      <c r="B16" s="4"/>
      <c r="N16">
        <f>IF(N5=1,INDEX(G28:G88,N15+1),"")</f>
      </c>
    </row>
    <row r="17" spans="1:14" x14ac:dyDescent="0.25">
      <c r="A17" s="19" t="s">
        <v>61</v>
      </c>
      <c r="B17" s="24">
        <f>N16</f>
      </c>
      <c r="N17">
        <f>N15+1</f>
      </c>
    </row>
    <row r="18" spans="1:14" x14ac:dyDescent="0.25">
      <c r="A18" s="19" t="s">
        <v>29</v>
      </c>
      <c r="B18" s="25">
        <f>IF(N5=1,INDEX(B28:B88,N15+1),"")</f>
      </c>
      <c r="N18">
        <f>IF(AND(N5=1,N17&lt;=N11),1,0)</f>
      </c>
    </row>
    <row r="19" spans="1:14" x14ac:dyDescent="0.25">
      <c r="A19" s="19" t="s">
        <v>62</v>
      </c>
      <c r="B19" s="26">
        <f>IF(N5=1,N15,"")</f>
      </c>
      <c r="N19">
        <f>N7+N17*N8-1-N9</f>
      </c>
    </row>
    <row r="20" spans="1:14" x14ac:dyDescent="0.25">
      <c r="A20" s="19" t="s">
        <v>63</v>
      </c>
      <c r="B20" s="27">
        <f>IF(N5=1,N16/B11-1,"")</f>
      </c>
      <c r="N20">
        <f>N19-N12</f>
      </c>
    </row>
    <row r="21" spans="1:14" x14ac:dyDescent="0.25">
      <c r="A21" s="19" t="s">
        <v>30</v>
      </c>
      <c r="B21" s="25">
        <f>IF(N18=1,INDEX(B28:B88,N17+1),IF(N5=1,"No quedan ajustes antes de que termine",""))</f>
      </c>
      <c r="N21">
        <f>INDEX(IPC!$D$5:$D$173,(N12)-IPC!$J$2+1)/INDEX(IPC!$D$5:$D$173,(N12-1)-IPC!$J$2+1)-1</f>
      </c>
    </row>
    <row r="22" spans="1:14" x14ac:dyDescent="0.25">
      <c r="A22" s="19" t="s">
        <v>64</v>
      </c>
      <c r="B22" s="28">
        <f>N22</f>
      </c>
      <c r="N22">
        <f>IF(AND(N18=1,N10=1,N14=1,N20&gt;0,N20&lt;=12),N16*INDEX(IPC!$D$5:$D$173,(N12)-IPC!$J$2+1)*(1+N21)^N20/INDEX(IPC!$D$5:$D$173,(N19-N8)-IPC!$J$2+1),"")</f>
      </c>
    </row>
    <row r="23" spans="1:14" x14ac:dyDescent="0.25">
      <c r="A23" s="19" t="s">
        <v>65</v>
      </c>
      <c r="B23" s="25">
        <f>IF(N5=1,INDEX(IPC!$J$5:$J$16,MOD(N7+B10-1,12)+1)&amp;" de "&amp;INT((N7+B10-1)/12),"")</f>
      </c>
      <c r="N23">
        <f>IF(ISNUMBER(N22),ROUND(N22,0),"")</f>
      </c>
    </row>
    <row r="24" ht="46" customHeight="1" spans="1:14" x14ac:dyDescent="0.25">
      <c r="A24" s="19" t="s">
        <v>66</v>
      </c>
      <c r="B24" s="29">
        <f>IF(N5=0,"Completá las celdas amarillas de arriba y acá aparece el cronograma de aumentos.",IF(N14=0,"Todavía no está publicado el IPC de "&amp;INDEX(IPC!$J$5:$J$16,MOD(N7-1-N9,12)+1)&amp;" de "&amp;INT((N7-1-N9)/12)&amp;", que es la base de este contrato. Mientras tanto se cobra el valor inicial.",IF(N18=0,"No quedan ajustes: el contrato termina en "&amp;INDEX(IPC!$J$5:$J$16,MOD(N7+B10-1,12)+1)&amp;" de "&amp;INT((N7+B10-1)/12)&amp;".",IF(N10=1,"El próximo ajuste rige desde "&amp;B21&amp;". Se calcula cuando el INDEC publique el IPC de "&amp;INDEX(IPC!$J$5:$J$16,MOD(N19,12)+1)&amp;" de "&amp;INT((N19)/12)&amp;" (sale entre el 10 y el 15 del mes siguiente)"&amp;IF(ISNUMBER(N22),". Si la inflación siguiera como el último mes, el alquiler quedaría en unos $ "&amp;N24&amp;".","."),"El próximo ajuste rige desde "&amp;B21&amp;": cuando lo tengas, cargá el % del índice pactado en la columna F del cronograma."))))</f>
      </c>
      <c r="C24" s="29"/>
      <c r="D24" s="29"/>
      <c r="E24" s="29"/>
      <c r="F24" s="29"/>
      <c r="G24" s="29"/>
      <c r="H24" s="29"/>
      <c r="N24">
        <f>IF(ISNUMBER(N23),IF(N23&gt;=1000000000,INT(N23/1000000000)&amp;"."&amp;RIGHT("00"&amp;INT(MOD(N23,1000000000)/1000000),3)&amp;"."&amp;RIGHT("00"&amp;INT(MOD(N23,1000000)/1000),3)&amp;"."&amp;RIGHT("00"&amp;INT(MOD(N23,1000)/1),3),IF(N23&gt;=1000000,INT(N23/1000000)&amp;"."&amp;RIGHT("00"&amp;INT(MOD(N23,1000000)/1000),3)&amp;"."&amp;RIGHT("00"&amp;INT(MOD(N23,1000)/1),3),IF(N23&gt;=1000,INT(N23/1000)&amp;"."&amp;RIGHT("00"&amp;INT(MOD(N23,1000)/1),3),""&amp;N23))),"")</f>
      </c>
    </row>
    <row r="26" spans="1:8" x14ac:dyDescent="0.25">
      <c r="A26" s="4" t="s">
        <v>67</v>
      </c>
      <c r="B26" s="4"/>
      <c r="C26" s="4"/>
      <c r="D26" s="4"/>
      <c r="E26" s="4"/>
      <c r="F26" s="4"/>
      <c r="G26" s="4"/>
      <c r="H26" s="4"/>
    </row>
    <row r="27" ht="30" customHeight="1" spans="1:8" x14ac:dyDescent="0.25">
      <c r="A27" s="30" t="s">
        <v>68</v>
      </c>
      <c r="B27" s="30" t="s">
        <v>29</v>
      </c>
      <c r="C27" s="30" t="s">
        <v>69</v>
      </c>
      <c r="D27" s="30" t="s">
        <v>70</v>
      </c>
      <c r="E27" s="30" t="s">
        <v>71</v>
      </c>
      <c r="F27" s="30" t="s">
        <v>72</v>
      </c>
      <c r="G27" s="30" t="s">
        <v>73</v>
      </c>
      <c r="H27" s="30" t="s">
        <v>74</v>
      </c>
    </row>
    <row r="28" spans="1:12" x14ac:dyDescent="0.25">
      <c r="A28" s="31">
        <f>IF($N$5=1,"Valor inicial","")</f>
      </c>
      <c r="B28" s="31">
        <f>IF($N$5=1,INDEX(IPC!$J$5:$J$16,MOD(J28,12)+1)&amp;" de "&amp;INT((J28)/12),"")</f>
      </c>
      <c r="C28" s="31"/>
      <c r="D28" s="31"/>
      <c r="E28" s="31"/>
      <c r="F28" s="32"/>
      <c r="G28" s="33">
        <f>IF($N$5=1,B11,"")</f>
      </c>
      <c r="H28" s="31">
        <f>IF($N$5=1,"Valor inicial del contrato","")</f>
      </c>
      <c r="J28">
        <f>IF($N$5=1,$N$7+0*$N$8,"")</f>
      </c>
      <c r="K28">
        <f>IF($N$5=1,J28-1-$N$9,"")</f>
      </c>
      <c r="L28">
        <f>IF($N$5=1,K28-$N$8,"")</f>
      </c>
    </row>
    <row r="29" spans="1:12" x14ac:dyDescent="0.25">
      <c r="A29" s="34">
        <f>IF(AND($N$5=1,1&lt;=$N$11),"1° ajuste","")</f>
      </c>
      <c r="B29" s="34">
        <f>IF(AND($N$5=1,1&lt;=$N$11),INDEX(IPC!$J$5:$J$16,MOD(J29,12)+1)&amp;" de "&amp;INT((J29)/12),"")</f>
      </c>
      <c r="C29" s="34">
        <f>IF(AND(AND($N$5=1,1&lt;=$N$11),$N$10=1),INDEX(IPC!$J$5:$J$16,MOD(L29,12)+1)&amp;" de "&amp;INT((L29)/12),"")</f>
      </c>
      <c r="D29" s="34">
        <f>IF(AND(AND($N$5=1,1&lt;=$N$11),$N$10=1),INDEX(IPC!$J$5:$J$16,MOD(K29,12)+1)&amp;" de "&amp;INT((K29)/12),"")</f>
      </c>
      <c r="E29" s="35">
        <f>IF(NOT(AND($N$5=1,1&lt;=$N$11)),"",IF($N$10=1,IF(AND($N$14=1,K29&lt;=$N$12),INDEX(IPC!$D$5:$D$173,(K29)-IPC!$J$2+1)/INDEX(IPC!$D$5:$D$173,(L29)-IPC!$J$2+1)-1,""),IF(ISNUMBER(F29),F29/100,"")))</f>
      </c>
      <c r="F29" s="36"/>
      <c r="G29" s="37">
        <f>IF(AND(AND($N$5=1,1&lt;=$N$11),ISNUMBER(G28),ISNUMBER(E29)),G28*(1+E29),"")</f>
      </c>
      <c r="H29" s="34">
        <f>IF(NOT(AND($N$5=1,1&lt;=$N$11)),"",IF(ISNUMBER(G29),"Aplicado",IF(ISNUMBER(G28),IF($N$10=1,"Falta el IPC de "&amp;INDEX(IPC!$J$5:$J$16,MOD($N$12+1,12)+1)&amp;" de "&amp;INT(($N$12+1)/12),"Cargá el % de este ajuste en la columna F"),"")))</f>
      </c>
      <c r="J29">
        <f>IF($N$5=1,$N$7+1*$N$8,"")</f>
      </c>
      <c r="K29">
        <f>IF($N$5=1,J29-1-$N$9,"")</f>
      </c>
      <c r="L29">
        <f>IF($N$5=1,K29-$N$8,"")</f>
      </c>
    </row>
    <row r="30" spans="1:12" x14ac:dyDescent="0.25">
      <c r="A30" s="31">
        <f>IF(AND($N$5=1,2&lt;=$N$11),"2° ajuste","")</f>
      </c>
      <c r="B30" s="31">
        <f>IF(AND($N$5=1,2&lt;=$N$11),INDEX(IPC!$J$5:$J$16,MOD(J30,12)+1)&amp;" de "&amp;INT((J30)/12),"")</f>
      </c>
      <c r="C30" s="31">
        <f>IF(AND(AND($N$5=1,2&lt;=$N$11),$N$10=1),INDEX(IPC!$J$5:$J$16,MOD(L30,12)+1)&amp;" de "&amp;INT((L30)/12),"")</f>
      </c>
      <c r="D30" s="31">
        <f>IF(AND(AND($N$5=1,2&lt;=$N$11),$N$10=1),INDEX(IPC!$J$5:$J$16,MOD(K30,12)+1)&amp;" de "&amp;INT((K30)/12),"")</f>
      </c>
      <c r="E30" s="38">
        <f>IF(NOT(AND($N$5=1,2&lt;=$N$11)),"",IF($N$10=1,IF(AND($N$14=1,K30&lt;=$N$12),INDEX(IPC!$D$5:$D$173,(K30)-IPC!$J$2+1)/INDEX(IPC!$D$5:$D$173,(L30)-IPC!$J$2+1)-1,""),IF(ISNUMBER(F30),F30/100,"")))</f>
      </c>
      <c r="F30" s="36"/>
      <c r="G30" s="33">
        <f>IF(AND(AND($N$5=1,2&lt;=$N$11),ISNUMBER(G29),ISNUMBER(E30)),G29*(1+E30),"")</f>
      </c>
      <c r="H30" s="31">
        <f>IF(NOT(AND($N$5=1,2&lt;=$N$11)),"",IF(ISNUMBER(G30),"Aplicado",IF(ISNUMBER(G29),IF($N$10=1,"Falta el IPC de "&amp;INDEX(IPC!$J$5:$J$16,MOD($N$12+1,12)+1)&amp;" de "&amp;INT(($N$12+1)/12),"Cargá el % de este ajuste en la columna F"),"")))</f>
      </c>
      <c r="J30">
        <f>IF($N$5=1,$N$7+2*$N$8,"")</f>
      </c>
      <c r="K30">
        <f>IF($N$5=1,J30-1-$N$9,"")</f>
      </c>
      <c r="L30">
        <f>IF($N$5=1,K30-$N$8,"")</f>
      </c>
    </row>
    <row r="31" spans="1:12" x14ac:dyDescent="0.25">
      <c r="A31" s="34">
        <f>IF(AND($N$5=1,3&lt;=$N$11),"3° ajuste","")</f>
      </c>
      <c r="B31" s="34">
        <f>IF(AND($N$5=1,3&lt;=$N$11),INDEX(IPC!$J$5:$J$16,MOD(J31,12)+1)&amp;" de "&amp;INT((J31)/12),"")</f>
      </c>
      <c r="C31" s="34">
        <f>IF(AND(AND($N$5=1,3&lt;=$N$11),$N$10=1),INDEX(IPC!$J$5:$J$16,MOD(L31,12)+1)&amp;" de "&amp;INT((L31)/12),"")</f>
      </c>
      <c r="D31" s="34">
        <f>IF(AND(AND($N$5=1,3&lt;=$N$11),$N$10=1),INDEX(IPC!$J$5:$J$16,MOD(K31,12)+1)&amp;" de "&amp;INT((K31)/12),"")</f>
      </c>
      <c r="E31" s="35">
        <f>IF(NOT(AND($N$5=1,3&lt;=$N$11)),"",IF($N$10=1,IF(AND($N$14=1,K31&lt;=$N$12),INDEX(IPC!$D$5:$D$173,(K31)-IPC!$J$2+1)/INDEX(IPC!$D$5:$D$173,(L31)-IPC!$J$2+1)-1,""),IF(ISNUMBER(F31),F31/100,"")))</f>
      </c>
      <c r="F31" s="36"/>
      <c r="G31" s="37">
        <f>IF(AND(AND($N$5=1,3&lt;=$N$11),ISNUMBER(G30),ISNUMBER(E31)),G30*(1+E31),"")</f>
      </c>
      <c r="H31" s="34">
        <f>IF(NOT(AND($N$5=1,3&lt;=$N$11)),"",IF(ISNUMBER(G31),"Aplicado",IF(ISNUMBER(G30),IF($N$10=1,"Falta el IPC de "&amp;INDEX(IPC!$J$5:$J$16,MOD($N$12+1,12)+1)&amp;" de "&amp;INT(($N$12+1)/12),"Cargá el % de este ajuste en la columna F"),"")))</f>
      </c>
      <c r="J31">
        <f>IF($N$5=1,$N$7+3*$N$8,"")</f>
      </c>
      <c r="K31">
        <f>IF($N$5=1,J31-1-$N$9,"")</f>
      </c>
      <c r="L31">
        <f>IF($N$5=1,K31-$N$8,"")</f>
      </c>
    </row>
    <row r="32" spans="1:12" x14ac:dyDescent="0.25">
      <c r="A32" s="31">
        <f>IF(AND($N$5=1,4&lt;=$N$11),"4° ajuste","")</f>
      </c>
      <c r="B32" s="31">
        <f>IF(AND($N$5=1,4&lt;=$N$11),INDEX(IPC!$J$5:$J$16,MOD(J32,12)+1)&amp;" de "&amp;INT((J32)/12),"")</f>
      </c>
      <c r="C32" s="31">
        <f>IF(AND(AND($N$5=1,4&lt;=$N$11),$N$10=1),INDEX(IPC!$J$5:$J$16,MOD(L32,12)+1)&amp;" de "&amp;INT((L32)/12),"")</f>
      </c>
      <c r="D32" s="31">
        <f>IF(AND(AND($N$5=1,4&lt;=$N$11),$N$10=1),INDEX(IPC!$J$5:$J$16,MOD(K32,12)+1)&amp;" de "&amp;INT((K32)/12),"")</f>
      </c>
      <c r="E32" s="38">
        <f>IF(NOT(AND($N$5=1,4&lt;=$N$11)),"",IF($N$10=1,IF(AND($N$14=1,K32&lt;=$N$12),INDEX(IPC!$D$5:$D$173,(K32)-IPC!$J$2+1)/INDEX(IPC!$D$5:$D$173,(L32)-IPC!$J$2+1)-1,""),IF(ISNUMBER(F32),F32/100,"")))</f>
      </c>
      <c r="F32" s="36"/>
      <c r="G32" s="33">
        <f>IF(AND(AND($N$5=1,4&lt;=$N$11),ISNUMBER(G31),ISNUMBER(E32)),G31*(1+E32),"")</f>
      </c>
      <c r="H32" s="31">
        <f>IF(NOT(AND($N$5=1,4&lt;=$N$11)),"",IF(ISNUMBER(G32),"Aplicado",IF(ISNUMBER(G31),IF($N$10=1,"Falta el IPC de "&amp;INDEX(IPC!$J$5:$J$16,MOD($N$12+1,12)+1)&amp;" de "&amp;INT(($N$12+1)/12),"Cargá el % de este ajuste en la columna F"),"")))</f>
      </c>
      <c r="J32">
        <f>IF($N$5=1,$N$7+4*$N$8,"")</f>
      </c>
      <c r="K32">
        <f>IF($N$5=1,J32-1-$N$9,"")</f>
      </c>
      <c r="L32">
        <f>IF($N$5=1,K32-$N$8,"")</f>
      </c>
    </row>
    <row r="33" spans="1:12" x14ac:dyDescent="0.25">
      <c r="A33" s="34">
        <f>IF(AND($N$5=1,5&lt;=$N$11),"5° ajuste","")</f>
      </c>
      <c r="B33" s="34">
        <f>IF(AND($N$5=1,5&lt;=$N$11),INDEX(IPC!$J$5:$J$16,MOD(J33,12)+1)&amp;" de "&amp;INT((J33)/12),"")</f>
      </c>
      <c r="C33" s="34">
        <f>IF(AND(AND($N$5=1,5&lt;=$N$11),$N$10=1),INDEX(IPC!$J$5:$J$16,MOD(L33,12)+1)&amp;" de "&amp;INT((L33)/12),"")</f>
      </c>
      <c r="D33" s="34">
        <f>IF(AND(AND($N$5=1,5&lt;=$N$11),$N$10=1),INDEX(IPC!$J$5:$J$16,MOD(K33,12)+1)&amp;" de "&amp;INT((K33)/12),"")</f>
      </c>
      <c r="E33" s="35">
        <f>IF(NOT(AND($N$5=1,5&lt;=$N$11)),"",IF($N$10=1,IF(AND($N$14=1,K33&lt;=$N$12),INDEX(IPC!$D$5:$D$173,(K33)-IPC!$J$2+1)/INDEX(IPC!$D$5:$D$173,(L33)-IPC!$J$2+1)-1,""),IF(ISNUMBER(F33),F33/100,"")))</f>
      </c>
      <c r="F33" s="36"/>
      <c r="G33" s="37">
        <f>IF(AND(AND($N$5=1,5&lt;=$N$11),ISNUMBER(G32),ISNUMBER(E33)),G32*(1+E33),"")</f>
      </c>
      <c r="H33" s="34">
        <f>IF(NOT(AND($N$5=1,5&lt;=$N$11)),"",IF(ISNUMBER(G33),"Aplicado",IF(ISNUMBER(G32),IF($N$10=1,"Falta el IPC de "&amp;INDEX(IPC!$J$5:$J$16,MOD($N$12+1,12)+1)&amp;" de "&amp;INT(($N$12+1)/12),"Cargá el % de este ajuste en la columna F"),"")))</f>
      </c>
      <c r="J33">
        <f>IF($N$5=1,$N$7+5*$N$8,"")</f>
      </c>
      <c r="K33">
        <f>IF($N$5=1,J33-1-$N$9,"")</f>
      </c>
      <c r="L33">
        <f>IF($N$5=1,K33-$N$8,"")</f>
      </c>
    </row>
    <row r="34" spans="1:12" x14ac:dyDescent="0.25">
      <c r="A34" s="31">
        <f>IF(AND($N$5=1,6&lt;=$N$11),"6° ajuste","")</f>
      </c>
      <c r="B34" s="31">
        <f>IF(AND($N$5=1,6&lt;=$N$11),INDEX(IPC!$J$5:$J$16,MOD(J34,12)+1)&amp;" de "&amp;INT((J34)/12),"")</f>
      </c>
      <c r="C34" s="31">
        <f>IF(AND(AND($N$5=1,6&lt;=$N$11),$N$10=1),INDEX(IPC!$J$5:$J$16,MOD(L34,12)+1)&amp;" de "&amp;INT((L34)/12),"")</f>
      </c>
      <c r="D34" s="31">
        <f>IF(AND(AND($N$5=1,6&lt;=$N$11),$N$10=1),INDEX(IPC!$J$5:$J$16,MOD(K34,12)+1)&amp;" de "&amp;INT((K34)/12),"")</f>
      </c>
      <c r="E34" s="38">
        <f>IF(NOT(AND($N$5=1,6&lt;=$N$11)),"",IF($N$10=1,IF(AND($N$14=1,K34&lt;=$N$12),INDEX(IPC!$D$5:$D$173,(K34)-IPC!$J$2+1)/INDEX(IPC!$D$5:$D$173,(L34)-IPC!$J$2+1)-1,""),IF(ISNUMBER(F34),F34/100,"")))</f>
      </c>
      <c r="F34" s="36"/>
      <c r="G34" s="33">
        <f>IF(AND(AND($N$5=1,6&lt;=$N$11),ISNUMBER(G33),ISNUMBER(E34)),G33*(1+E34),"")</f>
      </c>
      <c r="H34" s="31">
        <f>IF(NOT(AND($N$5=1,6&lt;=$N$11)),"",IF(ISNUMBER(G34),"Aplicado",IF(ISNUMBER(G33),IF($N$10=1,"Falta el IPC de "&amp;INDEX(IPC!$J$5:$J$16,MOD($N$12+1,12)+1)&amp;" de "&amp;INT(($N$12+1)/12),"Cargá el % de este ajuste en la columna F"),"")))</f>
      </c>
      <c r="J34">
        <f>IF($N$5=1,$N$7+6*$N$8,"")</f>
      </c>
      <c r="K34">
        <f>IF($N$5=1,J34-1-$N$9,"")</f>
      </c>
      <c r="L34">
        <f>IF($N$5=1,K34-$N$8,"")</f>
      </c>
    </row>
    <row r="35" spans="1:12" x14ac:dyDescent="0.25">
      <c r="A35" s="34">
        <f>IF(AND($N$5=1,7&lt;=$N$11),"7° ajuste","")</f>
      </c>
      <c r="B35" s="34">
        <f>IF(AND($N$5=1,7&lt;=$N$11),INDEX(IPC!$J$5:$J$16,MOD(J35,12)+1)&amp;" de "&amp;INT((J35)/12),"")</f>
      </c>
      <c r="C35" s="34">
        <f>IF(AND(AND($N$5=1,7&lt;=$N$11),$N$10=1),INDEX(IPC!$J$5:$J$16,MOD(L35,12)+1)&amp;" de "&amp;INT((L35)/12),"")</f>
      </c>
      <c r="D35" s="34">
        <f>IF(AND(AND($N$5=1,7&lt;=$N$11),$N$10=1),INDEX(IPC!$J$5:$J$16,MOD(K35,12)+1)&amp;" de "&amp;INT((K35)/12),"")</f>
      </c>
      <c r="E35" s="35">
        <f>IF(NOT(AND($N$5=1,7&lt;=$N$11)),"",IF($N$10=1,IF(AND($N$14=1,K35&lt;=$N$12),INDEX(IPC!$D$5:$D$173,(K35)-IPC!$J$2+1)/INDEX(IPC!$D$5:$D$173,(L35)-IPC!$J$2+1)-1,""),IF(ISNUMBER(F35),F35/100,"")))</f>
      </c>
      <c r="F35" s="36"/>
      <c r="G35" s="37">
        <f>IF(AND(AND($N$5=1,7&lt;=$N$11),ISNUMBER(G34),ISNUMBER(E35)),G34*(1+E35),"")</f>
      </c>
      <c r="H35" s="34">
        <f>IF(NOT(AND($N$5=1,7&lt;=$N$11)),"",IF(ISNUMBER(G35),"Aplicado",IF(ISNUMBER(G34),IF($N$10=1,"Falta el IPC de "&amp;INDEX(IPC!$J$5:$J$16,MOD($N$12+1,12)+1)&amp;" de "&amp;INT(($N$12+1)/12),"Cargá el % de este ajuste en la columna F"),"")))</f>
      </c>
      <c r="J35">
        <f>IF($N$5=1,$N$7+7*$N$8,"")</f>
      </c>
      <c r="K35">
        <f>IF($N$5=1,J35-1-$N$9,"")</f>
      </c>
      <c r="L35">
        <f>IF($N$5=1,K35-$N$8,"")</f>
      </c>
    </row>
    <row r="36" spans="1:12" x14ac:dyDescent="0.25">
      <c r="A36" s="31">
        <f>IF(AND($N$5=1,8&lt;=$N$11),"8° ajuste","")</f>
      </c>
      <c r="B36" s="31">
        <f>IF(AND($N$5=1,8&lt;=$N$11),INDEX(IPC!$J$5:$J$16,MOD(J36,12)+1)&amp;" de "&amp;INT((J36)/12),"")</f>
      </c>
      <c r="C36" s="31">
        <f>IF(AND(AND($N$5=1,8&lt;=$N$11),$N$10=1),INDEX(IPC!$J$5:$J$16,MOD(L36,12)+1)&amp;" de "&amp;INT((L36)/12),"")</f>
      </c>
      <c r="D36" s="31">
        <f>IF(AND(AND($N$5=1,8&lt;=$N$11),$N$10=1),INDEX(IPC!$J$5:$J$16,MOD(K36,12)+1)&amp;" de "&amp;INT((K36)/12),"")</f>
      </c>
      <c r="E36" s="38">
        <f>IF(NOT(AND($N$5=1,8&lt;=$N$11)),"",IF($N$10=1,IF(AND($N$14=1,K36&lt;=$N$12),INDEX(IPC!$D$5:$D$173,(K36)-IPC!$J$2+1)/INDEX(IPC!$D$5:$D$173,(L36)-IPC!$J$2+1)-1,""),IF(ISNUMBER(F36),F36/100,"")))</f>
      </c>
      <c r="F36" s="36"/>
      <c r="G36" s="33">
        <f>IF(AND(AND($N$5=1,8&lt;=$N$11),ISNUMBER(G35),ISNUMBER(E36)),G35*(1+E36),"")</f>
      </c>
      <c r="H36" s="31">
        <f>IF(NOT(AND($N$5=1,8&lt;=$N$11)),"",IF(ISNUMBER(G36),"Aplicado",IF(ISNUMBER(G35),IF($N$10=1,"Falta el IPC de "&amp;INDEX(IPC!$J$5:$J$16,MOD($N$12+1,12)+1)&amp;" de "&amp;INT(($N$12+1)/12),"Cargá el % de este ajuste en la columna F"),"")))</f>
      </c>
      <c r="J36">
        <f>IF($N$5=1,$N$7+8*$N$8,"")</f>
      </c>
      <c r="K36">
        <f>IF($N$5=1,J36-1-$N$9,"")</f>
      </c>
      <c r="L36">
        <f>IF($N$5=1,K36-$N$8,"")</f>
      </c>
    </row>
    <row r="37" spans="1:12" x14ac:dyDescent="0.25">
      <c r="A37" s="34">
        <f>IF(AND($N$5=1,9&lt;=$N$11),"9° ajuste","")</f>
      </c>
      <c r="B37" s="34">
        <f>IF(AND($N$5=1,9&lt;=$N$11),INDEX(IPC!$J$5:$J$16,MOD(J37,12)+1)&amp;" de "&amp;INT((J37)/12),"")</f>
      </c>
      <c r="C37" s="34">
        <f>IF(AND(AND($N$5=1,9&lt;=$N$11),$N$10=1),INDEX(IPC!$J$5:$J$16,MOD(L37,12)+1)&amp;" de "&amp;INT((L37)/12),"")</f>
      </c>
      <c r="D37" s="34">
        <f>IF(AND(AND($N$5=1,9&lt;=$N$11),$N$10=1),INDEX(IPC!$J$5:$J$16,MOD(K37,12)+1)&amp;" de "&amp;INT((K37)/12),"")</f>
      </c>
      <c r="E37" s="35">
        <f>IF(NOT(AND($N$5=1,9&lt;=$N$11)),"",IF($N$10=1,IF(AND($N$14=1,K37&lt;=$N$12),INDEX(IPC!$D$5:$D$173,(K37)-IPC!$J$2+1)/INDEX(IPC!$D$5:$D$173,(L37)-IPC!$J$2+1)-1,""),IF(ISNUMBER(F37),F37/100,"")))</f>
      </c>
      <c r="F37" s="36"/>
      <c r="G37" s="37">
        <f>IF(AND(AND($N$5=1,9&lt;=$N$11),ISNUMBER(G36),ISNUMBER(E37)),G36*(1+E37),"")</f>
      </c>
      <c r="H37" s="34">
        <f>IF(NOT(AND($N$5=1,9&lt;=$N$11)),"",IF(ISNUMBER(G37),"Aplicado",IF(ISNUMBER(G36),IF($N$10=1,"Falta el IPC de "&amp;INDEX(IPC!$J$5:$J$16,MOD($N$12+1,12)+1)&amp;" de "&amp;INT(($N$12+1)/12),"Cargá el % de este ajuste en la columna F"),"")))</f>
      </c>
      <c r="J37">
        <f>IF($N$5=1,$N$7+9*$N$8,"")</f>
      </c>
      <c r="K37">
        <f>IF($N$5=1,J37-1-$N$9,"")</f>
      </c>
      <c r="L37">
        <f>IF($N$5=1,K37-$N$8,"")</f>
      </c>
    </row>
    <row r="38" spans="1:12" x14ac:dyDescent="0.25">
      <c r="A38" s="31">
        <f>IF(AND($N$5=1,10&lt;=$N$11),"10° ajuste","")</f>
      </c>
      <c r="B38" s="31">
        <f>IF(AND($N$5=1,10&lt;=$N$11),INDEX(IPC!$J$5:$J$16,MOD(J38,12)+1)&amp;" de "&amp;INT((J38)/12),"")</f>
      </c>
      <c r="C38" s="31">
        <f>IF(AND(AND($N$5=1,10&lt;=$N$11),$N$10=1),INDEX(IPC!$J$5:$J$16,MOD(L38,12)+1)&amp;" de "&amp;INT((L38)/12),"")</f>
      </c>
      <c r="D38" s="31">
        <f>IF(AND(AND($N$5=1,10&lt;=$N$11),$N$10=1),INDEX(IPC!$J$5:$J$16,MOD(K38,12)+1)&amp;" de "&amp;INT((K38)/12),"")</f>
      </c>
      <c r="E38" s="38">
        <f>IF(NOT(AND($N$5=1,10&lt;=$N$11)),"",IF($N$10=1,IF(AND($N$14=1,K38&lt;=$N$12),INDEX(IPC!$D$5:$D$173,(K38)-IPC!$J$2+1)/INDEX(IPC!$D$5:$D$173,(L38)-IPC!$J$2+1)-1,""),IF(ISNUMBER(F38),F38/100,"")))</f>
      </c>
      <c r="F38" s="36"/>
      <c r="G38" s="33">
        <f>IF(AND(AND($N$5=1,10&lt;=$N$11),ISNUMBER(G37),ISNUMBER(E38)),G37*(1+E38),"")</f>
      </c>
      <c r="H38" s="31">
        <f>IF(NOT(AND($N$5=1,10&lt;=$N$11)),"",IF(ISNUMBER(G38),"Aplicado",IF(ISNUMBER(G37),IF($N$10=1,"Falta el IPC de "&amp;INDEX(IPC!$J$5:$J$16,MOD($N$12+1,12)+1)&amp;" de "&amp;INT(($N$12+1)/12),"Cargá el % de este ajuste en la columna F"),"")))</f>
      </c>
      <c r="J38">
        <f>IF($N$5=1,$N$7+10*$N$8,"")</f>
      </c>
      <c r="K38">
        <f>IF($N$5=1,J38-1-$N$9,"")</f>
      </c>
      <c r="L38">
        <f>IF($N$5=1,K38-$N$8,"")</f>
      </c>
    </row>
    <row r="39" spans="1:12" x14ac:dyDescent="0.25">
      <c r="A39" s="34">
        <f>IF(AND($N$5=1,11&lt;=$N$11),"11° ajuste","")</f>
      </c>
      <c r="B39" s="34">
        <f>IF(AND($N$5=1,11&lt;=$N$11),INDEX(IPC!$J$5:$J$16,MOD(J39,12)+1)&amp;" de "&amp;INT((J39)/12),"")</f>
      </c>
      <c r="C39" s="34">
        <f>IF(AND(AND($N$5=1,11&lt;=$N$11),$N$10=1),INDEX(IPC!$J$5:$J$16,MOD(L39,12)+1)&amp;" de "&amp;INT((L39)/12),"")</f>
      </c>
      <c r="D39" s="34">
        <f>IF(AND(AND($N$5=1,11&lt;=$N$11),$N$10=1),INDEX(IPC!$J$5:$J$16,MOD(K39,12)+1)&amp;" de "&amp;INT((K39)/12),"")</f>
      </c>
      <c r="E39" s="35">
        <f>IF(NOT(AND($N$5=1,11&lt;=$N$11)),"",IF($N$10=1,IF(AND($N$14=1,K39&lt;=$N$12),INDEX(IPC!$D$5:$D$173,(K39)-IPC!$J$2+1)/INDEX(IPC!$D$5:$D$173,(L39)-IPC!$J$2+1)-1,""),IF(ISNUMBER(F39),F39/100,"")))</f>
      </c>
      <c r="F39" s="36"/>
      <c r="G39" s="37">
        <f>IF(AND(AND($N$5=1,11&lt;=$N$11),ISNUMBER(G38),ISNUMBER(E39)),G38*(1+E39),"")</f>
      </c>
      <c r="H39" s="34">
        <f>IF(NOT(AND($N$5=1,11&lt;=$N$11)),"",IF(ISNUMBER(G39),"Aplicado",IF(ISNUMBER(G38),IF($N$10=1,"Falta el IPC de "&amp;INDEX(IPC!$J$5:$J$16,MOD($N$12+1,12)+1)&amp;" de "&amp;INT(($N$12+1)/12),"Cargá el % de este ajuste en la columna F"),"")))</f>
      </c>
      <c r="J39">
        <f>IF($N$5=1,$N$7+11*$N$8,"")</f>
      </c>
      <c r="K39">
        <f>IF($N$5=1,J39-1-$N$9,"")</f>
      </c>
      <c r="L39">
        <f>IF($N$5=1,K39-$N$8,"")</f>
      </c>
    </row>
    <row r="40" spans="1:12" x14ac:dyDescent="0.25">
      <c r="A40" s="31">
        <f>IF(AND($N$5=1,12&lt;=$N$11),"12° ajuste","")</f>
      </c>
      <c r="B40" s="31">
        <f>IF(AND($N$5=1,12&lt;=$N$11),INDEX(IPC!$J$5:$J$16,MOD(J40,12)+1)&amp;" de "&amp;INT((J40)/12),"")</f>
      </c>
      <c r="C40" s="31">
        <f>IF(AND(AND($N$5=1,12&lt;=$N$11),$N$10=1),INDEX(IPC!$J$5:$J$16,MOD(L40,12)+1)&amp;" de "&amp;INT((L40)/12),"")</f>
      </c>
      <c r="D40" s="31">
        <f>IF(AND(AND($N$5=1,12&lt;=$N$11),$N$10=1),INDEX(IPC!$J$5:$J$16,MOD(K40,12)+1)&amp;" de "&amp;INT((K40)/12),"")</f>
      </c>
      <c r="E40" s="38">
        <f>IF(NOT(AND($N$5=1,12&lt;=$N$11)),"",IF($N$10=1,IF(AND($N$14=1,K40&lt;=$N$12),INDEX(IPC!$D$5:$D$173,(K40)-IPC!$J$2+1)/INDEX(IPC!$D$5:$D$173,(L40)-IPC!$J$2+1)-1,""),IF(ISNUMBER(F40),F40/100,"")))</f>
      </c>
      <c r="F40" s="36"/>
      <c r="G40" s="33">
        <f>IF(AND(AND($N$5=1,12&lt;=$N$11),ISNUMBER(G39),ISNUMBER(E40)),G39*(1+E40),"")</f>
      </c>
      <c r="H40" s="31">
        <f>IF(NOT(AND($N$5=1,12&lt;=$N$11)),"",IF(ISNUMBER(G40),"Aplicado",IF(ISNUMBER(G39),IF($N$10=1,"Falta el IPC de "&amp;INDEX(IPC!$J$5:$J$16,MOD($N$12+1,12)+1)&amp;" de "&amp;INT(($N$12+1)/12),"Cargá el % de este ajuste en la columna F"),"")))</f>
      </c>
      <c r="J40">
        <f>IF($N$5=1,$N$7+12*$N$8,"")</f>
      </c>
      <c r="K40">
        <f>IF($N$5=1,J40-1-$N$9,"")</f>
      </c>
      <c r="L40">
        <f>IF($N$5=1,K40-$N$8,"")</f>
      </c>
    </row>
    <row r="41" spans="1:12" x14ac:dyDescent="0.25">
      <c r="A41" s="34">
        <f>IF(AND($N$5=1,13&lt;=$N$11),"13° ajuste","")</f>
      </c>
      <c r="B41" s="34">
        <f>IF(AND($N$5=1,13&lt;=$N$11),INDEX(IPC!$J$5:$J$16,MOD(J41,12)+1)&amp;" de "&amp;INT((J41)/12),"")</f>
      </c>
      <c r="C41" s="34">
        <f>IF(AND(AND($N$5=1,13&lt;=$N$11),$N$10=1),INDEX(IPC!$J$5:$J$16,MOD(L41,12)+1)&amp;" de "&amp;INT((L41)/12),"")</f>
      </c>
      <c r="D41" s="34">
        <f>IF(AND(AND($N$5=1,13&lt;=$N$11),$N$10=1),INDEX(IPC!$J$5:$J$16,MOD(K41,12)+1)&amp;" de "&amp;INT((K41)/12),"")</f>
      </c>
      <c r="E41" s="35">
        <f>IF(NOT(AND($N$5=1,13&lt;=$N$11)),"",IF($N$10=1,IF(AND($N$14=1,K41&lt;=$N$12),INDEX(IPC!$D$5:$D$173,(K41)-IPC!$J$2+1)/INDEX(IPC!$D$5:$D$173,(L41)-IPC!$J$2+1)-1,""),IF(ISNUMBER(F41),F41/100,"")))</f>
      </c>
      <c r="F41" s="36"/>
      <c r="G41" s="37">
        <f>IF(AND(AND($N$5=1,13&lt;=$N$11),ISNUMBER(G40),ISNUMBER(E41)),G40*(1+E41),"")</f>
      </c>
      <c r="H41" s="34">
        <f>IF(NOT(AND($N$5=1,13&lt;=$N$11)),"",IF(ISNUMBER(G41),"Aplicado",IF(ISNUMBER(G40),IF($N$10=1,"Falta el IPC de "&amp;INDEX(IPC!$J$5:$J$16,MOD($N$12+1,12)+1)&amp;" de "&amp;INT(($N$12+1)/12),"Cargá el % de este ajuste en la columna F"),"")))</f>
      </c>
      <c r="J41">
        <f>IF($N$5=1,$N$7+13*$N$8,"")</f>
      </c>
      <c r="K41">
        <f>IF($N$5=1,J41-1-$N$9,"")</f>
      </c>
      <c r="L41">
        <f>IF($N$5=1,K41-$N$8,"")</f>
      </c>
    </row>
    <row r="42" spans="1:12" x14ac:dyDescent="0.25">
      <c r="A42" s="31">
        <f>IF(AND($N$5=1,14&lt;=$N$11),"14° ajuste","")</f>
      </c>
      <c r="B42" s="31">
        <f>IF(AND($N$5=1,14&lt;=$N$11),INDEX(IPC!$J$5:$J$16,MOD(J42,12)+1)&amp;" de "&amp;INT((J42)/12),"")</f>
      </c>
      <c r="C42" s="31">
        <f>IF(AND(AND($N$5=1,14&lt;=$N$11),$N$10=1),INDEX(IPC!$J$5:$J$16,MOD(L42,12)+1)&amp;" de "&amp;INT((L42)/12),"")</f>
      </c>
      <c r="D42" s="31">
        <f>IF(AND(AND($N$5=1,14&lt;=$N$11),$N$10=1),INDEX(IPC!$J$5:$J$16,MOD(K42,12)+1)&amp;" de "&amp;INT((K42)/12),"")</f>
      </c>
      <c r="E42" s="38">
        <f>IF(NOT(AND($N$5=1,14&lt;=$N$11)),"",IF($N$10=1,IF(AND($N$14=1,K42&lt;=$N$12),INDEX(IPC!$D$5:$D$173,(K42)-IPC!$J$2+1)/INDEX(IPC!$D$5:$D$173,(L42)-IPC!$J$2+1)-1,""),IF(ISNUMBER(F42),F42/100,"")))</f>
      </c>
      <c r="F42" s="36"/>
      <c r="G42" s="33">
        <f>IF(AND(AND($N$5=1,14&lt;=$N$11),ISNUMBER(G41),ISNUMBER(E42)),G41*(1+E42),"")</f>
      </c>
      <c r="H42" s="31">
        <f>IF(NOT(AND($N$5=1,14&lt;=$N$11)),"",IF(ISNUMBER(G42),"Aplicado",IF(ISNUMBER(G41),IF($N$10=1,"Falta el IPC de "&amp;INDEX(IPC!$J$5:$J$16,MOD($N$12+1,12)+1)&amp;" de "&amp;INT(($N$12+1)/12),"Cargá el % de este ajuste en la columna F"),"")))</f>
      </c>
      <c r="J42">
        <f>IF($N$5=1,$N$7+14*$N$8,"")</f>
      </c>
      <c r="K42">
        <f>IF($N$5=1,J42-1-$N$9,"")</f>
      </c>
      <c r="L42">
        <f>IF($N$5=1,K42-$N$8,"")</f>
      </c>
    </row>
    <row r="43" spans="1:12" x14ac:dyDescent="0.25">
      <c r="A43" s="34">
        <f>IF(AND($N$5=1,15&lt;=$N$11),"15° ajuste","")</f>
      </c>
      <c r="B43" s="34">
        <f>IF(AND($N$5=1,15&lt;=$N$11),INDEX(IPC!$J$5:$J$16,MOD(J43,12)+1)&amp;" de "&amp;INT((J43)/12),"")</f>
      </c>
      <c r="C43" s="34">
        <f>IF(AND(AND($N$5=1,15&lt;=$N$11),$N$10=1),INDEX(IPC!$J$5:$J$16,MOD(L43,12)+1)&amp;" de "&amp;INT((L43)/12),"")</f>
      </c>
      <c r="D43" s="34">
        <f>IF(AND(AND($N$5=1,15&lt;=$N$11),$N$10=1),INDEX(IPC!$J$5:$J$16,MOD(K43,12)+1)&amp;" de "&amp;INT((K43)/12),"")</f>
      </c>
      <c r="E43" s="35">
        <f>IF(NOT(AND($N$5=1,15&lt;=$N$11)),"",IF($N$10=1,IF(AND($N$14=1,K43&lt;=$N$12),INDEX(IPC!$D$5:$D$173,(K43)-IPC!$J$2+1)/INDEX(IPC!$D$5:$D$173,(L43)-IPC!$J$2+1)-1,""),IF(ISNUMBER(F43),F43/100,"")))</f>
      </c>
      <c r="F43" s="36"/>
      <c r="G43" s="37">
        <f>IF(AND(AND($N$5=1,15&lt;=$N$11),ISNUMBER(G42),ISNUMBER(E43)),G42*(1+E43),"")</f>
      </c>
      <c r="H43" s="34">
        <f>IF(NOT(AND($N$5=1,15&lt;=$N$11)),"",IF(ISNUMBER(G43),"Aplicado",IF(ISNUMBER(G42),IF($N$10=1,"Falta el IPC de "&amp;INDEX(IPC!$J$5:$J$16,MOD($N$12+1,12)+1)&amp;" de "&amp;INT(($N$12+1)/12),"Cargá el % de este ajuste en la columna F"),"")))</f>
      </c>
      <c r="J43">
        <f>IF($N$5=1,$N$7+15*$N$8,"")</f>
      </c>
      <c r="K43">
        <f>IF($N$5=1,J43-1-$N$9,"")</f>
      </c>
      <c r="L43">
        <f>IF($N$5=1,K43-$N$8,"")</f>
      </c>
    </row>
    <row r="44" spans="1:12" x14ac:dyDescent="0.25">
      <c r="A44" s="31">
        <f>IF(AND($N$5=1,16&lt;=$N$11),"16° ajuste","")</f>
      </c>
      <c r="B44" s="31">
        <f>IF(AND($N$5=1,16&lt;=$N$11),INDEX(IPC!$J$5:$J$16,MOD(J44,12)+1)&amp;" de "&amp;INT((J44)/12),"")</f>
      </c>
      <c r="C44" s="31">
        <f>IF(AND(AND($N$5=1,16&lt;=$N$11),$N$10=1),INDEX(IPC!$J$5:$J$16,MOD(L44,12)+1)&amp;" de "&amp;INT((L44)/12),"")</f>
      </c>
      <c r="D44" s="31">
        <f>IF(AND(AND($N$5=1,16&lt;=$N$11),$N$10=1),INDEX(IPC!$J$5:$J$16,MOD(K44,12)+1)&amp;" de "&amp;INT((K44)/12),"")</f>
      </c>
      <c r="E44" s="38">
        <f>IF(NOT(AND($N$5=1,16&lt;=$N$11)),"",IF($N$10=1,IF(AND($N$14=1,K44&lt;=$N$12),INDEX(IPC!$D$5:$D$173,(K44)-IPC!$J$2+1)/INDEX(IPC!$D$5:$D$173,(L44)-IPC!$J$2+1)-1,""),IF(ISNUMBER(F44),F44/100,"")))</f>
      </c>
      <c r="F44" s="36"/>
      <c r="G44" s="33">
        <f>IF(AND(AND($N$5=1,16&lt;=$N$11),ISNUMBER(G43),ISNUMBER(E44)),G43*(1+E44),"")</f>
      </c>
      <c r="H44" s="31">
        <f>IF(NOT(AND($N$5=1,16&lt;=$N$11)),"",IF(ISNUMBER(G44),"Aplicado",IF(ISNUMBER(G43),IF($N$10=1,"Falta el IPC de "&amp;INDEX(IPC!$J$5:$J$16,MOD($N$12+1,12)+1)&amp;" de "&amp;INT(($N$12+1)/12),"Cargá el % de este ajuste en la columna F"),"")))</f>
      </c>
      <c r="J44">
        <f>IF($N$5=1,$N$7+16*$N$8,"")</f>
      </c>
      <c r="K44">
        <f>IF($N$5=1,J44-1-$N$9,"")</f>
      </c>
      <c r="L44">
        <f>IF($N$5=1,K44-$N$8,"")</f>
      </c>
    </row>
    <row r="45" spans="1:12" x14ac:dyDescent="0.25">
      <c r="A45" s="34">
        <f>IF(AND($N$5=1,17&lt;=$N$11),"17° ajuste","")</f>
      </c>
      <c r="B45" s="34">
        <f>IF(AND($N$5=1,17&lt;=$N$11),INDEX(IPC!$J$5:$J$16,MOD(J45,12)+1)&amp;" de "&amp;INT((J45)/12),"")</f>
      </c>
      <c r="C45" s="34">
        <f>IF(AND(AND($N$5=1,17&lt;=$N$11),$N$10=1),INDEX(IPC!$J$5:$J$16,MOD(L45,12)+1)&amp;" de "&amp;INT((L45)/12),"")</f>
      </c>
      <c r="D45" s="34">
        <f>IF(AND(AND($N$5=1,17&lt;=$N$11),$N$10=1),INDEX(IPC!$J$5:$J$16,MOD(K45,12)+1)&amp;" de "&amp;INT((K45)/12),"")</f>
      </c>
      <c r="E45" s="35">
        <f>IF(NOT(AND($N$5=1,17&lt;=$N$11)),"",IF($N$10=1,IF(AND($N$14=1,K45&lt;=$N$12),INDEX(IPC!$D$5:$D$173,(K45)-IPC!$J$2+1)/INDEX(IPC!$D$5:$D$173,(L45)-IPC!$J$2+1)-1,""),IF(ISNUMBER(F45),F45/100,"")))</f>
      </c>
      <c r="F45" s="36"/>
      <c r="G45" s="37">
        <f>IF(AND(AND($N$5=1,17&lt;=$N$11),ISNUMBER(G44),ISNUMBER(E45)),G44*(1+E45),"")</f>
      </c>
      <c r="H45" s="34">
        <f>IF(NOT(AND($N$5=1,17&lt;=$N$11)),"",IF(ISNUMBER(G45),"Aplicado",IF(ISNUMBER(G44),IF($N$10=1,"Falta el IPC de "&amp;INDEX(IPC!$J$5:$J$16,MOD($N$12+1,12)+1)&amp;" de "&amp;INT(($N$12+1)/12),"Cargá el % de este ajuste en la columna F"),"")))</f>
      </c>
      <c r="J45">
        <f>IF($N$5=1,$N$7+17*$N$8,"")</f>
      </c>
      <c r="K45">
        <f>IF($N$5=1,J45-1-$N$9,"")</f>
      </c>
      <c r="L45">
        <f>IF($N$5=1,K45-$N$8,"")</f>
      </c>
    </row>
    <row r="46" spans="1:12" x14ac:dyDescent="0.25">
      <c r="A46" s="31">
        <f>IF(AND($N$5=1,18&lt;=$N$11),"18° ajuste","")</f>
      </c>
      <c r="B46" s="31">
        <f>IF(AND($N$5=1,18&lt;=$N$11),INDEX(IPC!$J$5:$J$16,MOD(J46,12)+1)&amp;" de "&amp;INT((J46)/12),"")</f>
      </c>
      <c r="C46" s="31">
        <f>IF(AND(AND($N$5=1,18&lt;=$N$11),$N$10=1),INDEX(IPC!$J$5:$J$16,MOD(L46,12)+1)&amp;" de "&amp;INT((L46)/12),"")</f>
      </c>
      <c r="D46" s="31">
        <f>IF(AND(AND($N$5=1,18&lt;=$N$11),$N$10=1),INDEX(IPC!$J$5:$J$16,MOD(K46,12)+1)&amp;" de "&amp;INT((K46)/12),"")</f>
      </c>
      <c r="E46" s="38">
        <f>IF(NOT(AND($N$5=1,18&lt;=$N$11)),"",IF($N$10=1,IF(AND($N$14=1,K46&lt;=$N$12),INDEX(IPC!$D$5:$D$173,(K46)-IPC!$J$2+1)/INDEX(IPC!$D$5:$D$173,(L46)-IPC!$J$2+1)-1,""),IF(ISNUMBER(F46),F46/100,"")))</f>
      </c>
      <c r="F46" s="36"/>
      <c r="G46" s="33">
        <f>IF(AND(AND($N$5=1,18&lt;=$N$11),ISNUMBER(G45),ISNUMBER(E46)),G45*(1+E46),"")</f>
      </c>
      <c r="H46" s="31">
        <f>IF(NOT(AND($N$5=1,18&lt;=$N$11)),"",IF(ISNUMBER(G46),"Aplicado",IF(ISNUMBER(G45),IF($N$10=1,"Falta el IPC de "&amp;INDEX(IPC!$J$5:$J$16,MOD($N$12+1,12)+1)&amp;" de "&amp;INT(($N$12+1)/12),"Cargá el % de este ajuste en la columna F"),"")))</f>
      </c>
      <c r="J46">
        <f>IF($N$5=1,$N$7+18*$N$8,"")</f>
      </c>
      <c r="K46">
        <f>IF($N$5=1,J46-1-$N$9,"")</f>
      </c>
      <c r="L46">
        <f>IF($N$5=1,K46-$N$8,"")</f>
      </c>
    </row>
    <row r="47" spans="1:12" x14ac:dyDescent="0.25">
      <c r="A47" s="34">
        <f>IF(AND($N$5=1,19&lt;=$N$11),"19° ajuste","")</f>
      </c>
      <c r="B47" s="34">
        <f>IF(AND($N$5=1,19&lt;=$N$11),INDEX(IPC!$J$5:$J$16,MOD(J47,12)+1)&amp;" de "&amp;INT((J47)/12),"")</f>
      </c>
      <c r="C47" s="34">
        <f>IF(AND(AND($N$5=1,19&lt;=$N$11),$N$10=1),INDEX(IPC!$J$5:$J$16,MOD(L47,12)+1)&amp;" de "&amp;INT((L47)/12),"")</f>
      </c>
      <c r="D47" s="34">
        <f>IF(AND(AND($N$5=1,19&lt;=$N$11),$N$10=1),INDEX(IPC!$J$5:$J$16,MOD(K47,12)+1)&amp;" de "&amp;INT((K47)/12),"")</f>
      </c>
      <c r="E47" s="35">
        <f>IF(NOT(AND($N$5=1,19&lt;=$N$11)),"",IF($N$10=1,IF(AND($N$14=1,K47&lt;=$N$12),INDEX(IPC!$D$5:$D$173,(K47)-IPC!$J$2+1)/INDEX(IPC!$D$5:$D$173,(L47)-IPC!$J$2+1)-1,""),IF(ISNUMBER(F47),F47/100,"")))</f>
      </c>
      <c r="F47" s="36"/>
      <c r="G47" s="37">
        <f>IF(AND(AND($N$5=1,19&lt;=$N$11),ISNUMBER(G46),ISNUMBER(E47)),G46*(1+E47),"")</f>
      </c>
      <c r="H47" s="34">
        <f>IF(NOT(AND($N$5=1,19&lt;=$N$11)),"",IF(ISNUMBER(G47),"Aplicado",IF(ISNUMBER(G46),IF($N$10=1,"Falta el IPC de "&amp;INDEX(IPC!$J$5:$J$16,MOD($N$12+1,12)+1)&amp;" de "&amp;INT(($N$12+1)/12),"Cargá el % de este ajuste en la columna F"),"")))</f>
      </c>
      <c r="J47">
        <f>IF($N$5=1,$N$7+19*$N$8,"")</f>
      </c>
      <c r="K47">
        <f>IF($N$5=1,J47-1-$N$9,"")</f>
      </c>
      <c r="L47">
        <f>IF($N$5=1,K47-$N$8,"")</f>
      </c>
    </row>
    <row r="48" spans="1:12" x14ac:dyDescent="0.25">
      <c r="A48" s="31">
        <f>IF(AND($N$5=1,20&lt;=$N$11),"20° ajuste","")</f>
      </c>
      <c r="B48" s="31">
        <f>IF(AND($N$5=1,20&lt;=$N$11),INDEX(IPC!$J$5:$J$16,MOD(J48,12)+1)&amp;" de "&amp;INT((J48)/12),"")</f>
      </c>
      <c r="C48" s="31">
        <f>IF(AND(AND($N$5=1,20&lt;=$N$11),$N$10=1),INDEX(IPC!$J$5:$J$16,MOD(L48,12)+1)&amp;" de "&amp;INT((L48)/12),"")</f>
      </c>
      <c r="D48" s="31">
        <f>IF(AND(AND($N$5=1,20&lt;=$N$11),$N$10=1),INDEX(IPC!$J$5:$J$16,MOD(K48,12)+1)&amp;" de "&amp;INT((K48)/12),"")</f>
      </c>
      <c r="E48" s="38">
        <f>IF(NOT(AND($N$5=1,20&lt;=$N$11)),"",IF($N$10=1,IF(AND($N$14=1,K48&lt;=$N$12),INDEX(IPC!$D$5:$D$173,(K48)-IPC!$J$2+1)/INDEX(IPC!$D$5:$D$173,(L48)-IPC!$J$2+1)-1,""),IF(ISNUMBER(F48),F48/100,"")))</f>
      </c>
      <c r="F48" s="36"/>
      <c r="G48" s="33">
        <f>IF(AND(AND($N$5=1,20&lt;=$N$11),ISNUMBER(G47),ISNUMBER(E48)),G47*(1+E48),"")</f>
      </c>
      <c r="H48" s="31">
        <f>IF(NOT(AND($N$5=1,20&lt;=$N$11)),"",IF(ISNUMBER(G48),"Aplicado",IF(ISNUMBER(G47),IF($N$10=1,"Falta el IPC de "&amp;INDEX(IPC!$J$5:$J$16,MOD($N$12+1,12)+1)&amp;" de "&amp;INT(($N$12+1)/12),"Cargá el % de este ajuste en la columna F"),"")))</f>
      </c>
      <c r="J48">
        <f>IF($N$5=1,$N$7+20*$N$8,"")</f>
      </c>
      <c r="K48">
        <f>IF($N$5=1,J48-1-$N$9,"")</f>
      </c>
      <c r="L48">
        <f>IF($N$5=1,K48-$N$8,"")</f>
      </c>
    </row>
    <row r="49" spans="1:12" x14ac:dyDescent="0.25">
      <c r="A49" s="34">
        <f>IF(AND($N$5=1,21&lt;=$N$11),"21° ajuste","")</f>
      </c>
      <c r="B49" s="34">
        <f>IF(AND($N$5=1,21&lt;=$N$11),INDEX(IPC!$J$5:$J$16,MOD(J49,12)+1)&amp;" de "&amp;INT((J49)/12),"")</f>
      </c>
      <c r="C49" s="34">
        <f>IF(AND(AND($N$5=1,21&lt;=$N$11),$N$10=1),INDEX(IPC!$J$5:$J$16,MOD(L49,12)+1)&amp;" de "&amp;INT((L49)/12),"")</f>
      </c>
      <c r="D49" s="34">
        <f>IF(AND(AND($N$5=1,21&lt;=$N$11),$N$10=1),INDEX(IPC!$J$5:$J$16,MOD(K49,12)+1)&amp;" de "&amp;INT((K49)/12),"")</f>
      </c>
      <c r="E49" s="35">
        <f>IF(NOT(AND($N$5=1,21&lt;=$N$11)),"",IF($N$10=1,IF(AND($N$14=1,K49&lt;=$N$12),INDEX(IPC!$D$5:$D$173,(K49)-IPC!$J$2+1)/INDEX(IPC!$D$5:$D$173,(L49)-IPC!$J$2+1)-1,""),IF(ISNUMBER(F49),F49/100,"")))</f>
      </c>
      <c r="F49" s="36"/>
      <c r="G49" s="37">
        <f>IF(AND(AND($N$5=1,21&lt;=$N$11),ISNUMBER(G48),ISNUMBER(E49)),G48*(1+E49),"")</f>
      </c>
      <c r="H49" s="34">
        <f>IF(NOT(AND($N$5=1,21&lt;=$N$11)),"",IF(ISNUMBER(G49),"Aplicado",IF(ISNUMBER(G48),IF($N$10=1,"Falta el IPC de "&amp;INDEX(IPC!$J$5:$J$16,MOD($N$12+1,12)+1)&amp;" de "&amp;INT(($N$12+1)/12),"Cargá el % de este ajuste en la columna F"),"")))</f>
      </c>
      <c r="J49">
        <f>IF($N$5=1,$N$7+21*$N$8,"")</f>
      </c>
      <c r="K49">
        <f>IF($N$5=1,J49-1-$N$9,"")</f>
      </c>
      <c r="L49">
        <f>IF($N$5=1,K49-$N$8,"")</f>
      </c>
    </row>
    <row r="50" spans="1:12" x14ac:dyDescent="0.25">
      <c r="A50" s="31">
        <f>IF(AND($N$5=1,22&lt;=$N$11),"22° ajuste","")</f>
      </c>
      <c r="B50" s="31">
        <f>IF(AND($N$5=1,22&lt;=$N$11),INDEX(IPC!$J$5:$J$16,MOD(J50,12)+1)&amp;" de "&amp;INT((J50)/12),"")</f>
      </c>
      <c r="C50" s="31">
        <f>IF(AND(AND($N$5=1,22&lt;=$N$11),$N$10=1),INDEX(IPC!$J$5:$J$16,MOD(L50,12)+1)&amp;" de "&amp;INT((L50)/12),"")</f>
      </c>
      <c r="D50" s="31">
        <f>IF(AND(AND($N$5=1,22&lt;=$N$11),$N$10=1),INDEX(IPC!$J$5:$J$16,MOD(K50,12)+1)&amp;" de "&amp;INT((K50)/12),"")</f>
      </c>
      <c r="E50" s="38">
        <f>IF(NOT(AND($N$5=1,22&lt;=$N$11)),"",IF($N$10=1,IF(AND($N$14=1,K50&lt;=$N$12),INDEX(IPC!$D$5:$D$173,(K50)-IPC!$J$2+1)/INDEX(IPC!$D$5:$D$173,(L50)-IPC!$J$2+1)-1,""),IF(ISNUMBER(F50),F50/100,"")))</f>
      </c>
      <c r="F50" s="36"/>
      <c r="G50" s="33">
        <f>IF(AND(AND($N$5=1,22&lt;=$N$11),ISNUMBER(G49),ISNUMBER(E50)),G49*(1+E50),"")</f>
      </c>
      <c r="H50" s="31">
        <f>IF(NOT(AND($N$5=1,22&lt;=$N$11)),"",IF(ISNUMBER(G50),"Aplicado",IF(ISNUMBER(G49),IF($N$10=1,"Falta el IPC de "&amp;INDEX(IPC!$J$5:$J$16,MOD($N$12+1,12)+1)&amp;" de "&amp;INT(($N$12+1)/12),"Cargá el % de este ajuste en la columna F"),"")))</f>
      </c>
      <c r="J50">
        <f>IF($N$5=1,$N$7+22*$N$8,"")</f>
      </c>
      <c r="K50">
        <f>IF($N$5=1,J50-1-$N$9,"")</f>
      </c>
      <c r="L50">
        <f>IF($N$5=1,K50-$N$8,"")</f>
      </c>
    </row>
    <row r="51" spans="1:12" x14ac:dyDescent="0.25">
      <c r="A51" s="34">
        <f>IF(AND($N$5=1,23&lt;=$N$11),"23° ajuste","")</f>
      </c>
      <c r="B51" s="34">
        <f>IF(AND($N$5=1,23&lt;=$N$11),INDEX(IPC!$J$5:$J$16,MOD(J51,12)+1)&amp;" de "&amp;INT((J51)/12),"")</f>
      </c>
      <c r="C51" s="34">
        <f>IF(AND(AND($N$5=1,23&lt;=$N$11),$N$10=1),INDEX(IPC!$J$5:$J$16,MOD(L51,12)+1)&amp;" de "&amp;INT((L51)/12),"")</f>
      </c>
      <c r="D51" s="34">
        <f>IF(AND(AND($N$5=1,23&lt;=$N$11),$N$10=1),INDEX(IPC!$J$5:$J$16,MOD(K51,12)+1)&amp;" de "&amp;INT((K51)/12),"")</f>
      </c>
      <c r="E51" s="35">
        <f>IF(NOT(AND($N$5=1,23&lt;=$N$11)),"",IF($N$10=1,IF(AND($N$14=1,K51&lt;=$N$12),INDEX(IPC!$D$5:$D$173,(K51)-IPC!$J$2+1)/INDEX(IPC!$D$5:$D$173,(L51)-IPC!$J$2+1)-1,""),IF(ISNUMBER(F51),F51/100,"")))</f>
      </c>
      <c r="F51" s="36"/>
      <c r="G51" s="37">
        <f>IF(AND(AND($N$5=1,23&lt;=$N$11),ISNUMBER(G50),ISNUMBER(E51)),G50*(1+E51),"")</f>
      </c>
      <c r="H51" s="34">
        <f>IF(NOT(AND($N$5=1,23&lt;=$N$11)),"",IF(ISNUMBER(G51),"Aplicado",IF(ISNUMBER(G50),IF($N$10=1,"Falta el IPC de "&amp;INDEX(IPC!$J$5:$J$16,MOD($N$12+1,12)+1)&amp;" de "&amp;INT(($N$12+1)/12),"Cargá el % de este ajuste en la columna F"),"")))</f>
      </c>
      <c r="J51">
        <f>IF($N$5=1,$N$7+23*$N$8,"")</f>
      </c>
      <c r="K51">
        <f>IF($N$5=1,J51-1-$N$9,"")</f>
      </c>
      <c r="L51">
        <f>IF($N$5=1,K51-$N$8,"")</f>
      </c>
    </row>
    <row r="52" spans="1:12" x14ac:dyDescent="0.25">
      <c r="A52" s="31">
        <f>IF(AND($N$5=1,24&lt;=$N$11),"24° ajuste","")</f>
      </c>
      <c r="B52" s="31">
        <f>IF(AND($N$5=1,24&lt;=$N$11),INDEX(IPC!$J$5:$J$16,MOD(J52,12)+1)&amp;" de "&amp;INT((J52)/12),"")</f>
      </c>
      <c r="C52" s="31">
        <f>IF(AND(AND($N$5=1,24&lt;=$N$11),$N$10=1),INDEX(IPC!$J$5:$J$16,MOD(L52,12)+1)&amp;" de "&amp;INT((L52)/12),"")</f>
      </c>
      <c r="D52" s="31">
        <f>IF(AND(AND($N$5=1,24&lt;=$N$11),$N$10=1),INDEX(IPC!$J$5:$J$16,MOD(K52,12)+1)&amp;" de "&amp;INT((K52)/12),"")</f>
      </c>
      <c r="E52" s="38">
        <f>IF(NOT(AND($N$5=1,24&lt;=$N$11)),"",IF($N$10=1,IF(AND($N$14=1,K52&lt;=$N$12),INDEX(IPC!$D$5:$D$173,(K52)-IPC!$J$2+1)/INDEX(IPC!$D$5:$D$173,(L52)-IPC!$J$2+1)-1,""),IF(ISNUMBER(F52),F52/100,"")))</f>
      </c>
      <c r="F52" s="36"/>
      <c r="G52" s="33">
        <f>IF(AND(AND($N$5=1,24&lt;=$N$11),ISNUMBER(G51),ISNUMBER(E52)),G51*(1+E52),"")</f>
      </c>
      <c r="H52" s="31">
        <f>IF(NOT(AND($N$5=1,24&lt;=$N$11)),"",IF(ISNUMBER(G52),"Aplicado",IF(ISNUMBER(G51),IF($N$10=1,"Falta el IPC de "&amp;INDEX(IPC!$J$5:$J$16,MOD($N$12+1,12)+1)&amp;" de "&amp;INT(($N$12+1)/12),"Cargá el % de este ajuste en la columna F"),"")))</f>
      </c>
      <c r="J52">
        <f>IF($N$5=1,$N$7+24*$N$8,"")</f>
      </c>
      <c r="K52">
        <f>IF($N$5=1,J52-1-$N$9,"")</f>
      </c>
      <c r="L52">
        <f>IF($N$5=1,K52-$N$8,"")</f>
      </c>
    </row>
    <row r="53" spans="1:12" x14ac:dyDescent="0.25">
      <c r="A53" s="34">
        <f>IF(AND($N$5=1,25&lt;=$N$11),"25° ajuste","")</f>
      </c>
      <c r="B53" s="34">
        <f>IF(AND($N$5=1,25&lt;=$N$11),INDEX(IPC!$J$5:$J$16,MOD(J53,12)+1)&amp;" de "&amp;INT((J53)/12),"")</f>
      </c>
      <c r="C53" s="34">
        <f>IF(AND(AND($N$5=1,25&lt;=$N$11),$N$10=1),INDEX(IPC!$J$5:$J$16,MOD(L53,12)+1)&amp;" de "&amp;INT((L53)/12),"")</f>
      </c>
      <c r="D53" s="34">
        <f>IF(AND(AND($N$5=1,25&lt;=$N$11),$N$10=1),INDEX(IPC!$J$5:$J$16,MOD(K53,12)+1)&amp;" de "&amp;INT((K53)/12),"")</f>
      </c>
      <c r="E53" s="35">
        <f>IF(NOT(AND($N$5=1,25&lt;=$N$11)),"",IF($N$10=1,IF(AND($N$14=1,K53&lt;=$N$12),INDEX(IPC!$D$5:$D$173,(K53)-IPC!$J$2+1)/INDEX(IPC!$D$5:$D$173,(L53)-IPC!$J$2+1)-1,""),IF(ISNUMBER(F53),F53/100,"")))</f>
      </c>
      <c r="F53" s="36"/>
      <c r="G53" s="37">
        <f>IF(AND(AND($N$5=1,25&lt;=$N$11),ISNUMBER(G52),ISNUMBER(E53)),G52*(1+E53),"")</f>
      </c>
      <c r="H53" s="34">
        <f>IF(NOT(AND($N$5=1,25&lt;=$N$11)),"",IF(ISNUMBER(G53),"Aplicado",IF(ISNUMBER(G52),IF($N$10=1,"Falta el IPC de "&amp;INDEX(IPC!$J$5:$J$16,MOD($N$12+1,12)+1)&amp;" de "&amp;INT(($N$12+1)/12),"Cargá el % de este ajuste en la columna F"),"")))</f>
      </c>
      <c r="J53">
        <f>IF($N$5=1,$N$7+25*$N$8,"")</f>
      </c>
      <c r="K53">
        <f>IF($N$5=1,J53-1-$N$9,"")</f>
      </c>
      <c r="L53">
        <f>IF($N$5=1,K53-$N$8,"")</f>
      </c>
    </row>
    <row r="54" spans="1:12" x14ac:dyDescent="0.25">
      <c r="A54" s="31">
        <f>IF(AND($N$5=1,26&lt;=$N$11),"26° ajuste","")</f>
      </c>
      <c r="B54" s="31">
        <f>IF(AND($N$5=1,26&lt;=$N$11),INDEX(IPC!$J$5:$J$16,MOD(J54,12)+1)&amp;" de "&amp;INT((J54)/12),"")</f>
      </c>
      <c r="C54" s="31">
        <f>IF(AND(AND($N$5=1,26&lt;=$N$11),$N$10=1),INDEX(IPC!$J$5:$J$16,MOD(L54,12)+1)&amp;" de "&amp;INT((L54)/12),"")</f>
      </c>
      <c r="D54" s="31">
        <f>IF(AND(AND($N$5=1,26&lt;=$N$11),$N$10=1),INDEX(IPC!$J$5:$J$16,MOD(K54,12)+1)&amp;" de "&amp;INT((K54)/12),"")</f>
      </c>
      <c r="E54" s="38">
        <f>IF(NOT(AND($N$5=1,26&lt;=$N$11)),"",IF($N$10=1,IF(AND($N$14=1,K54&lt;=$N$12),INDEX(IPC!$D$5:$D$173,(K54)-IPC!$J$2+1)/INDEX(IPC!$D$5:$D$173,(L54)-IPC!$J$2+1)-1,""),IF(ISNUMBER(F54),F54/100,"")))</f>
      </c>
      <c r="F54" s="36"/>
      <c r="G54" s="33">
        <f>IF(AND(AND($N$5=1,26&lt;=$N$11),ISNUMBER(G53),ISNUMBER(E54)),G53*(1+E54),"")</f>
      </c>
      <c r="H54" s="31">
        <f>IF(NOT(AND($N$5=1,26&lt;=$N$11)),"",IF(ISNUMBER(G54),"Aplicado",IF(ISNUMBER(G53),IF($N$10=1,"Falta el IPC de "&amp;INDEX(IPC!$J$5:$J$16,MOD($N$12+1,12)+1)&amp;" de "&amp;INT(($N$12+1)/12),"Cargá el % de este ajuste en la columna F"),"")))</f>
      </c>
      <c r="J54">
        <f>IF($N$5=1,$N$7+26*$N$8,"")</f>
      </c>
      <c r="K54">
        <f>IF($N$5=1,J54-1-$N$9,"")</f>
      </c>
      <c r="L54">
        <f>IF($N$5=1,K54-$N$8,"")</f>
      </c>
    </row>
    <row r="55" spans="1:12" x14ac:dyDescent="0.25">
      <c r="A55" s="34">
        <f>IF(AND($N$5=1,27&lt;=$N$11),"27° ajuste","")</f>
      </c>
      <c r="B55" s="34">
        <f>IF(AND($N$5=1,27&lt;=$N$11),INDEX(IPC!$J$5:$J$16,MOD(J55,12)+1)&amp;" de "&amp;INT((J55)/12),"")</f>
      </c>
      <c r="C55" s="34">
        <f>IF(AND(AND($N$5=1,27&lt;=$N$11),$N$10=1),INDEX(IPC!$J$5:$J$16,MOD(L55,12)+1)&amp;" de "&amp;INT((L55)/12),"")</f>
      </c>
      <c r="D55" s="34">
        <f>IF(AND(AND($N$5=1,27&lt;=$N$11),$N$10=1),INDEX(IPC!$J$5:$J$16,MOD(K55,12)+1)&amp;" de "&amp;INT((K55)/12),"")</f>
      </c>
      <c r="E55" s="35">
        <f>IF(NOT(AND($N$5=1,27&lt;=$N$11)),"",IF($N$10=1,IF(AND($N$14=1,K55&lt;=$N$12),INDEX(IPC!$D$5:$D$173,(K55)-IPC!$J$2+1)/INDEX(IPC!$D$5:$D$173,(L55)-IPC!$J$2+1)-1,""),IF(ISNUMBER(F55),F55/100,"")))</f>
      </c>
      <c r="F55" s="36"/>
      <c r="G55" s="37">
        <f>IF(AND(AND($N$5=1,27&lt;=$N$11),ISNUMBER(G54),ISNUMBER(E55)),G54*(1+E55),"")</f>
      </c>
      <c r="H55" s="34">
        <f>IF(NOT(AND($N$5=1,27&lt;=$N$11)),"",IF(ISNUMBER(G55),"Aplicado",IF(ISNUMBER(G54),IF($N$10=1,"Falta el IPC de "&amp;INDEX(IPC!$J$5:$J$16,MOD($N$12+1,12)+1)&amp;" de "&amp;INT(($N$12+1)/12),"Cargá el % de este ajuste en la columna F"),"")))</f>
      </c>
      <c r="J55">
        <f>IF($N$5=1,$N$7+27*$N$8,"")</f>
      </c>
      <c r="K55">
        <f>IF($N$5=1,J55-1-$N$9,"")</f>
      </c>
      <c r="L55">
        <f>IF($N$5=1,K55-$N$8,"")</f>
      </c>
    </row>
    <row r="56" spans="1:12" x14ac:dyDescent="0.25">
      <c r="A56" s="31">
        <f>IF(AND($N$5=1,28&lt;=$N$11),"28° ajuste","")</f>
      </c>
      <c r="B56" s="31">
        <f>IF(AND($N$5=1,28&lt;=$N$11),INDEX(IPC!$J$5:$J$16,MOD(J56,12)+1)&amp;" de "&amp;INT((J56)/12),"")</f>
      </c>
      <c r="C56" s="31">
        <f>IF(AND(AND($N$5=1,28&lt;=$N$11),$N$10=1),INDEX(IPC!$J$5:$J$16,MOD(L56,12)+1)&amp;" de "&amp;INT((L56)/12),"")</f>
      </c>
      <c r="D56" s="31">
        <f>IF(AND(AND($N$5=1,28&lt;=$N$11),$N$10=1),INDEX(IPC!$J$5:$J$16,MOD(K56,12)+1)&amp;" de "&amp;INT((K56)/12),"")</f>
      </c>
      <c r="E56" s="38">
        <f>IF(NOT(AND($N$5=1,28&lt;=$N$11)),"",IF($N$10=1,IF(AND($N$14=1,K56&lt;=$N$12),INDEX(IPC!$D$5:$D$173,(K56)-IPC!$J$2+1)/INDEX(IPC!$D$5:$D$173,(L56)-IPC!$J$2+1)-1,""),IF(ISNUMBER(F56),F56/100,"")))</f>
      </c>
      <c r="F56" s="36"/>
      <c r="G56" s="33">
        <f>IF(AND(AND($N$5=1,28&lt;=$N$11),ISNUMBER(G55),ISNUMBER(E56)),G55*(1+E56),"")</f>
      </c>
      <c r="H56" s="31">
        <f>IF(NOT(AND($N$5=1,28&lt;=$N$11)),"",IF(ISNUMBER(G56),"Aplicado",IF(ISNUMBER(G55),IF($N$10=1,"Falta el IPC de "&amp;INDEX(IPC!$J$5:$J$16,MOD($N$12+1,12)+1)&amp;" de "&amp;INT(($N$12+1)/12),"Cargá el % de este ajuste en la columna F"),"")))</f>
      </c>
      <c r="J56">
        <f>IF($N$5=1,$N$7+28*$N$8,"")</f>
      </c>
      <c r="K56">
        <f>IF($N$5=1,J56-1-$N$9,"")</f>
      </c>
      <c r="L56">
        <f>IF($N$5=1,K56-$N$8,"")</f>
      </c>
    </row>
    <row r="57" spans="1:12" x14ac:dyDescent="0.25">
      <c r="A57" s="34">
        <f>IF(AND($N$5=1,29&lt;=$N$11),"29° ajuste","")</f>
      </c>
      <c r="B57" s="34">
        <f>IF(AND($N$5=1,29&lt;=$N$11),INDEX(IPC!$J$5:$J$16,MOD(J57,12)+1)&amp;" de "&amp;INT((J57)/12),"")</f>
      </c>
      <c r="C57" s="34">
        <f>IF(AND(AND($N$5=1,29&lt;=$N$11),$N$10=1),INDEX(IPC!$J$5:$J$16,MOD(L57,12)+1)&amp;" de "&amp;INT((L57)/12),"")</f>
      </c>
      <c r="D57" s="34">
        <f>IF(AND(AND($N$5=1,29&lt;=$N$11),$N$10=1),INDEX(IPC!$J$5:$J$16,MOD(K57,12)+1)&amp;" de "&amp;INT((K57)/12),"")</f>
      </c>
      <c r="E57" s="35">
        <f>IF(NOT(AND($N$5=1,29&lt;=$N$11)),"",IF($N$10=1,IF(AND($N$14=1,K57&lt;=$N$12),INDEX(IPC!$D$5:$D$173,(K57)-IPC!$J$2+1)/INDEX(IPC!$D$5:$D$173,(L57)-IPC!$J$2+1)-1,""),IF(ISNUMBER(F57),F57/100,"")))</f>
      </c>
      <c r="F57" s="36"/>
      <c r="G57" s="37">
        <f>IF(AND(AND($N$5=1,29&lt;=$N$11),ISNUMBER(G56),ISNUMBER(E57)),G56*(1+E57),"")</f>
      </c>
      <c r="H57" s="34">
        <f>IF(NOT(AND($N$5=1,29&lt;=$N$11)),"",IF(ISNUMBER(G57),"Aplicado",IF(ISNUMBER(G56),IF($N$10=1,"Falta el IPC de "&amp;INDEX(IPC!$J$5:$J$16,MOD($N$12+1,12)+1)&amp;" de "&amp;INT(($N$12+1)/12),"Cargá el % de este ajuste en la columna F"),"")))</f>
      </c>
      <c r="J57">
        <f>IF($N$5=1,$N$7+29*$N$8,"")</f>
      </c>
      <c r="K57">
        <f>IF($N$5=1,J57-1-$N$9,"")</f>
      </c>
      <c r="L57">
        <f>IF($N$5=1,K57-$N$8,"")</f>
      </c>
    </row>
    <row r="58" spans="1:12" x14ac:dyDescent="0.25">
      <c r="A58" s="31">
        <f>IF(AND($N$5=1,30&lt;=$N$11),"30° ajuste","")</f>
      </c>
      <c r="B58" s="31">
        <f>IF(AND($N$5=1,30&lt;=$N$11),INDEX(IPC!$J$5:$J$16,MOD(J58,12)+1)&amp;" de "&amp;INT((J58)/12),"")</f>
      </c>
      <c r="C58" s="31">
        <f>IF(AND(AND($N$5=1,30&lt;=$N$11),$N$10=1),INDEX(IPC!$J$5:$J$16,MOD(L58,12)+1)&amp;" de "&amp;INT((L58)/12),"")</f>
      </c>
      <c r="D58" s="31">
        <f>IF(AND(AND($N$5=1,30&lt;=$N$11),$N$10=1),INDEX(IPC!$J$5:$J$16,MOD(K58,12)+1)&amp;" de "&amp;INT((K58)/12),"")</f>
      </c>
      <c r="E58" s="38">
        <f>IF(NOT(AND($N$5=1,30&lt;=$N$11)),"",IF($N$10=1,IF(AND($N$14=1,K58&lt;=$N$12),INDEX(IPC!$D$5:$D$173,(K58)-IPC!$J$2+1)/INDEX(IPC!$D$5:$D$173,(L58)-IPC!$J$2+1)-1,""),IF(ISNUMBER(F58),F58/100,"")))</f>
      </c>
      <c r="F58" s="36"/>
      <c r="G58" s="33">
        <f>IF(AND(AND($N$5=1,30&lt;=$N$11),ISNUMBER(G57),ISNUMBER(E58)),G57*(1+E58),"")</f>
      </c>
      <c r="H58" s="31">
        <f>IF(NOT(AND($N$5=1,30&lt;=$N$11)),"",IF(ISNUMBER(G58),"Aplicado",IF(ISNUMBER(G57),IF($N$10=1,"Falta el IPC de "&amp;INDEX(IPC!$J$5:$J$16,MOD($N$12+1,12)+1)&amp;" de "&amp;INT(($N$12+1)/12),"Cargá el % de este ajuste en la columna F"),"")))</f>
      </c>
      <c r="J58">
        <f>IF($N$5=1,$N$7+30*$N$8,"")</f>
      </c>
      <c r="K58">
        <f>IF($N$5=1,J58-1-$N$9,"")</f>
      </c>
      <c r="L58">
        <f>IF($N$5=1,K58-$N$8,"")</f>
      </c>
    </row>
    <row r="59" spans="1:12" x14ac:dyDescent="0.25">
      <c r="A59" s="34">
        <f>IF(AND($N$5=1,31&lt;=$N$11),"31° ajuste","")</f>
      </c>
      <c r="B59" s="34">
        <f>IF(AND($N$5=1,31&lt;=$N$11),INDEX(IPC!$J$5:$J$16,MOD(J59,12)+1)&amp;" de "&amp;INT((J59)/12),"")</f>
      </c>
      <c r="C59" s="34">
        <f>IF(AND(AND($N$5=1,31&lt;=$N$11),$N$10=1),INDEX(IPC!$J$5:$J$16,MOD(L59,12)+1)&amp;" de "&amp;INT((L59)/12),"")</f>
      </c>
      <c r="D59" s="34">
        <f>IF(AND(AND($N$5=1,31&lt;=$N$11),$N$10=1),INDEX(IPC!$J$5:$J$16,MOD(K59,12)+1)&amp;" de "&amp;INT((K59)/12),"")</f>
      </c>
      <c r="E59" s="35">
        <f>IF(NOT(AND($N$5=1,31&lt;=$N$11)),"",IF($N$10=1,IF(AND($N$14=1,K59&lt;=$N$12),INDEX(IPC!$D$5:$D$173,(K59)-IPC!$J$2+1)/INDEX(IPC!$D$5:$D$173,(L59)-IPC!$J$2+1)-1,""),IF(ISNUMBER(F59),F59/100,"")))</f>
      </c>
      <c r="F59" s="36"/>
      <c r="G59" s="37">
        <f>IF(AND(AND($N$5=1,31&lt;=$N$11),ISNUMBER(G58),ISNUMBER(E59)),G58*(1+E59),"")</f>
      </c>
      <c r="H59" s="34">
        <f>IF(NOT(AND($N$5=1,31&lt;=$N$11)),"",IF(ISNUMBER(G59),"Aplicado",IF(ISNUMBER(G58),IF($N$10=1,"Falta el IPC de "&amp;INDEX(IPC!$J$5:$J$16,MOD($N$12+1,12)+1)&amp;" de "&amp;INT(($N$12+1)/12),"Cargá el % de este ajuste en la columna F"),"")))</f>
      </c>
      <c r="J59">
        <f>IF($N$5=1,$N$7+31*$N$8,"")</f>
      </c>
      <c r="K59">
        <f>IF($N$5=1,J59-1-$N$9,"")</f>
      </c>
      <c r="L59">
        <f>IF($N$5=1,K59-$N$8,"")</f>
      </c>
    </row>
    <row r="60" spans="1:12" x14ac:dyDescent="0.25">
      <c r="A60" s="31">
        <f>IF(AND($N$5=1,32&lt;=$N$11),"32° ajuste","")</f>
      </c>
      <c r="B60" s="31">
        <f>IF(AND($N$5=1,32&lt;=$N$11),INDEX(IPC!$J$5:$J$16,MOD(J60,12)+1)&amp;" de "&amp;INT((J60)/12),"")</f>
      </c>
      <c r="C60" s="31">
        <f>IF(AND(AND($N$5=1,32&lt;=$N$11),$N$10=1),INDEX(IPC!$J$5:$J$16,MOD(L60,12)+1)&amp;" de "&amp;INT((L60)/12),"")</f>
      </c>
      <c r="D60" s="31">
        <f>IF(AND(AND($N$5=1,32&lt;=$N$11),$N$10=1),INDEX(IPC!$J$5:$J$16,MOD(K60,12)+1)&amp;" de "&amp;INT((K60)/12),"")</f>
      </c>
      <c r="E60" s="38">
        <f>IF(NOT(AND($N$5=1,32&lt;=$N$11)),"",IF($N$10=1,IF(AND($N$14=1,K60&lt;=$N$12),INDEX(IPC!$D$5:$D$173,(K60)-IPC!$J$2+1)/INDEX(IPC!$D$5:$D$173,(L60)-IPC!$J$2+1)-1,""),IF(ISNUMBER(F60),F60/100,"")))</f>
      </c>
      <c r="F60" s="36"/>
      <c r="G60" s="33">
        <f>IF(AND(AND($N$5=1,32&lt;=$N$11),ISNUMBER(G59),ISNUMBER(E60)),G59*(1+E60),"")</f>
      </c>
      <c r="H60" s="31">
        <f>IF(NOT(AND($N$5=1,32&lt;=$N$11)),"",IF(ISNUMBER(G60),"Aplicado",IF(ISNUMBER(G59),IF($N$10=1,"Falta el IPC de "&amp;INDEX(IPC!$J$5:$J$16,MOD($N$12+1,12)+1)&amp;" de "&amp;INT(($N$12+1)/12),"Cargá el % de este ajuste en la columna F"),"")))</f>
      </c>
      <c r="J60">
        <f>IF($N$5=1,$N$7+32*$N$8,"")</f>
      </c>
      <c r="K60">
        <f>IF($N$5=1,J60-1-$N$9,"")</f>
      </c>
      <c r="L60">
        <f>IF($N$5=1,K60-$N$8,"")</f>
      </c>
    </row>
    <row r="61" spans="1:12" x14ac:dyDescent="0.25">
      <c r="A61" s="34">
        <f>IF(AND($N$5=1,33&lt;=$N$11),"33° ajuste","")</f>
      </c>
      <c r="B61" s="34">
        <f>IF(AND($N$5=1,33&lt;=$N$11),INDEX(IPC!$J$5:$J$16,MOD(J61,12)+1)&amp;" de "&amp;INT((J61)/12),"")</f>
      </c>
      <c r="C61" s="34">
        <f>IF(AND(AND($N$5=1,33&lt;=$N$11),$N$10=1),INDEX(IPC!$J$5:$J$16,MOD(L61,12)+1)&amp;" de "&amp;INT((L61)/12),"")</f>
      </c>
      <c r="D61" s="34">
        <f>IF(AND(AND($N$5=1,33&lt;=$N$11),$N$10=1),INDEX(IPC!$J$5:$J$16,MOD(K61,12)+1)&amp;" de "&amp;INT((K61)/12),"")</f>
      </c>
      <c r="E61" s="35">
        <f>IF(NOT(AND($N$5=1,33&lt;=$N$11)),"",IF($N$10=1,IF(AND($N$14=1,K61&lt;=$N$12),INDEX(IPC!$D$5:$D$173,(K61)-IPC!$J$2+1)/INDEX(IPC!$D$5:$D$173,(L61)-IPC!$J$2+1)-1,""),IF(ISNUMBER(F61),F61/100,"")))</f>
      </c>
      <c r="F61" s="36"/>
      <c r="G61" s="37">
        <f>IF(AND(AND($N$5=1,33&lt;=$N$11),ISNUMBER(G60),ISNUMBER(E61)),G60*(1+E61),"")</f>
      </c>
      <c r="H61" s="34">
        <f>IF(NOT(AND($N$5=1,33&lt;=$N$11)),"",IF(ISNUMBER(G61),"Aplicado",IF(ISNUMBER(G60),IF($N$10=1,"Falta el IPC de "&amp;INDEX(IPC!$J$5:$J$16,MOD($N$12+1,12)+1)&amp;" de "&amp;INT(($N$12+1)/12),"Cargá el % de este ajuste en la columna F"),"")))</f>
      </c>
      <c r="J61">
        <f>IF($N$5=1,$N$7+33*$N$8,"")</f>
      </c>
      <c r="K61">
        <f>IF($N$5=1,J61-1-$N$9,"")</f>
      </c>
      <c r="L61">
        <f>IF($N$5=1,K61-$N$8,"")</f>
      </c>
    </row>
    <row r="62" spans="1:12" x14ac:dyDescent="0.25">
      <c r="A62" s="31">
        <f>IF(AND($N$5=1,34&lt;=$N$11),"34° ajuste","")</f>
      </c>
      <c r="B62" s="31">
        <f>IF(AND($N$5=1,34&lt;=$N$11),INDEX(IPC!$J$5:$J$16,MOD(J62,12)+1)&amp;" de "&amp;INT((J62)/12),"")</f>
      </c>
      <c r="C62" s="31">
        <f>IF(AND(AND($N$5=1,34&lt;=$N$11),$N$10=1),INDEX(IPC!$J$5:$J$16,MOD(L62,12)+1)&amp;" de "&amp;INT((L62)/12),"")</f>
      </c>
      <c r="D62" s="31">
        <f>IF(AND(AND($N$5=1,34&lt;=$N$11),$N$10=1),INDEX(IPC!$J$5:$J$16,MOD(K62,12)+1)&amp;" de "&amp;INT((K62)/12),"")</f>
      </c>
      <c r="E62" s="38">
        <f>IF(NOT(AND($N$5=1,34&lt;=$N$11)),"",IF($N$10=1,IF(AND($N$14=1,K62&lt;=$N$12),INDEX(IPC!$D$5:$D$173,(K62)-IPC!$J$2+1)/INDEX(IPC!$D$5:$D$173,(L62)-IPC!$J$2+1)-1,""),IF(ISNUMBER(F62),F62/100,"")))</f>
      </c>
      <c r="F62" s="36"/>
      <c r="G62" s="33">
        <f>IF(AND(AND($N$5=1,34&lt;=$N$11),ISNUMBER(G61),ISNUMBER(E62)),G61*(1+E62),"")</f>
      </c>
      <c r="H62" s="31">
        <f>IF(NOT(AND($N$5=1,34&lt;=$N$11)),"",IF(ISNUMBER(G62),"Aplicado",IF(ISNUMBER(G61),IF($N$10=1,"Falta el IPC de "&amp;INDEX(IPC!$J$5:$J$16,MOD($N$12+1,12)+1)&amp;" de "&amp;INT(($N$12+1)/12),"Cargá el % de este ajuste en la columna F"),"")))</f>
      </c>
      <c r="J62">
        <f>IF($N$5=1,$N$7+34*$N$8,"")</f>
      </c>
      <c r="K62">
        <f>IF($N$5=1,J62-1-$N$9,"")</f>
      </c>
      <c r="L62">
        <f>IF($N$5=1,K62-$N$8,"")</f>
      </c>
    </row>
    <row r="63" spans="1:12" x14ac:dyDescent="0.25">
      <c r="A63" s="34">
        <f>IF(AND($N$5=1,35&lt;=$N$11),"35° ajuste","")</f>
      </c>
      <c r="B63" s="34">
        <f>IF(AND($N$5=1,35&lt;=$N$11),INDEX(IPC!$J$5:$J$16,MOD(J63,12)+1)&amp;" de "&amp;INT((J63)/12),"")</f>
      </c>
      <c r="C63" s="34">
        <f>IF(AND(AND($N$5=1,35&lt;=$N$11),$N$10=1),INDEX(IPC!$J$5:$J$16,MOD(L63,12)+1)&amp;" de "&amp;INT((L63)/12),"")</f>
      </c>
      <c r="D63" s="34">
        <f>IF(AND(AND($N$5=1,35&lt;=$N$11),$N$10=1),INDEX(IPC!$J$5:$J$16,MOD(K63,12)+1)&amp;" de "&amp;INT((K63)/12),"")</f>
      </c>
      <c r="E63" s="35">
        <f>IF(NOT(AND($N$5=1,35&lt;=$N$11)),"",IF($N$10=1,IF(AND($N$14=1,K63&lt;=$N$12),INDEX(IPC!$D$5:$D$173,(K63)-IPC!$J$2+1)/INDEX(IPC!$D$5:$D$173,(L63)-IPC!$J$2+1)-1,""),IF(ISNUMBER(F63),F63/100,"")))</f>
      </c>
      <c r="F63" s="36"/>
      <c r="G63" s="37">
        <f>IF(AND(AND($N$5=1,35&lt;=$N$11),ISNUMBER(G62),ISNUMBER(E63)),G62*(1+E63),"")</f>
      </c>
      <c r="H63" s="34">
        <f>IF(NOT(AND($N$5=1,35&lt;=$N$11)),"",IF(ISNUMBER(G63),"Aplicado",IF(ISNUMBER(G62),IF($N$10=1,"Falta el IPC de "&amp;INDEX(IPC!$J$5:$J$16,MOD($N$12+1,12)+1)&amp;" de "&amp;INT(($N$12+1)/12),"Cargá el % de este ajuste en la columna F"),"")))</f>
      </c>
      <c r="J63">
        <f>IF($N$5=1,$N$7+35*$N$8,"")</f>
      </c>
      <c r="K63">
        <f>IF($N$5=1,J63-1-$N$9,"")</f>
      </c>
      <c r="L63">
        <f>IF($N$5=1,K63-$N$8,"")</f>
      </c>
    </row>
    <row r="64" spans="1:12" x14ac:dyDescent="0.25">
      <c r="A64" s="31">
        <f>IF(AND($N$5=1,36&lt;=$N$11),"36° ajuste","")</f>
      </c>
      <c r="B64" s="31">
        <f>IF(AND($N$5=1,36&lt;=$N$11),INDEX(IPC!$J$5:$J$16,MOD(J64,12)+1)&amp;" de "&amp;INT((J64)/12),"")</f>
      </c>
      <c r="C64" s="31">
        <f>IF(AND(AND($N$5=1,36&lt;=$N$11),$N$10=1),INDEX(IPC!$J$5:$J$16,MOD(L64,12)+1)&amp;" de "&amp;INT((L64)/12),"")</f>
      </c>
      <c r="D64" s="31">
        <f>IF(AND(AND($N$5=1,36&lt;=$N$11),$N$10=1),INDEX(IPC!$J$5:$J$16,MOD(K64,12)+1)&amp;" de "&amp;INT((K64)/12),"")</f>
      </c>
      <c r="E64" s="38">
        <f>IF(NOT(AND($N$5=1,36&lt;=$N$11)),"",IF($N$10=1,IF(AND($N$14=1,K64&lt;=$N$12),INDEX(IPC!$D$5:$D$173,(K64)-IPC!$J$2+1)/INDEX(IPC!$D$5:$D$173,(L64)-IPC!$J$2+1)-1,""),IF(ISNUMBER(F64),F64/100,"")))</f>
      </c>
      <c r="F64" s="36"/>
      <c r="G64" s="33">
        <f>IF(AND(AND($N$5=1,36&lt;=$N$11),ISNUMBER(G63),ISNUMBER(E64)),G63*(1+E64),"")</f>
      </c>
      <c r="H64" s="31">
        <f>IF(NOT(AND($N$5=1,36&lt;=$N$11)),"",IF(ISNUMBER(G64),"Aplicado",IF(ISNUMBER(G63),IF($N$10=1,"Falta el IPC de "&amp;INDEX(IPC!$J$5:$J$16,MOD($N$12+1,12)+1)&amp;" de "&amp;INT(($N$12+1)/12),"Cargá el % de este ajuste en la columna F"),"")))</f>
      </c>
      <c r="J64">
        <f>IF($N$5=1,$N$7+36*$N$8,"")</f>
      </c>
      <c r="K64">
        <f>IF($N$5=1,J64-1-$N$9,"")</f>
      </c>
      <c r="L64">
        <f>IF($N$5=1,K64-$N$8,"")</f>
      </c>
    </row>
    <row r="65" spans="1:12" x14ac:dyDescent="0.25">
      <c r="A65" s="34">
        <f>IF(AND($N$5=1,37&lt;=$N$11),"37° ajuste","")</f>
      </c>
      <c r="B65" s="34">
        <f>IF(AND($N$5=1,37&lt;=$N$11),INDEX(IPC!$J$5:$J$16,MOD(J65,12)+1)&amp;" de "&amp;INT((J65)/12),"")</f>
      </c>
      <c r="C65" s="34">
        <f>IF(AND(AND($N$5=1,37&lt;=$N$11),$N$10=1),INDEX(IPC!$J$5:$J$16,MOD(L65,12)+1)&amp;" de "&amp;INT((L65)/12),"")</f>
      </c>
      <c r="D65" s="34">
        <f>IF(AND(AND($N$5=1,37&lt;=$N$11),$N$10=1),INDEX(IPC!$J$5:$J$16,MOD(K65,12)+1)&amp;" de "&amp;INT((K65)/12),"")</f>
      </c>
      <c r="E65" s="35">
        <f>IF(NOT(AND($N$5=1,37&lt;=$N$11)),"",IF($N$10=1,IF(AND($N$14=1,K65&lt;=$N$12),INDEX(IPC!$D$5:$D$173,(K65)-IPC!$J$2+1)/INDEX(IPC!$D$5:$D$173,(L65)-IPC!$J$2+1)-1,""),IF(ISNUMBER(F65),F65/100,"")))</f>
      </c>
      <c r="F65" s="36"/>
      <c r="G65" s="37">
        <f>IF(AND(AND($N$5=1,37&lt;=$N$11),ISNUMBER(G64),ISNUMBER(E65)),G64*(1+E65),"")</f>
      </c>
      <c r="H65" s="34">
        <f>IF(NOT(AND($N$5=1,37&lt;=$N$11)),"",IF(ISNUMBER(G65),"Aplicado",IF(ISNUMBER(G64),IF($N$10=1,"Falta el IPC de "&amp;INDEX(IPC!$J$5:$J$16,MOD($N$12+1,12)+1)&amp;" de "&amp;INT(($N$12+1)/12),"Cargá el % de este ajuste en la columna F"),"")))</f>
      </c>
      <c r="J65">
        <f>IF($N$5=1,$N$7+37*$N$8,"")</f>
      </c>
      <c r="K65">
        <f>IF($N$5=1,J65-1-$N$9,"")</f>
      </c>
      <c r="L65">
        <f>IF($N$5=1,K65-$N$8,"")</f>
      </c>
    </row>
    <row r="66" spans="1:12" x14ac:dyDescent="0.25">
      <c r="A66" s="31">
        <f>IF(AND($N$5=1,38&lt;=$N$11),"38° ajuste","")</f>
      </c>
      <c r="B66" s="31">
        <f>IF(AND($N$5=1,38&lt;=$N$11),INDEX(IPC!$J$5:$J$16,MOD(J66,12)+1)&amp;" de "&amp;INT((J66)/12),"")</f>
      </c>
      <c r="C66" s="31">
        <f>IF(AND(AND($N$5=1,38&lt;=$N$11),$N$10=1),INDEX(IPC!$J$5:$J$16,MOD(L66,12)+1)&amp;" de "&amp;INT((L66)/12),"")</f>
      </c>
      <c r="D66" s="31">
        <f>IF(AND(AND($N$5=1,38&lt;=$N$11),$N$10=1),INDEX(IPC!$J$5:$J$16,MOD(K66,12)+1)&amp;" de "&amp;INT((K66)/12),"")</f>
      </c>
      <c r="E66" s="38">
        <f>IF(NOT(AND($N$5=1,38&lt;=$N$11)),"",IF($N$10=1,IF(AND($N$14=1,K66&lt;=$N$12),INDEX(IPC!$D$5:$D$173,(K66)-IPC!$J$2+1)/INDEX(IPC!$D$5:$D$173,(L66)-IPC!$J$2+1)-1,""),IF(ISNUMBER(F66),F66/100,"")))</f>
      </c>
      <c r="F66" s="36"/>
      <c r="G66" s="33">
        <f>IF(AND(AND($N$5=1,38&lt;=$N$11),ISNUMBER(G65),ISNUMBER(E66)),G65*(1+E66),"")</f>
      </c>
      <c r="H66" s="31">
        <f>IF(NOT(AND($N$5=1,38&lt;=$N$11)),"",IF(ISNUMBER(G66),"Aplicado",IF(ISNUMBER(G65),IF($N$10=1,"Falta el IPC de "&amp;INDEX(IPC!$J$5:$J$16,MOD($N$12+1,12)+1)&amp;" de "&amp;INT(($N$12+1)/12),"Cargá el % de este ajuste en la columna F"),"")))</f>
      </c>
      <c r="J66">
        <f>IF($N$5=1,$N$7+38*$N$8,"")</f>
      </c>
      <c r="K66">
        <f>IF($N$5=1,J66-1-$N$9,"")</f>
      </c>
      <c r="L66">
        <f>IF($N$5=1,K66-$N$8,"")</f>
      </c>
    </row>
    <row r="67" spans="1:12" x14ac:dyDescent="0.25">
      <c r="A67" s="34">
        <f>IF(AND($N$5=1,39&lt;=$N$11),"39° ajuste","")</f>
      </c>
      <c r="B67" s="34">
        <f>IF(AND($N$5=1,39&lt;=$N$11),INDEX(IPC!$J$5:$J$16,MOD(J67,12)+1)&amp;" de "&amp;INT((J67)/12),"")</f>
      </c>
      <c r="C67" s="34">
        <f>IF(AND(AND($N$5=1,39&lt;=$N$11),$N$10=1),INDEX(IPC!$J$5:$J$16,MOD(L67,12)+1)&amp;" de "&amp;INT((L67)/12),"")</f>
      </c>
      <c r="D67" s="34">
        <f>IF(AND(AND($N$5=1,39&lt;=$N$11),$N$10=1),INDEX(IPC!$J$5:$J$16,MOD(K67,12)+1)&amp;" de "&amp;INT((K67)/12),"")</f>
      </c>
      <c r="E67" s="35">
        <f>IF(NOT(AND($N$5=1,39&lt;=$N$11)),"",IF($N$10=1,IF(AND($N$14=1,K67&lt;=$N$12),INDEX(IPC!$D$5:$D$173,(K67)-IPC!$J$2+1)/INDEX(IPC!$D$5:$D$173,(L67)-IPC!$J$2+1)-1,""),IF(ISNUMBER(F67),F67/100,"")))</f>
      </c>
      <c r="F67" s="36"/>
      <c r="G67" s="37">
        <f>IF(AND(AND($N$5=1,39&lt;=$N$11),ISNUMBER(G66),ISNUMBER(E67)),G66*(1+E67),"")</f>
      </c>
      <c r="H67" s="34">
        <f>IF(NOT(AND($N$5=1,39&lt;=$N$11)),"",IF(ISNUMBER(G67),"Aplicado",IF(ISNUMBER(G66),IF($N$10=1,"Falta el IPC de "&amp;INDEX(IPC!$J$5:$J$16,MOD($N$12+1,12)+1)&amp;" de "&amp;INT(($N$12+1)/12),"Cargá el % de este ajuste en la columna F"),"")))</f>
      </c>
      <c r="J67">
        <f>IF($N$5=1,$N$7+39*$N$8,"")</f>
      </c>
      <c r="K67">
        <f>IF($N$5=1,J67-1-$N$9,"")</f>
      </c>
      <c r="L67">
        <f>IF($N$5=1,K67-$N$8,"")</f>
      </c>
    </row>
    <row r="68" spans="1:12" x14ac:dyDescent="0.25">
      <c r="A68" s="31">
        <f>IF(AND($N$5=1,40&lt;=$N$11),"40° ajuste","")</f>
      </c>
      <c r="B68" s="31">
        <f>IF(AND($N$5=1,40&lt;=$N$11),INDEX(IPC!$J$5:$J$16,MOD(J68,12)+1)&amp;" de "&amp;INT((J68)/12),"")</f>
      </c>
      <c r="C68" s="31">
        <f>IF(AND(AND($N$5=1,40&lt;=$N$11),$N$10=1),INDEX(IPC!$J$5:$J$16,MOD(L68,12)+1)&amp;" de "&amp;INT((L68)/12),"")</f>
      </c>
      <c r="D68" s="31">
        <f>IF(AND(AND($N$5=1,40&lt;=$N$11),$N$10=1),INDEX(IPC!$J$5:$J$16,MOD(K68,12)+1)&amp;" de "&amp;INT((K68)/12),"")</f>
      </c>
      <c r="E68" s="38">
        <f>IF(NOT(AND($N$5=1,40&lt;=$N$11)),"",IF($N$10=1,IF(AND($N$14=1,K68&lt;=$N$12),INDEX(IPC!$D$5:$D$173,(K68)-IPC!$J$2+1)/INDEX(IPC!$D$5:$D$173,(L68)-IPC!$J$2+1)-1,""),IF(ISNUMBER(F68),F68/100,"")))</f>
      </c>
      <c r="F68" s="36"/>
      <c r="G68" s="33">
        <f>IF(AND(AND($N$5=1,40&lt;=$N$11),ISNUMBER(G67),ISNUMBER(E68)),G67*(1+E68),"")</f>
      </c>
      <c r="H68" s="31">
        <f>IF(NOT(AND($N$5=1,40&lt;=$N$11)),"",IF(ISNUMBER(G68),"Aplicado",IF(ISNUMBER(G67),IF($N$10=1,"Falta el IPC de "&amp;INDEX(IPC!$J$5:$J$16,MOD($N$12+1,12)+1)&amp;" de "&amp;INT(($N$12+1)/12),"Cargá el % de este ajuste en la columna F"),"")))</f>
      </c>
      <c r="J68">
        <f>IF($N$5=1,$N$7+40*$N$8,"")</f>
      </c>
      <c r="K68">
        <f>IF($N$5=1,J68-1-$N$9,"")</f>
      </c>
      <c r="L68">
        <f>IF($N$5=1,K68-$N$8,"")</f>
      </c>
    </row>
    <row r="69" spans="1:12" x14ac:dyDescent="0.25">
      <c r="A69" s="34">
        <f>IF(AND($N$5=1,41&lt;=$N$11),"41° ajuste","")</f>
      </c>
      <c r="B69" s="34">
        <f>IF(AND($N$5=1,41&lt;=$N$11),INDEX(IPC!$J$5:$J$16,MOD(J69,12)+1)&amp;" de "&amp;INT((J69)/12),"")</f>
      </c>
      <c r="C69" s="34">
        <f>IF(AND(AND($N$5=1,41&lt;=$N$11),$N$10=1),INDEX(IPC!$J$5:$J$16,MOD(L69,12)+1)&amp;" de "&amp;INT((L69)/12),"")</f>
      </c>
      <c r="D69" s="34">
        <f>IF(AND(AND($N$5=1,41&lt;=$N$11),$N$10=1),INDEX(IPC!$J$5:$J$16,MOD(K69,12)+1)&amp;" de "&amp;INT((K69)/12),"")</f>
      </c>
      <c r="E69" s="35">
        <f>IF(NOT(AND($N$5=1,41&lt;=$N$11)),"",IF($N$10=1,IF(AND($N$14=1,K69&lt;=$N$12),INDEX(IPC!$D$5:$D$173,(K69)-IPC!$J$2+1)/INDEX(IPC!$D$5:$D$173,(L69)-IPC!$J$2+1)-1,""),IF(ISNUMBER(F69),F69/100,"")))</f>
      </c>
      <c r="F69" s="36"/>
      <c r="G69" s="37">
        <f>IF(AND(AND($N$5=1,41&lt;=$N$11),ISNUMBER(G68),ISNUMBER(E69)),G68*(1+E69),"")</f>
      </c>
      <c r="H69" s="34">
        <f>IF(NOT(AND($N$5=1,41&lt;=$N$11)),"",IF(ISNUMBER(G69),"Aplicado",IF(ISNUMBER(G68),IF($N$10=1,"Falta el IPC de "&amp;INDEX(IPC!$J$5:$J$16,MOD($N$12+1,12)+1)&amp;" de "&amp;INT(($N$12+1)/12),"Cargá el % de este ajuste en la columna F"),"")))</f>
      </c>
      <c r="J69">
        <f>IF($N$5=1,$N$7+41*$N$8,"")</f>
      </c>
      <c r="K69">
        <f>IF($N$5=1,J69-1-$N$9,"")</f>
      </c>
      <c r="L69">
        <f>IF($N$5=1,K69-$N$8,"")</f>
      </c>
    </row>
    <row r="70" spans="1:12" x14ac:dyDescent="0.25">
      <c r="A70" s="31">
        <f>IF(AND($N$5=1,42&lt;=$N$11),"42° ajuste","")</f>
      </c>
      <c r="B70" s="31">
        <f>IF(AND($N$5=1,42&lt;=$N$11),INDEX(IPC!$J$5:$J$16,MOD(J70,12)+1)&amp;" de "&amp;INT((J70)/12),"")</f>
      </c>
      <c r="C70" s="31">
        <f>IF(AND(AND($N$5=1,42&lt;=$N$11),$N$10=1),INDEX(IPC!$J$5:$J$16,MOD(L70,12)+1)&amp;" de "&amp;INT((L70)/12),"")</f>
      </c>
      <c r="D70" s="31">
        <f>IF(AND(AND($N$5=1,42&lt;=$N$11),$N$10=1),INDEX(IPC!$J$5:$J$16,MOD(K70,12)+1)&amp;" de "&amp;INT((K70)/12),"")</f>
      </c>
      <c r="E70" s="38">
        <f>IF(NOT(AND($N$5=1,42&lt;=$N$11)),"",IF($N$10=1,IF(AND($N$14=1,K70&lt;=$N$12),INDEX(IPC!$D$5:$D$173,(K70)-IPC!$J$2+1)/INDEX(IPC!$D$5:$D$173,(L70)-IPC!$J$2+1)-1,""),IF(ISNUMBER(F70),F70/100,"")))</f>
      </c>
      <c r="F70" s="36"/>
      <c r="G70" s="33">
        <f>IF(AND(AND($N$5=1,42&lt;=$N$11),ISNUMBER(G69),ISNUMBER(E70)),G69*(1+E70),"")</f>
      </c>
      <c r="H70" s="31">
        <f>IF(NOT(AND($N$5=1,42&lt;=$N$11)),"",IF(ISNUMBER(G70),"Aplicado",IF(ISNUMBER(G69),IF($N$10=1,"Falta el IPC de "&amp;INDEX(IPC!$J$5:$J$16,MOD($N$12+1,12)+1)&amp;" de "&amp;INT(($N$12+1)/12),"Cargá el % de este ajuste en la columna F"),"")))</f>
      </c>
      <c r="J70">
        <f>IF($N$5=1,$N$7+42*$N$8,"")</f>
      </c>
      <c r="K70">
        <f>IF($N$5=1,J70-1-$N$9,"")</f>
      </c>
      <c r="L70">
        <f>IF($N$5=1,K70-$N$8,"")</f>
      </c>
    </row>
    <row r="71" spans="1:12" x14ac:dyDescent="0.25">
      <c r="A71" s="34">
        <f>IF(AND($N$5=1,43&lt;=$N$11),"43° ajuste","")</f>
      </c>
      <c r="B71" s="34">
        <f>IF(AND($N$5=1,43&lt;=$N$11),INDEX(IPC!$J$5:$J$16,MOD(J71,12)+1)&amp;" de "&amp;INT((J71)/12),"")</f>
      </c>
      <c r="C71" s="34">
        <f>IF(AND(AND($N$5=1,43&lt;=$N$11),$N$10=1),INDEX(IPC!$J$5:$J$16,MOD(L71,12)+1)&amp;" de "&amp;INT((L71)/12),"")</f>
      </c>
      <c r="D71" s="34">
        <f>IF(AND(AND($N$5=1,43&lt;=$N$11),$N$10=1),INDEX(IPC!$J$5:$J$16,MOD(K71,12)+1)&amp;" de "&amp;INT((K71)/12),"")</f>
      </c>
      <c r="E71" s="35">
        <f>IF(NOT(AND($N$5=1,43&lt;=$N$11)),"",IF($N$10=1,IF(AND($N$14=1,K71&lt;=$N$12),INDEX(IPC!$D$5:$D$173,(K71)-IPC!$J$2+1)/INDEX(IPC!$D$5:$D$173,(L71)-IPC!$J$2+1)-1,""),IF(ISNUMBER(F71),F71/100,"")))</f>
      </c>
      <c r="F71" s="36"/>
      <c r="G71" s="37">
        <f>IF(AND(AND($N$5=1,43&lt;=$N$11),ISNUMBER(G70),ISNUMBER(E71)),G70*(1+E71),"")</f>
      </c>
      <c r="H71" s="34">
        <f>IF(NOT(AND($N$5=1,43&lt;=$N$11)),"",IF(ISNUMBER(G71),"Aplicado",IF(ISNUMBER(G70),IF($N$10=1,"Falta el IPC de "&amp;INDEX(IPC!$J$5:$J$16,MOD($N$12+1,12)+1)&amp;" de "&amp;INT(($N$12+1)/12),"Cargá el % de este ajuste en la columna F"),"")))</f>
      </c>
      <c r="J71">
        <f>IF($N$5=1,$N$7+43*$N$8,"")</f>
      </c>
      <c r="K71">
        <f>IF($N$5=1,J71-1-$N$9,"")</f>
      </c>
      <c r="L71">
        <f>IF($N$5=1,K71-$N$8,"")</f>
      </c>
    </row>
    <row r="72" spans="1:12" x14ac:dyDescent="0.25">
      <c r="A72" s="31">
        <f>IF(AND($N$5=1,44&lt;=$N$11),"44° ajuste","")</f>
      </c>
      <c r="B72" s="31">
        <f>IF(AND($N$5=1,44&lt;=$N$11),INDEX(IPC!$J$5:$J$16,MOD(J72,12)+1)&amp;" de "&amp;INT((J72)/12),"")</f>
      </c>
      <c r="C72" s="31">
        <f>IF(AND(AND($N$5=1,44&lt;=$N$11),$N$10=1),INDEX(IPC!$J$5:$J$16,MOD(L72,12)+1)&amp;" de "&amp;INT((L72)/12),"")</f>
      </c>
      <c r="D72" s="31">
        <f>IF(AND(AND($N$5=1,44&lt;=$N$11),$N$10=1),INDEX(IPC!$J$5:$J$16,MOD(K72,12)+1)&amp;" de "&amp;INT((K72)/12),"")</f>
      </c>
      <c r="E72" s="38">
        <f>IF(NOT(AND($N$5=1,44&lt;=$N$11)),"",IF($N$10=1,IF(AND($N$14=1,K72&lt;=$N$12),INDEX(IPC!$D$5:$D$173,(K72)-IPC!$J$2+1)/INDEX(IPC!$D$5:$D$173,(L72)-IPC!$J$2+1)-1,""),IF(ISNUMBER(F72),F72/100,"")))</f>
      </c>
      <c r="F72" s="36"/>
      <c r="G72" s="33">
        <f>IF(AND(AND($N$5=1,44&lt;=$N$11),ISNUMBER(G71),ISNUMBER(E72)),G71*(1+E72),"")</f>
      </c>
      <c r="H72" s="31">
        <f>IF(NOT(AND($N$5=1,44&lt;=$N$11)),"",IF(ISNUMBER(G72),"Aplicado",IF(ISNUMBER(G71),IF($N$10=1,"Falta el IPC de "&amp;INDEX(IPC!$J$5:$J$16,MOD($N$12+1,12)+1)&amp;" de "&amp;INT(($N$12+1)/12),"Cargá el % de este ajuste en la columna F"),"")))</f>
      </c>
      <c r="J72">
        <f>IF($N$5=1,$N$7+44*$N$8,"")</f>
      </c>
      <c r="K72">
        <f>IF($N$5=1,J72-1-$N$9,"")</f>
      </c>
      <c r="L72">
        <f>IF($N$5=1,K72-$N$8,"")</f>
      </c>
    </row>
    <row r="73" spans="1:12" x14ac:dyDescent="0.25">
      <c r="A73" s="34">
        <f>IF(AND($N$5=1,45&lt;=$N$11),"45° ajuste","")</f>
      </c>
      <c r="B73" s="34">
        <f>IF(AND($N$5=1,45&lt;=$N$11),INDEX(IPC!$J$5:$J$16,MOD(J73,12)+1)&amp;" de "&amp;INT((J73)/12),"")</f>
      </c>
      <c r="C73" s="34">
        <f>IF(AND(AND($N$5=1,45&lt;=$N$11),$N$10=1),INDEX(IPC!$J$5:$J$16,MOD(L73,12)+1)&amp;" de "&amp;INT((L73)/12),"")</f>
      </c>
      <c r="D73" s="34">
        <f>IF(AND(AND($N$5=1,45&lt;=$N$11),$N$10=1),INDEX(IPC!$J$5:$J$16,MOD(K73,12)+1)&amp;" de "&amp;INT((K73)/12),"")</f>
      </c>
      <c r="E73" s="35">
        <f>IF(NOT(AND($N$5=1,45&lt;=$N$11)),"",IF($N$10=1,IF(AND($N$14=1,K73&lt;=$N$12),INDEX(IPC!$D$5:$D$173,(K73)-IPC!$J$2+1)/INDEX(IPC!$D$5:$D$173,(L73)-IPC!$J$2+1)-1,""),IF(ISNUMBER(F73),F73/100,"")))</f>
      </c>
      <c r="F73" s="36"/>
      <c r="G73" s="37">
        <f>IF(AND(AND($N$5=1,45&lt;=$N$11),ISNUMBER(G72),ISNUMBER(E73)),G72*(1+E73),"")</f>
      </c>
      <c r="H73" s="34">
        <f>IF(NOT(AND($N$5=1,45&lt;=$N$11)),"",IF(ISNUMBER(G73),"Aplicado",IF(ISNUMBER(G72),IF($N$10=1,"Falta el IPC de "&amp;INDEX(IPC!$J$5:$J$16,MOD($N$12+1,12)+1)&amp;" de "&amp;INT(($N$12+1)/12),"Cargá el % de este ajuste en la columna F"),"")))</f>
      </c>
      <c r="J73">
        <f>IF($N$5=1,$N$7+45*$N$8,"")</f>
      </c>
      <c r="K73">
        <f>IF($N$5=1,J73-1-$N$9,"")</f>
      </c>
      <c r="L73">
        <f>IF($N$5=1,K73-$N$8,"")</f>
      </c>
    </row>
    <row r="74" spans="1:12" x14ac:dyDescent="0.25">
      <c r="A74" s="31">
        <f>IF(AND($N$5=1,46&lt;=$N$11),"46° ajuste","")</f>
      </c>
      <c r="B74" s="31">
        <f>IF(AND($N$5=1,46&lt;=$N$11),INDEX(IPC!$J$5:$J$16,MOD(J74,12)+1)&amp;" de "&amp;INT((J74)/12),"")</f>
      </c>
      <c r="C74" s="31">
        <f>IF(AND(AND($N$5=1,46&lt;=$N$11),$N$10=1),INDEX(IPC!$J$5:$J$16,MOD(L74,12)+1)&amp;" de "&amp;INT((L74)/12),"")</f>
      </c>
      <c r="D74" s="31">
        <f>IF(AND(AND($N$5=1,46&lt;=$N$11),$N$10=1),INDEX(IPC!$J$5:$J$16,MOD(K74,12)+1)&amp;" de "&amp;INT((K74)/12),"")</f>
      </c>
      <c r="E74" s="38">
        <f>IF(NOT(AND($N$5=1,46&lt;=$N$11)),"",IF($N$10=1,IF(AND($N$14=1,K74&lt;=$N$12),INDEX(IPC!$D$5:$D$173,(K74)-IPC!$J$2+1)/INDEX(IPC!$D$5:$D$173,(L74)-IPC!$J$2+1)-1,""),IF(ISNUMBER(F74),F74/100,"")))</f>
      </c>
      <c r="F74" s="36"/>
      <c r="G74" s="33">
        <f>IF(AND(AND($N$5=1,46&lt;=$N$11),ISNUMBER(G73),ISNUMBER(E74)),G73*(1+E74),"")</f>
      </c>
      <c r="H74" s="31">
        <f>IF(NOT(AND($N$5=1,46&lt;=$N$11)),"",IF(ISNUMBER(G74),"Aplicado",IF(ISNUMBER(G73),IF($N$10=1,"Falta el IPC de "&amp;INDEX(IPC!$J$5:$J$16,MOD($N$12+1,12)+1)&amp;" de "&amp;INT(($N$12+1)/12),"Cargá el % de este ajuste en la columna F"),"")))</f>
      </c>
      <c r="J74">
        <f>IF($N$5=1,$N$7+46*$N$8,"")</f>
      </c>
      <c r="K74">
        <f>IF($N$5=1,J74-1-$N$9,"")</f>
      </c>
      <c r="L74">
        <f>IF($N$5=1,K74-$N$8,"")</f>
      </c>
    </row>
    <row r="75" spans="1:12" x14ac:dyDescent="0.25">
      <c r="A75" s="34">
        <f>IF(AND($N$5=1,47&lt;=$N$11),"47° ajuste","")</f>
      </c>
      <c r="B75" s="34">
        <f>IF(AND($N$5=1,47&lt;=$N$11),INDEX(IPC!$J$5:$J$16,MOD(J75,12)+1)&amp;" de "&amp;INT((J75)/12),"")</f>
      </c>
      <c r="C75" s="34">
        <f>IF(AND(AND($N$5=1,47&lt;=$N$11),$N$10=1),INDEX(IPC!$J$5:$J$16,MOD(L75,12)+1)&amp;" de "&amp;INT((L75)/12),"")</f>
      </c>
      <c r="D75" s="34">
        <f>IF(AND(AND($N$5=1,47&lt;=$N$11),$N$10=1),INDEX(IPC!$J$5:$J$16,MOD(K75,12)+1)&amp;" de "&amp;INT((K75)/12),"")</f>
      </c>
      <c r="E75" s="35">
        <f>IF(NOT(AND($N$5=1,47&lt;=$N$11)),"",IF($N$10=1,IF(AND($N$14=1,K75&lt;=$N$12),INDEX(IPC!$D$5:$D$173,(K75)-IPC!$J$2+1)/INDEX(IPC!$D$5:$D$173,(L75)-IPC!$J$2+1)-1,""),IF(ISNUMBER(F75),F75/100,"")))</f>
      </c>
      <c r="F75" s="36"/>
      <c r="G75" s="37">
        <f>IF(AND(AND($N$5=1,47&lt;=$N$11),ISNUMBER(G74),ISNUMBER(E75)),G74*(1+E75),"")</f>
      </c>
      <c r="H75" s="34">
        <f>IF(NOT(AND($N$5=1,47&lt;=$N$11)),"",IF(ISNUMBER(G75),"Aplicado",IF(ISNUMBER(G74),IF($N$10=1,"Falta el IPC de "&amp;INDEX(IPC!$J$5:$J$16,MOD($N$12+1,12)+1)&amp;" de "&amp;INT(($N$12+1)/12),"Cargá el % de este ajuste en la columna F"),"")))</f>
      </c>
      <c r="J75">
        <f>IF($N$5=1,$N$7+47*$N$8,"")</f>
      </c>
      <c r="K75">
        <f>IF($N$5=1,J75-1-$N$9,"")</f>
      </c>
      <c r="L75">
        <f>IF($N$5=1,K75-$N$8,"")</f>
      </c>
    </row>
    <row r="76" spans="1:12" x14ac:dyDescent="0.25">
      <c r="A76" s="31">
        <f>IF(AND($N$5=1,48&lt;=$N$11),"48° ajuste","")</f>
      </c>
      <c r="B76" s="31">
        <f>IF(AND($N$5=1,48&lt;=$N$11),INDEX(IPC!$J$5:$J$16,MOD(J76,12)+1)&amp;" de "&amp;INT((J76)/12),"")</f>
      </c>
      <c r="C76" s="31">
        <f>IF(AND(AND($N$5=1,48&lt;=$N$11),$N$10=1),INDEX(IPC!$J$5:$J$16,MOD(L76,12)+1)&amp;" de "&amp;INT((L76)/12),"")</f>
      </c>
      <c r="D76" s="31">
        <f>IF(AND(AND($N$5=1,48&lt;=$N$11),$N$10=1),INDEX(IPC!$J$5:$J$16,MOD(K76,12)+1)&amp;" de "&amp;INT((K76)/12),"")</f>
      </c>
      <c r="E76" s="38">
        <f>IF(NOT(AND($N$5=1,48&lt;=$N$11)),"",IF($N$10=1,IF(AND($N$14=1,K76&lt;=$N$12),INDEX(IPC!$D$5:$D$173,(K76)-IPC!$J$2+1)/INDEX(IPC!$D$5:$D$173,(L76)-IPC!$J$2+1)-1,""),IF(ISNUMBER(F76),F76/100,"")))</f>
      </c>
      <c r="F76" s="36"/>
      <c r="G76" s="33">
        <f>IF(AND(AND($N$5=1,48&lt;=$N$11),ISNUMBER(G75),ISNUMBER(E76)),G75*(1+E76),"")</f>
      </c>
      <c r="H76" s="31">
        <f>IF(NOT(AND($N$5=1,48&lt;=$N$11)),"",IF(ISNUMBER(G76),"Aplicado",IF(ISNUMBER(G75),IF($N$10=1,"Falta el IPC de "&amp;INDEX(IPC!$J$5:$J$16,MOD($N$12+1,12)+1)&amp;" de "&amp;INT(($N$12+1)/12),"Cargá el % de este ajuste en la columna F"),"")))</f>
      </c>
      <c r="J76">
        <f>IF($N$5=1,$N$7+48*$N$8,"")</f>
      </c>
      <c r="K76">
        <f>IF($N$5=1,J76-1-$N$9,"")</f>
      </c>
      <c r="L76">
        <f>IF($N$5=1,K76-$N$8,"")</f>
      </c>
    </row>
    <row r="77" spans="1:12" x14ac:dyDescent="0.25">
      <c r="A77" s="34">
        <f>IF(AND($N$5=1,49&lt;=$N$11),"49° ajuste","")</f>
      </c>
      <c r="B77" s="34">
        <f>IF(AND($N$5=1,49&lt;=$N$11),INDEX(IPC!$J$5:$J$16,MOD(J77,12)+1)&amp;" de "&amp;INT((J77)/12),"")</f>
      </c>
      <c r="C77" s="34">
        <f>IF(AND(AND($N$5=1,49&lt;=$N$11),$N$10=1),INDEX(IPC!$J$5:$J$16,MOD(L77,12)+1)&amp;" de "&amp;INT((L77)/12),"")</f>
      </c>
      <c r="D77" s="34">
        <f>IF(AND(AND($N$5=1,49&lt;=$N$11),$N$10=1),INDEX(IPC!$J$5:$J$16,MOD(K77,12)+1)&amp;" de "&amp;INT((K77)/12),"")</f>
      </c>
      <c r="E77" s="35">
        <f>IF(NOT(AND($N$5=1,49&lt;=$N$11)),"",IF($N$10=1,IF(AND($N$14=1,K77&lt;=$N$12),INDEX(IPC!$D$5:$D$173,(K77)-IPC!$J$2+1)/INDEX(IPC!$D$5:$D$173,(L77)-IPC!$J$2+1)-1,""),IF(ISNUMBER(F77),F77/100,"")))</f>
      </c>
      <c r="F77" s="36"/>
      <c r="G77" s="37">
        <f>IF(AND(AND($N$5=1,49&lt;=$N$11),ISNUMBER(G76),ISNUMBER(E77)),G76*(1+E77),"")</f>
      </c>
      <c r="H77" s="34">
        <f>IF(NOT(AND($N$5=1,49&lt;=$N$11)),"",IF(ISNUMBER(G77),"Aplicado",IF(ISNUMBER(G76),IF($N$10=1,"Falta el IPC de "&amp;INDEX(IPC!$J$5:$J$16,MOD($N$12+1,12)+1)&amp;" de "&amp;INT(($N$12+1)/12),"Cargá el % de este ajuste en la columna F"),"")))</f>
      </c>
      <c r="J77">
        <f>IF($N$5=1,$N$7+49*$N$8,"")</f>
      </c>
      <c r="K77">
        <f>IF($N$5=1,J77-1-$N$9,"")</f>
      </c>
      <c r="L77">
        <f>IF($N$5=1,K77-$N$8,"")</f>
      </c>
    </row>
    <row r="78" spans="1:12" x14ac:dyDescent="0.25">
      <c r="A78" s="31">
        <f>IF(AND($N$5=1,50&lt;=$N$11),"50° ajuste","")</f>
      </c>
      <c r="B78" s="31">
        <f>IF(AND($N$5=1,50&lt;=$N$11),INDEX(IPC!$J$5:$J$16,MOD(J78,12)+1)&amp;" de "&amp;INT((J78)/12),"")</f>
      </c>
      <c r="C78" s="31">
        <f>IF(AND(AND($N$5=1,50&lt;=$N$11),$N$10=1),INDEX(IPC!$J$5:$J$16,MOD(L78,12)+1)&amp;" de "&amp;INT((L78)/12),"")</f>
      </c>
      <c r="D78" s="31">
        <f>IF(AND(AND($N$5=1,50&lt;=$N$11),$N$10=1),INDEX(IPC!$J$5:$J$16,MOD(K78,12)+1)&amp;" de "&amp;INT((K78)/12),"")</f>
      </c>
      <c r="E78" s="38">
        <f>IF(NOT(AND($N$5=1,50&lt;=$N$11)),"",IF($N$10=1,IF(AND($N$14=1,K78&lt;=$N$12),INDEX(IPC!$D$5:$D$173,(K78)-IPC!$J$2+1)/INDEX(IPC!$D$5:$D$173,(L78)-IPC!$J$2+1)-1,""),IF(ISNUMBER(F78),F78/100,"")))</f>
      </c>
      <c r="F78" s="36"/>
      <c r="G78" s="33">
        <f>IF(AND(AND($N$5=1,50&lt;=$N$11),ISNUMBER(G77),ISNUMBER(E78)),G77*(1+E78),"")</f>
      </c>
      <c r="H78" s="31">
        <f>IF(NOT(AND($N$5=1,50&lt;=$N$11)),"",IF(ISNUMBER(G78),"Aplicado",IF(ISNUMBER(G77),IF($N$10=1,"Falta el IPC de "&amp;INDEX(IPC!$J$5:$J$16,MOD($N$12+1,12)+1)&amp;" de "&amp;INT(($N$12+1)/12),"Cargá el % de este ajuste en la columna F"),"")))</f>
      </c>
      <c r="J78">
        <f>IF($N$5=1,$N$7+50*$N$8,"")</f>
      </c>
      <c r="K78">
        <f>IF($N$5=1,J78-1-$N$9,"")</f>
      </c>
      <c r="L78">
        <f>IF($N$5=1,K78-$N$8,"")</f>
      </c>
    </row>
    <row r="79" spans="1:12" x14ac:dyDescent="0.25">
      <c r="A79" s="34">
        <f>IF(AND($N$5=1,51&lt;=$N$11),"51° ajuste","")</f>
      </c>
      <c r="B79" s="34">
        <f>IF(AND($N$5=1,51&lt;=$N$11),INDEX(IPC!$J$5:$J$16,MOD(J79,12)+1)&amp;" de "&amp;INT((J79)/12),"")</f>
      </c>
      <c r="C79" s="34">
        <f>IF(AND(AND($N$5=1,51&lt;=$N$11),$N$10=1),INDEX(IPC!$J$5:$J$16,MOD(L79,12)+1)&amp;" de "&amp;INT((L79)/12),"")</f>
      </c>
      <c r="D79" s="34">
        <f>IF(AND(AND($N$5=1,51&lt;=$N$11),$N$10=1),INDEX(IPC!$J$5:$J$16,MOD(K79,12)+1)&amp;" de "&amp;INT((K79)/12),"")</f>
      </c>
      <c r="E79" s="35">
        <f>IF(NOT(AND($N$5=1,51&lt;=$N$11)),"",IF($N$10=1,IF(AND($N$14=1,K79&lt;=$N$12),INDEX(IPC!$D$5:$D$173,(K79)-IPC!$J$2+1)/INDEX(IPC!$D$5:$D$173,(L79)-IPC!$J$2+1)-1,""),IF(ISNUMBER(F79),F79/100,"")))</f>
      </c>
      <c r="F79" s="36"/>
      <c r="G79" s="37">
        <f>IF(AND(AND($N$5=1,51&lt;=$N$11),ISNUMBER(G78),ISNUMBER(E79)),G78*(1+E79),"")</f>
      </c>
      <c r="H79" s="34">
        <f>IF(NOT(AND($N$5=1,51&lt;=$N$11)),"",IF(ISNUMBER(G79),"Aplicado",IF(ISNUMBER(G78),IF($N$10=1,"Falta el IPC de "&amp;INDEX(IPC!$J$5:$J$16,MOD($N$12+1,12)+1)&amp;" de "&amp;INT(($N$12+1)/12),"Cargá el % de este ajuste en la columna F"),"")))</f>
      </c>
      <c r="J79">
        <f>IF($N$5=1,$N$7+51*$N$8,"")</f>
      </c>
      <c r="K79">
        <f>IF($N$5=1,J79-1-$N$9,"")</f>
      </c>
      <c r="L79">
        <f>IF($N$5=1,K79-$N$8,"")</f>
      </c>
    </row>
    <row r="80" spans="1:12" x14ac:dyDescent="0.25">
      <c r="A80" s="31">
        <f>IF(AND($N$5=1,52&lt;=$N$11),"52° ajuste","")</f>
      </c>
      <c r="B80" s="31">
        <f>IF(AND($N$5=1,52&lt;=$N$11),INDEX(IPC!$J$5:$J$16,MOD(J80,12)+1)&amp;" de "&amp;INT((J80)/12),"")</f>
      </c>
      <c r="C80" s="31">
        <f>IF(AND(AND($N$5=1,52&lt;=$N$11),$N$10=1),INDEX(IPC!$J$5:$J$16,MOD(L80,12)+1)&amp;" de "&amp;INT((L80)/12),"")</f>
      </c>
      <c r="D80" s="31">
        <f>IF(AND(AND($N$5=1,52&lt;=$N$11),$N$10=1),INDEX(IPC!$J$5:$J$16,MOD(K80,12)+1)&amp;" de "&amp;INT((K80)/12),"")</f>
      </c>
      <c r="E80" s="38">
        <f>IF(NOT(AND($N$5=1,52&lt;=$N$11)),"",IF($N$10=1,IF(AND($N$14=1,K80&lt;=$N$12),INDEX(IPC!$D$5:$D$173,(K80)-IPC!$J$2+1)/INDEX(IPC!$D$5:$D$173,(L80)-IPC!$J$2+1)-1,""),IF(ISNUMBER(F80),F80/100,"")))</f>
      </c>
      <c r="F80" s="36"/>
      <c r="G80" s="33">
        <f>IF(AND(AND($N$5=1,52&lt;=$N$11),ISNUMBER(G79),ISNUMBER(E80)),G79*(1+E80),"")</f>
      </c>
      <c r="H80" s="31">
        <f>IF(NOT(AND($N$5=1,52&lt;=$N$11)),"",IF(ISNUMBER(G80),"Aplicado",IF(ISNUMBER(G79),IF($N$10=1,"Falta el IPC de "&amp;INDEX(IPC!$J$5:$J$16,MOD($N$12+1,12)+1)&amp;" de "&amp;INT(($N$12+1)/12),"Cargá el % de este ajuste en la columna F"),"")))</f>
      </c>
      <c r="J80">
        <f>IF($N$5=1,$N$7+52*$N$8,"")</f>
      </c>
      <c r="K80">
        <f>IF($N$5=1,J80-1-$N$9,"")</f>
      </c>
      <c r="L80">
        <f>IF($N$5=1,K80-$N$8,"")</f>
      </c>
    </row>
    <row r="81" spans="1:12" x14ac:dyDescent="0.25">
      <c r="A81" s="34">
        <f>IF(AND($N$5=1,53&lt;=$N$11),"53° ajuste","")</f>
      </c>
      <c r="B81" s="34">
        <f>IF(AND($N$5=1,53&lt;=$N$11),INDEX(IPC!$J$5:$J$16,MOD(J81,12)+1)&amp;" de "&amp;INT((J81)/12),"")</f>
      </c>
      <c r="C81" s="34">
        <f>IF(AND(AND($N$5=1,53&lt;=$N$11),$N$10=1),INDEX(IPC!$J$5:$J$16,MOD(L81,12)+1)&amp;" de "&amp;INT((L81)/12),"")</f>
      </c>
      <c r="D81" s="34">
        <f>IF(AND(AND($N$5=1,53&lt;=$N$11),$N$10=1),INDEX(IPC!$J$5:$J$16,MOD(K81,12)+1)&amp;" de "&amp;INT((K81)/12),"")</f>
      </c>
      <c r="E81" s="35">
        <f>IF(NOT(AND($N$5=1,53&lt;=$N$11)),"",IF($N$10=1,IF(AND($N$14=1,K81&lt;=$N$12),INDEX(IPC!$D$5:$D$173,(K81)-IPC!$J$2+1)/INDEX(IPC!$D$5:$D$173,(L81)-IPC!$J$2+1)-1,""),IF(ISNUMBER(F81),F81/100,"")))</f>
      </c>
      <c r="F81" s="36"/>
      <c r="G81" s="37">
        <f>IF(AND(AND($N$5=1,53&lt;=$N$11),ISNUMBER(G80),ISNUMBER(E81)),G80*(1+E81),"")</f>
      </c>
      <c r="H81" s="34">
        <f>IF(NOT(AND($N$5=1,53&lt;=$N$11)),"",IF(ISNUMBER(G81),"Aplicado",IF(ISNUMBER(G80),IF($N$10=1,"Falta el IPC de "&amp;INDEX(IPC!$J$5:$J$16,MOD($N$12+1,12)+1)&amp;" de "&amp;INT(($N$12+1)/12),"Cargá el % de este ajuste en la columna F"),"")))</f>
      </c>
      <c r="J81">
        <f>IF($N$5=1,$N$7+53*$N$8,"")</f>
      </c>
      <c r="K81">
        <f>IF($N$5=1,J81-1-$N$9,"")</f>
      </c>
      <c r="L81">
        <f>IF($N$5=1,K81-$N$8,"")</f>
      </c>
    </row>
    <row r="82" spans="1:12" x14ac:dyDescent="0.25">
      <c r="A82" s="31">
        <f>IF(AND($N$5=1,54&lt;=$N$11),"54° ajuste","")</f>
      </c>
      <c r="B82" s="31">
        <f>IF(AND($N$5=1,54&lt;=$N$11),INDEX(IPC!$J$5:$J$16,MOD(J82,12)+1)&amp;" de "&amp;INT((J82)/12),"")</f>
      </c>
      <c r="C82" s="31">
        <f>IF(AND(AND($N$5=1,54&lt;=$N$11),$N$10=1),INDEX(IPC!$J$5:$J$16,MOD(L82,12)+1)&amp;" de "&amp;INT((L82)/12),"")</f>
      </c>
      <c r="D82" s="31">
        <f>IF(AND(AND($N$5=1,54&lt;=$N$11),$N$10=1),INDEX(IPC!$J$5:$J$16,MOD(K82,12)+1)&amp;" de "&amp;INT((K82)/12),"")</f>
      </c>
      <c r="E82" s="38">
        <f>IF(NOT(AND($N$5=1,54&lt;=$N$11)),"",IF($N$10=1,IF(AND($N$14=1,K82&lt;=$N$12),INDEX(IPC!$D$5:$D$173,(K82)-IPC!$J$2+1)/INDEX(IPC!$D$5:$D$173,(L82)-IPC!$J$2+1)-1,""),IF(ISNUMBER(F82),F82/100,"")))</f>
      </c>
      <c r="F82" s="36"/>
      <c r="G82" s="33">
        <f>IF(AND(AND($N$5=1,54&lt;=$N$11),ISNUMBER(G81),ISNUMBER(E82)),G81*(1+E82),"")</f>
      </c>
      <c r="H82" s="31">
        <f>IF(NOT(AND($N$5=1,54&lt;=$N$11)),"",IF(ISNUMBER(G82),"Aplicado",IF(ISNUMBER(G81),IF($N$10=1,"Falta el IPC de "&amp;INDEX(IPC!$J$5:$J$16,MOD($N$12+1,12)+1)&amp;" de "&amp;INT(($N$12+1)/12),"Cargá el % de este ajuste en la columna F"),"")))</f>
      </c>
      <c r="J82">
        <f>IF($N$5=1,$N$7+54*$N$8,"")</f>
      </c>
      <c r="K82">
        <f>IF($N$5=1,J82-1-$N$9,"")</f>
      </c>
      <c r="L82">
        <f>IF($N$5=1,K82-$N$8,"")</f>
      </c>
    </row>
    <row r="83" spans="1:12" x14ac:dyDescent="0.25">
      <c r="A83" s="34">
        <f>IF(AND($N$5=1,55&lt;=$N$11),"55° ajuste","")</f>
      </c>
      <c r="B83" s="34">
        <f>IF(AND($N$5=1,55&lt;=$N$11),INDEX(IPC!$J$5:$J$16,MOD(J83,12)+1)&amp;" de "&amp;INT((J83)/12),"")</f>
      </c>
      <c r="C83" s="34">
        <f>IF(AND(AND($N$5=1,55&lt;=$N$11),$N$10=1),INDEX(IPC!$J$5:$J$16,MOD(L83,12)+1)&amp;" de "&amp;INT((L83)/12),"")</f>
      </c>
      <c r="D83" s="34">
        <f>IF(AND(AND($N$5=1,55&lt;=$N$11),$N$10=1),INDEX(IPC!$J$5:$J$16,MOD(K83,12)+1)&amp;" de "&amp;INT((K83)/12),"")</f>
      </c>
      <c r="E83" s="35">
        <f>IF(NOT(AND($N$5=1,55&lt;=$N$11)),"",IF($N$10=1,IF(AND($N$14=1,K83&lt;=$N$12),INDEX(IPC!$D$5:$D$173,(K83)-IPC!$J$2+1)/INDEX(IPC!$D$5:$D$173,(L83)-IPC!$J$2+1)-1,""),IF(ISNUMBER(F83),F83/100,"")))</f>
      </c>
      <c r="F83" s="36"/>
      <c r="G83" s="37">
        <f>IF(AND(AND($N$5=1,55&lt;=$N$11),ISNUMBER(G82),ISNUMBER(E83)),G82*(1+E83),"")</f>
      </c>
      <c r="H83" s="34">
        <f>IF(NOT(AND($N$5=1,55&lt;=$N$11)),"",IF(ISNUMBER(G83),"Aplicado",IF(ISNUMBER(G82),IF($N$10=1,"Falta el IPC de "&amp;INDEX(IPC!$J$5:$J$16,MOD($N$12+1,12)+1)&amp;" de "&amp;INT(($N$12+1)/12),"Cargá el % de este ajuste en la columna F"),"")))</f>
      </c>
      <c r="J83">
        <f>IF($N$5=1,$N$7+55*$N$8,"")</f>
      </c>
      <c r="K83">
        <f>IF($N$5=1,J83-1-$N$9,"")</f>
      </c>
      <c r="L83">
        <f>IF($N$5=1,K83-$N$8,"")</f>
      </c>
    </row>
    <row r="84" spans="1:12" x14ac:dyDescent="0.25">
      <c r="A84" s="31">
        <f>IF(AND($N$5=1,56&lt;=$N$11),"56° ajuste","")</f>
      </c>
      <c r="B84" s="31">
        <f>IF(AND($N$5=1,56&lt;=$N$11),INDEX(IPC!$J$5:$J$16,MOD(J84,12)+1)&amp;" de "&amp;INT((J84)/12),"")</f>
      </c>
      <c r="C84" s="31">
        <f>IF(AND(AND($N$5=1,56&lt;=$N$11),$N$10=1),INDEX(IPC!$J$5:$J$16,MOD(L84,12)+1)&amp;" de "&amp;INT((L84)/12),"")</f>
      </c>
      <c r="D84" s="31">
        <f>IF(AND(AND($N$5=1,56&lt;=$N$11),$N$10=1),INDEX(IPC!$J$5:$J$16,MOD(K84,12)+1)&amp;" de "&amp;INT((K84)/12),"")</f>
      </c>
      <c r="E84" s="38">
        <f>IF(NOT(AND($N$5=1,56&lt;=$N$11)),"",IF($N$10=1,IF(AND($N$14=1,K84&lt;=$N$12),INDEX(IPC!$D$5:$D$173,(K84)-IPC!$J$2+1)/INDEX(IPC!$D$5:$D$173,(L84)-IPC!$J$2+1)-1,""),IF(ISNUMBER(F84),F84/100,"")))</f>
      </c>
      <c r="F84" s="36"/>
      <c r="G84" s="33">
        <f>IF(AND(AND($N$5=1,56&lt;=$N$11),ISNUMBER(G83),ISNUMBER(E84)),G83*(1+E84),"")</f>
      </c>
      <c r="H84" s="31">
        <f>IF(NOT(AND($N$5=1,56&lt;=$N$11)),"",IF(ISNUMBER(G84),"Aplicado",IF(ISNUMBER(G83),IF($N$10=1,"Falta el IPC de "&amp;INDEX(IPC!$J$5:$J$16,MOD($N$12+1,12)+1)&amp;" de "&amp;INT(($N$12+1)/12),"Cargá el % de este ajuste en la columna F"),"")))</f>
      </c>
      <c r="J84">
        <f>IF($N$5=1,$N$7+56*$N$8,"")</f>
      </c>
      <c r="K84">
        <f>IF($N$5=1,J84-1-$N$9,"")</f>
      </c>
      <c r="L84">
        <f>IF($N$5=1,K84-$N$8,"")</f>
      </c>
    </row>
    <row r="85" spans="1:12" x14ac:dyDescent="0.25">
      <c r="A85" s="34">
        <f>IF(AND($N$5=1,57&lt;=$N$11),"57° ajuste","")</f>
      </c>
      <c r="B85" s="34">
        <f>IF(AND($N$5=1,57&lt;=$N$11),INDEX(IPC!$J$5:$J$16,MOD(J85,12)+1)&amp;" de "&amp;INT((J85)/12),"")</f>
      </c>
      <c r="C85" s="34">
        <f>IF(AND(AND($N$5=1,57&lt;=$N$11),$N$10=1),INDEX(IPC!$J$5:$J$16,MOD(L85,12)+1)&amp;" de "&amp;INT((L85)/12),"")</f>
      </c>
      <c r="D85" s="34">
        <f>IF(AND(AND($N$5=1,57&lt;=$N$11),$N$10=1),INDEX(IPC!$J$5:$J$16,MOD(K85,12)+1)&amp;" de "&amp;INT((K85)/12),"")</f>
      </c>
      <c r="E85" s="35">
        <f>IF(NOT(AND($N$5=1,57&lt;=$N$11)),"",IF($N$10=1,IF(AND($N$14=1,K85&lt;=$N$12),INDEX(IPC!$D$5:$D$173,(K85)-IPC!$J$2+1)/INDEX(IPC!$D$5:$D$173,(L85)-IPC!$J$2+1)-1,""),IF(ISNUMBER(F85),F85/100,"")))</f>
      </c>
      <c r="F85" s="36"/>
      <c r="G85" s="37">
        <f>IF(AND(AND($N$5=1,57&lt;=$N$11),ISNUMBER(G84),ISNUMBER(E85)),G84*(1+E85),"")</f>
      </c>
      <c r="H85" s="34">
        <f>IF(NOT(AND($N$5=1,57&lt;=$N$11)),"",IF(ISNUMBER(G85),"Aplicado",IF(ISNUMBER(G84),IF($N$10=1,"Falta el IPC de "&amp;INDEX(IPC!$J$5:$J$16,MOD($N$12+1,12)+1)&amp;" de "&amp;INT(($N$12+1)/12),"Cargá el % de este ajuste en la columna F"),"")))</f>
      </c>
      <c r="J85">
        <f>IF($N$5=1,$N$7+57*$N$8,"")</f>
      </c>
      <c r="K85">
        <f>IF($N$5=1,J85-1-$N$9,"")</f>
      </c>
      <c r="L85">
        <f>IF($N$5=1,K85-$N$8,"")</f>
      </c>
    </row>
    <row r="86" spans="1:12" x14ac:dyDescent="0.25">
      <c r="A86" s="31">
        <f>IF(AND($N$5=1,58&lt;=$N$11),"58° ajuste","")</f>
      </c>
      <c r="B86" s="31">
        <f>IF(AND($N$5=1,58&lt;=$N$11),INDEX(IPC!$J$5:$J$16,MOD(J86,12)+1)&amp;" de "&amp;INT((J86)/12),"")</f>
      </c>
      <c r="C86" s="31">
        <f>IF(AND(AND($N$5=1,58&lt;=$N$11),$N$10=1),INDEX(IPC!$J$5:$J$16,MOD(L86,12)+1)&amp;" de "&amp;INT((L86)/12),"")</f>
      </c>
      <c r="D86" s="31">
        <f>IF(AND(AND($N$5=1,58&lt;=$N$11),$N$10=1),INDEX(IPC!$J$5:$J$16,MOD(K86,12)+1)&amp;" de "&amp;INT((K86)/12),"")</f>
      </c>
      <c r="E86" s="38">
        <f>IF(NOT(AND($N$5=1,58&lt;=$N$11)),"",IF($N$10=1,IF(AND($N$14=1,K86&lt;=$N$12),INDEX(IPC!$D$5:$D$173,(K86)-IPC!$J$2+1)/INDEX(IPC!$D$5:$D$173,(L86)-IPC!$J$2+1)-1,""),IF(ISNUMBER(F86),F86/100,"")))</f>
      </c>
      <c r="F86" s="36"/>
      <c r="G86" s="33">
        <f>IF(AND(AND($N$5=1,58&lt;=$N$11),ISNUMBER(G85),ISNUMBER(E86)),G85*(1+E86),"")</f>
      </c>
      <c r="H86" s="31">
        <f>IF(NOT(AND($N$5=1,58&lt;=$N$11)),"",IF(ISNUMBER(G86),"Aplicado",IF(ISNUMBER(G85),IF($N$10=1,"Falta el IPC de "&amp;INDEX(IPC!$J$5:$J$16,MOD($N$12+1,12)+1)&amp;" de "&amp;INT(($N$12+1)/12),"Cargá el % de este ajuste en la columna F"),"")))</f>
      </c>
      <c r="J86">
        <f>IF($N$5=1,$N$7+58*$N$8,"")</f>
      </c>
      <c r="K86">
        <f>IF($N$5=1,J86-1-$N$9,"")</f>
      </c>
      <c r="L86">
        <f>IF($N$5=1,K86-$N$8,"")</f>
      </c>
    </row>
    <row r="87" spans="1:12" x14ac:dyDescent="0.25">
      <c r="A87" s="34">
        <f>IF(AND($N$5=1,59&lt;=$N$11),"59° ajuste","")</f>
      </c>
      <c r="B87" s="34">
        <f>IF(AND($N$5=1,59&lt;=$N$11),INDEX(IPC!$J$5:$J$16,MOD(J87,12)+1)&amp;" de "&amp;INT((J87)/12),"")</f>
      </c>
      <c r="C87" s="34">
        <f>IF(AND(AND($N$5=1,59&lt;=$N$11),$N$10=1),INDEX(IPC!$J$5:$J$16,MOD(L87,12)+1)&amp;" de "&amp;INT((L87)/12),"")</f>
      </c>
      <c r="D87" s="34">
        <f>IF(AND(AND($N$5=1,59&lt;=$N$11),$N$10=1),INDEX(IPC!$J$5:$J$16,MOD(K87,12)+1)&amp;" de "&amp;INT((K87)/12),"")</f>
      </c>
      <c r="E87" s="35">
        <f>IF(NOT(AND($N$5=1,59&lt;=$N$11)),"",IF($N$10=1,IF(AND($N$14=1,K87&lt;=$N$12),INDEX(IPC!$D$5:$D$173,(K87)-IPC!$J$2+1)/INDEX(IPC!$D$5:$D$173,(L87)-IPC!$J$2+1)-1,""),IF(ISNUMBER(F87),F87/100,"")))</f>
      </c>
      <c r="F87" s="36"/>
      <c r="G87" s="37">
        <f>IF(AND(AND($N$5=1,59&lt;=$N$11),ISNUMBER(G86),ISNUMBER(E87)),G86*(1+E87),"")</f>
      </c>
      <c r="H87" s="34">
        <f>IF(NOT(AND($N$5=1,59&lt;=$N$11)),"",IF(ISNUMBER(G87),"Aplicado",IF(ISNUMBER(G86),IF($N$10=1,"Falta el IPC de "&amp;INDEX(IPC!$J$5:$J$16,MOD($N$12+1,12)+1)&amp;" de "&amp;INT(($N$12+1)/12),"Cargá el % de este ajuste en la columna F"),"")))</f>
      </c>
      <c r="J87">
        <f>IF($N$5=1,$N$7+59*$N$8,"")</f>
      </c>
      <c r="K87">
        <f>IF($N$5=1,J87-1-$N$9,"")</f>
      </c>
      <c r="L87">
        <f>IF($N$5=1,K87-$N$8,"")</f>
      </c>
    </row>
    <row r="88" spans="1:12" x14ac:dyDescent="0.25">
      <c r="A88" s="31">
        <f>IF(AND($N$5=1,60&lt;=$N$11),"60° ajuste","")</f>
      </c>
      <c r="B88" s="31">
        <f>IF(AND($N$5=1,60&lt;=$N$11),INDEX(IPC!$J$5:$J$16,MOD(J88,12)+1)&amp;" de "&amp;INT((J88)/12),"")</f>
      </c>
      <c r="C88" s="31">
        <f>IF(AND(AND($N$5=1,60&lt;=$N$11),$N$10=1),INDEX(IPC!$J$5:$J$16,MOD(L88,12)+1)&amp;" de "&amp;INT((L88)/12),"")</f>
      </c>
      <c r="D88" s="31">
        <f>IF(AND(AND($N$5=1,60&lt;=$N$11),$N$10=1),INDEX(IPC!$J$5:$J$16,MOD(K88,12)+1)&amp;" de "&amp;INT((K88)/12),"")</f>
      </c>
      <c r="E88" s="38">
        <f>IF(NOT(AND($N$5=1,60&lt;=$N$11)),"",IF($N$10=1,IF(AND($N$14=1,K88&lt;=$N$12),INDEX(IPC!$D$5:$D$173,(K88)-IPC!$J$2+1)/INDEX(IPC!$D$5:$D$173,(L88)-IPC!$J$2+1)-1,""),IF(ISNUMBER(F88),F88/100,"")))</f>
      </c>
      <c r="F88" s="36"/>
      <c r="G88" s="33">
        <f>IF(AND(AND($N$5=1,60&lt;=$N$11),ISNUMBER(G87),ISNUMBER(E88)),G87*(1+E88),"")</f>
      </c>
      <c r="H88" s="31">
        <f>IF(NOT(AND($N$5=1,60&lt;=$N$11)),"",IF(ISNUMBER(G88),"Aplicado",IF(ISNUMBER(G87),IF($N$10=1,"Falta el IPC de "&amp;INDEX(IPC!$J$5:$J$16,MOD($N$12+1,12)+1)&amp;" de "&amp;INT(($N$12+1)/12),"Cargá el % de este ajuste en la columna F"),"")))</f>
      </c>
      <c r="J88">
        <f>IF($N$5=1,$N$7+60*$N$8,"")</f>
      </c>
      <c r="K88">
        <f>IF($N$5=1,J88-1-$N$9,"")</f>
      </c>
      <c r="L88">
        <f>IF($N$5=1,K88-$N$8,"")</f>
      </c>
    </row>
    <row r="90" ht="40" customHeight="1" spans="1:8" x14ac:dyDescent="0.25">
      <c r="A90" s="9" t="s">
        <v>75</v>
      </c>
      <c r="B90" s="9"/>
      <c r="C90" s="9"/>
      <c r="D90" s="9"/>
      <c r="E90" s="9"/>
      <c r="F90" s="9"/>
      <c r="G90" s="9"/>
      <c r="H90" s="9"/>
    </row>
  </sheetData>
  <sheetProtection sheet="1" formatColumns="0" formatRows="0"/>
  <mergeCells count="11">
    <mergeCell ref="A1:H1"/>
    <mergeCell ref="A2:H2"/>
    <mergeCell ref="A4:B4"/>
    <mergeCell ref="C8:H8"/>
    <mergeCell ref="C12:H12"/>
    <mergeCell ref="C13:H13"/>
    <mergeCell ref="C14:H14"/>
    <mergeCell ref="A16:B16"/>
    <mergeCell ref="B24:H24"/>
    <mergeCell ref="A26:H26"/>
    <mergeCell ref="A90:H90"/>
  </mergeCells>
  <dataValidations count="8">
    <dataValidation type="whole" showErrorMessage="1" error="La duración va en meses, entre 1 y 60. Un contrato de dos años son 24." sqref="B10">
      <formula1>1</formula1>
      <formula2>60</formula2>
    </dataValidation>
    <dataValidation type="decimal" allowBlank="1" showErrorMessage="1" error="Escribí el alquiler del primer mes, sin puntos ni signo $. Por ejemplo: 500000." sqref="B11">
      <formula1>1</formula1>
      <formula2>10000000000</formula2>
    </dataValidation>
    <dataValidation type="list" showErrorMessage="1" error="Elegí una opción de la lista." sqref="B12">
      <formula1>"IPC (INDEC),Otro índice (cargo el %)"</formula1>
    </dataValidation>
    <dataValidation type="whole" showErrorMessage="1" error="Escribí cada cuántos meses se ajusta: 3, 4, 6 o 12 son los más comunes." sqref="B13">
      <formula1>1</formula1>
      <formula2>12</formula2>
    </dataValidation>
    <dataValidation type="list" showErrorMessage="1" error="Elegí una opción de la lista." sqref="B14">
      <formula1>"Los completos antes del ajuste,Los últimos publicados"</formula1>
    </dataValidation>
    <dataValidation type="list" showErrorMessage="1" error="Elegí un mes de la lista." sqref="B8">
      <formula1>"enero,febrero,marzo,abril,mayo,junio,julio,agosto,septiembre,octubre,noviembre,diciembre"</formula1>
    </dataValidation>
    <dataValidation type="whole" allowBlank="1" showErrorMessage="1" error="Escribí el año con cuatro cifras, entre 2017 y 2040." sqref="B9">
      <formula1>2017</formula1>
      <formula2>2040</formula2>
    </dataValidation>
    <dataValidation type="decimal" allowBlank="1" showErrorMessage="1" error="Cargá el % del ajuste como número: por ejemplo 9,32 para 9,32%." sqref="F29:F88">
      <formula1>-90</formula1>
      <formula2>500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N9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22" customWidth="1"/>
    <col min="5" max="5" width="13" customWidth="1"/>
    <col min="6" max="6" width="14" customWidth="1"/>
    <col min="7" max="7" width="18" customWidth="1"/>
    <col min="8" max="8" width="46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</cols>
  <sheetData>
    <row r="1" ht="28" customHeight="1" spans="1:8" x14ac:dyDescent="0.25">
      <c r="A1" s="10" t="s">
        <v>38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76</v>
      </c>
      <c r="B2" s="11"/>
      <c r="C2" s="11"/>
      <c r="D2" s="11"/>
      <c r="E2" s="11"/>
      <c r="F2" s="11"/>
      <c r="G2" s="11"/>
      <c r="H2" s="11"/>
    </row>
    <row r="4" spans="1:2" x14ac:dyDescent="0.25">
      <c r="A4" s="4" t="s">
        <v>41</v>
      </c>
      <c r="B4" s="4"/>
    </row>
    <row r="5" spans="1:14" x14ac:dyDescent="0.25">
      <c r="A5" s="19" t="s">
        <v>42</v>
      </c>
      <c r="B5" s="20"/>
      <c r="N5">
        <f>IF(AND(N6&gt;0,ISNUMBER(B9),ISNUMBER(B11),B11&gt;0,ISNUMBER(B13),B13&gt;=1,ISNUMBER(B10),B10&gt;=1),1,0)</f>
      </c>
    </row>
    <row r="6" spans="1:14" x14ac:dyDescent="0.25">
      <c r="A6" s="19" t="s">
        <v>27</v>
      </c>
      <c r="B6" s="20"/>
      <c r="N6">
        <f>IFERROR(MATCH(B8,IPC!$J$5:$J$16,0),0)</f>
      </c>
    </row>
    <row r="7" spans="1:14" x14ac:dyDescent="0.25">
      <c r="A7" s="19" t="s">
        <v>45</v>
      </c>
      <c r="B7" s="20"/>
      <c r="N7">
        <f>IF(N5=1,B9*12+N6-1,0)</f>
      </c>
    </row>
    <row r="8" spans="1:14" x14ac:dyDescent="0.25">
      <c r="A8" s="19" t="s">
        <v>46</v>
      </c>
      <c r="B8" s="20"/>
      <c r="C8" s="21" t="s">
        <v>48</v>
      </c>
      <c r="D8" s="21"/>
      <c r="E8" s="21"/>
      <c r="F8" s="21"/>
      <c r="G8" s="21"/>
      <c r="H8" s="21"/>
      <c r="N8">
        <f>IF(N5=1,INT(B13),1)</f>
      </c>
    </row>
    <row r="9" spans="1:14" x14ac:dyDescent="0.25">
      <c r="A9" s="19" t="s">
        <v>49</v>
      </c>
      <c r="B9" s="22"/>
      <c r="N9">
        <f>IF(B14="Los últimos publicados",1,0)</f>
      </c>
    </row>
    <row r="10" spans="1:14" x14ac:dyDescent="0.25">
      <c r="A10" s="19" t="s">
        <v>50</v>
      </c>
      <c r="B10" s="22">
        <v>24</v>
      </c>
      <c r="N10">
        <f>IF(B12="Otro índice (cargo el %)",0,1)</f>
      </c>
    </row>
    <row r="11" spans="1:14" x14ac:dyDescent="0.25">
      <c r="A11" s="19" t="s">
        <v>51</v>
      </c>
      <c r="B11" s="23"/>
      <c r="N11">
        <f>IF(N5=1,MIN(INT((B10-1)/N8),60),0)</f>
      </c>
    </row>
    <row r="12" ht="30" customHeight="1" spans="1:14" x14ac:dyDescent="0.25">
      <c r="A12" s="19" t="s">
        <v>52</v>
      </c>
      <c r="B12" s="20" t="s">
        <v>53</v>
      </c>
      <c r="C12" s="21" t="s">
        <v>54</v>
      </c>
      <c r="D12" s="21"/>
      <c r="E12" s="21"/>
      <c r="F12" s="21"/>
      <c r="G12" s="21"/>
      <c r="H12" s="21"/>
      <c r="N12">
        <f>IPC!$J$3</f>
      </c>
    </row>
    <row r="13" spans="1:14" x14ac:dyDescent="0.25">
      <c r="A13" s="19" t="s">
        <v>55</v>
      </c>
      <c r="B13" s="22">
        <v>3</v>
      </c>
      <c r="C13" s="21" t="s">
        <v>56</v>
      </c>
      <c r="D13" s="21"/>
      <c r="E13" s="21"/>
      <c r="F13" s="21"/>
      <c r="G13" s="21"/>
      <c r="H13" s="21"/>
      <c r="N13">
        <f>IPC!$J$2</f>
      </c>
    </row>
    <row r="14" ht="42" customHeight="1" spans="1:14" x14ac:dyDescent="0.25">
      <c r="A14" s="19" t="s">
        <v>57</v>
      </c>
      <c r="B14" s="20" t="s">
        <v>58</v>
      </c>
      <c r="C14" s="21" t="s">
        <v>59</v>
      </c>
      <c r="D14" s="21"/>
      <c r="E14" s="21"/>
      <c r="F14" s="21"/>
      <c r="G14" s="21"/>
      <c r="H14" s="21"/>
      <c r="N14">
        <f>IF(N5=0,0,IF(N10=0,1,IF(AND(N7-1-N9&gt;=N13,N7-1-N9&lt;=N12),1,0)))</f>
      </c>
    </row>
    <row r="15" ht="6" customHeight="1" spans="14:14" x14ac:dyDescent="0.25">
      <c r="N15">
        <f>COUNT(G29:G88)</f>
      </c>
    </row>
    <row r="16" spans="1:14" x14ac:dyDescent="0.25">
      <c r="A16" s="4" t="s">
        <v>60</v>
      </c>
      <c r="B16" s="4"/>
      <c r="N16">
        <f>IF(N5=1,INDEX(G28:G88,N15+1),"")</f>
      </c>
    </row>
    <row r="17" spans="1:14" x14ac:dyDescent="0.25">
      <c r="A17" s="19" t="s">
        <v>61</v>
      </c>
      <c r="B17" s="24">
        <f>N16</f>
      </c>
      <c r="N17">
        <f>N15+1</f>
      </c>
    </row>
    <row r="18" spans="1:14" x14ac:dyDescent="0.25">
      <c r="A18" s="19" t="s">
        <v>29</v>
      </c>
      <c r="B18" s="25">
        <f>IF(N5=1,INDEX(B28:B88,N15+1),"")</f>
      </c>
      <c r="N18">
        <f>IF(AND(N5=1,N17&lt;=N11),1,0)</f>
      </c>
    </row>
    <row r="19" spans="1:14" x14ac:dyDescent="0.25">
      <c r="A19" s="19" t="s">
        <v>62</v>
      </c>
      <c r="B19" s="26">
        <f>IF(N5=1,N15,"")</f>
      </c>
      <c r="N19">
        <f>N7+N17*N8-1-N9</f>
      </c>
    </row>
    <row r="20" spans="1:14" x14ac:dyDescent="0.25">
      <c r="A20" s="19" t="s">
        <v>63</v>
      </c>
      <c r="B20" s="27">
        <f>IF(N5=1,N16/B11-1,"")</f>
      </c>
      <c r="N20">
        <f>N19-N12</f>
      </c>
    </row>
    <row r="21" spans="1:14" x14ac:dyDescent="0.25">
      <c r="A21" s="19" t="s">
        <v>30</v>
      </c>
      <c r="B21" s="25">
        <f>IF(N18=1,INDEX(B28:B88,N17+1),IF(N5=1,"No quedan ajustes antes de que termine",""))</f>
      </c>
      <c r="N21">
        <f>INDEX(IPC!$D$5:$D$173,(N12)-IPC!$J$2+1)/INDEX(IPC!$D$5:$D$173,(N12-1)-IPC!$J$2+1)-1</f>
      </c>
    </row>
    <row r="22" spans="1:14" x14ac:dyDescent="0.25">
      <c r="A22" s="19" t="s">
        <v>64</v>
      </c>
      <c r="B22" s="28">
        <f>N22</f>
      </c>
      <c r="N22">
        <f>IF(AND(N18=1,N10=1,N14=1,N20&gt;0,N20&lt;=12),N16*INDEX(IPC!$D$5:$D$173,(N12)-IPC!$J$2+1)*(1+N21)^N20/INDEX(IPC!$D$5:$D$173,(N19-N8)-IPC!$J$2+1),"")</f>
      </c>
    </row>
    <row r="23" spans="1:14" x14ac:dyDescent="0.25">
      <c r="A23" s="19" t="s">
        <v>65</v>
      </c>
      <c r="B23" s="25">
        <f>IF(N5=1,INDEX(IPC!$J$5:$J$16,MOD(N7+B10-1,12)+1)&amp;" de "&amp;INT((N7+B10-1)/12),"")</f>
      </c>
      <c r="N23">
        <f>IF(ISNUMBER(N22),ROUND(N22,0),"")</f>
      </c>
    </row>
    <row r="24" ht="46" customHeight="1" spans="1:14" x14ac:dyDescent="0.25">
      <c r="A24" s="19" t="s">
        <v>66</v>
      </c>
      <c r="B24" s="29">
        <f>IF(N5=0,"Completá las celdas amarillas de arriba y acá aparece el cronograma de aumentos.",IF(N14=0,"Todavía no está publicado el IPC de "&amp;INDEX(IPC!$J$5:$J$16,MOD(N7-1-N9,12)+1)&amp;" de "&amp;INT((N7-1-N9)/12)&amp;", que es la base de este contrato. Mientras tanto se cobra el valor inicial.",IF(N18=0,"No quedan ajustes: el contrato termina en "&amp;INDEX(IPC!$J$5:$J$16,MOD(N7+B10-1,12)+1)&amp;" de "&amp;INT((N7+B10-1)/12)&amp;".",IF(N10=1,"El próximo ajuste rige desde "&amp;B21&amp;". Se calcula cuando el INDEC publique el IPC de "&amp;INDEX(IPC!$J$5:$J$16,MOD(N19,12)+1)&amp;" de "&amp;INT((N19)/12)&amp;" (sale entre el 10 y el 15 del mes siguiente)"&amp;IF(ISNUMBER(N22),". Si la inflación siguiera como el último mes, el alquiler quedaría en unos $ "&amp;N24&amp;".","."),"El próximo ajuste rige desde "&amp;B21&amp;": cuando lo tengas, cargá el % del índice pactado en la columna F del cronograma."))))</f>
      </c>
      <c r="C24" s="29"/>
      <c r="D24" s="29"/>
      <c r="E24" s="29"/>
      <c r="F24" s="29"/>
      <c r="G24" s="29"/>
      <c r="H24" s="29"/>
      <c r="N24">
        <f>IF(ISNUMBER(N23),IF(N23&gt;=1000000000,INT(N23/1000000000)&amp;"."&amp;RIGHT("00"&amp;INT(MOD(N23,1000000000)/1000000),3)&amp;"."&amp;RIGHT("00"&amp;INT(MOD(N23,1000000)/1000),3)&amp;"."&amp;RIGHT("00"&amp;INT(MOD(N23,1000)/1),3),IF(N23&gt;=1000000,INT(N23/1000000)&amp;"."&amp;RIGHT("00"&amp;INT(MOD(N23,1000000)/1000),3)&amp;"."&amp;RIGHT("00"&amp;INT(MOD(N23,1000)/1),3),IF(N23&gt;=1000,INT(N23/1000)&amp;"."&amp;RIGHT("00"&amp;INT(MOD(N23,1000)/1),3),""&amp;N23))),"")</f>
      </c>
    </row>
    <row r="26" spans="1:8" x14ac:dyDescent="0.25">
      <c r="A26" s="4" t="s">
        <v>67</v>
      </c>
      <c r="B26" s="4"/>
      <c r="C26" s="4"/>
      <c r="D26" s="4"/>
      <c r="E26" s="4"/>
      <c r="F26" s="4"/>
      <c r="G26" s="4"/>
      <c r="H26" s="4"/>
    </row>
    <row r="27" ht="30" customHeight="1" spans="1:8" x14ac:dyDescent="0.25">
      <c r="A27" s="30" t="s">
        <v>68</v>
      </c>
      <c r="B27" s="30" t="s">
        <v>29</v>
      </c>
      <c r="C27" s="30" t="s">
        <v>69</v>
      </c>
      <c r="D27" s="30" t="s">
        <v>70</v>
      </c>
      <c r="E27" s="30" t="s">
        <v>71</v>
      </c>
      <c r="F27" s="30" t="s">
        <v>72</v>
      </c>
      <c r="G27" s="30" t="s">
        <v>73</v>
      </c>
      <c r="H27" s="30" t="s">
        <v>74</v>
      </c>
    </row>
    <row r="28" spans="1:12" x14ac:dyDescent="0.25">
      <c r="A28" s="31">
        <f>IF($N$5=1,"Valor inicial","")</f>
      </c>
      <c r="B28" s="31">
        <f>IF($N$5=1,INDEX(IPC!$J$5:$J$16,MOD(J28,12)+1)&amp;" de "&amp;INT((J28)/12),"")</f>
      </c>
      <c r="C28" s="31"/>
      <c r="D28" s="31"/>
      <c r="E28" s="31"/>
      <c r="F28" s="32"/>
      <c r="G28" s="33">
        <f>IF($N$5=1,B11,"")</f>
      </c>
      <c r="H28" s="31">
        <f>IF($N$5=1,"Valor inicial del contrato","")</f>
      </c>
      <c r="J28">
        <f>IF($N$5=1,$N$7+0*$N$8,"")</f>
      </c>
      <c r="K28">
        <f>IF($N$5=1,J28-1-$N$9,"")</f>
      </c>
      <c r="L28">
        <f>IF($N$5=1,K28-$N$8,"")</f>
      </c>
    </row>
    <row r="29" spans="1:12" x14ac:dyDescent="0.25">
      <c r="A29" s="34">
        <f>IF(AND($N$5=1,1&lt;=$N$11),"1° ajuste","")</f>
      </c>
      <c r="B29" s="34">
        <f>IF(AND($N$5=1,1&lt;=$N$11),INDEX(IPC!$J$5:$J$16,MOD(J29,12)+1)&amp;" de "&amp;INT((J29)/12),"")</f>
      </c>
      <c r="C29" s="34">
        <f>IF(AND(AND($N$5=1,1&lt;=$N$11),$N$10=1),INDEX(IPC!$J$5:$J$16,MOD(L29,12)+1)&amp;" de "&amp;INT((L29)/12),"")</f>
      </c>
      <c r="D29" s="34">
        <f>IF(AND(AND($N$5=1,1&lt;=$N$11),$N$10=1),INDEX(IPC!$J$5:$J$16,MOD(K29,12)+1)&amp;" de "&amp;INT((K29)/12),"")</f>
      </c>
      <c r="E29" s="35">
        <f>IF(NOT(AND($N$5=1,1&lt;=$N$11)),"",IF($N$10=1,IF(AND($N$14=1,K29&lt;=$N$12),INDEX(IPC!$D$5:$D$173,(K29)-IPC!$J$2+1)/INDEX(IPC!$D$5:$D$173,(L29)-IPC!$J$2+1)-1,""),IF(ISNUMBER(F29),F29/100,"")))</f>
      </c>
      <c r="F29" s="36"/>
      <c r="G29" s="37">
        <f>IF(AND(AND($N$5=1,1&lt;=$N$11),ISNUMBER(G28),ISNUMBER(E29)),G28*(1+E29),"")</f>
      </c>
      <c r="H29" s="34">
        <f>IF(NOT(AND($N$5=1,1&lt;=$N$11)),"",IF(ISNUMBER(G29),"Aplicado",IF(ISNUMBER(G28),IF($N$10=1,"Falta el IPC de "&amp;INDEX(IPC!$J$5:$J$16,MOD($N$12+1,12)+1)&amp;" de "&amp;INT(($N$12+1)/12),"Cargá el % de este ajuste en la columna F"),"")))</f>
      </c>
      <c r="J29">
        <f>IF($N$5=1,$N$7+1*$N$8,"")</f>
      </c>
      <c r="K29">
        <f>IF($N$5=1,J29-1-$N$9,"")</f>
      </c>
      <c r="L29">
        <f>IF($N$5=1,K29-$N$8,"")</f>
      </c>
    </row>
    <row r="30" spans="1:12" x14ac:dyDescent="0.25">
      <c r="A30" s="31">
        <f>IF(AND($N$5=1,2&lt;=$N$11),"2° ajuste","")</f>
      </c>
      <c r="B30" s="31">
        <f>IF(AND($N$5=1,2&lt;=$N$11),INDEX(IPC!$J$5:$J$16,MOD(J30,12)+1)&amp;" de "&amp;INT((J30)/12),"")</f>
      </c>
      <c r="C30" s="31">
        <f>IF(AND(AND($N$5=1,2&lt;=$N$11),$N$10=1),INDEX(IPC!$J$5:$J$16,MOD(L30,12)+1)&amp;" de "&amp;INT((L30)/12),"")</f>
      </c>
      <c r="D30" s="31">
        <f>IF(AND(AND($N$5=1,2&lt;=$N$11),$N$10=1),INDEX(IPC!$J$5:$J$16,MOD(K30,12)+1)&amp;" de "&amp;INT((K30)/12),"")</f>
      </c>
      <c r="E30" s="38">
        <f>IF(NOT(AND($N$5=1,2&lt;=$N$11)),"",IF($N$10=1,IF(AND($N$14=1,K30&lt;=$N$12),INDEX(IPC!$D$5:$D$173,(K30)-IPC!$J$2+1)/INDEX(IPC!$D$5:$D$173,(L30)-IPC!$J$2+1)-1,""),IF(ISNUMBER(F30),F30/100,"")))</f>
      </c>
      <c r="F30" s="36"/>
      <c r="G30" s="33">
        <f>IF(AND(AND($N$5=1,2&lt;=$N$11),ISNUMBER(G29),ISNUMBER(E30)),G29*(1+E30),"")</f>
      </c>
      <c r="H30" s="31">
        <f>IF(NOT(AND($N$5=1,2&lt;=$N$11)),"",IF(ISNUMBER(G30),"Aplicado",IF(ISNUMBER(G29),IF($N$10=1,"Falta el IPC de "&amp;INDEX(IPC!$J$5:$J$16,MOD($N$12+1,12)+1)&amp;" de "&amp;INT(($N$12+1)/12),"Cargá el % de este ajuste en la columna F"),"")))</f>
      </c>
      <c r="J30">
        <f>IF($N$5=1,$N$7+2*$N$8,"")</f>
      </c>
      <c r="K30">
        <f>IF($N$5=1,J30-1-$N$9,"")</f>
      </c>
      <c r="L30">
        <f>IF($N$5=1,K30-$N$8,"")</f>
      </c>
    </row>
    <row r="31" spans="1:12" x14ac:dyDescent="0.25">
      <c r="A31" s="34">
        <f>IF(AND($N$5=1,3&lt;=$N$11),"3° ajuste","")</f>
      </c>
      <c r="B31" s="34">
        <f>IF(AND($N$5=1,3&lt;=$N$11),INDEX(IPC!$J$5:$J$16,MOD(J31,12)+1)&amp;" de "&amp;INT((J31)/12),"")</f>
      </c>
      <c r="C31" s="34">
        <f>IF(AND(AND($N$5=1,3&lt;=$N$11),$N$10=1),INDEX(IPC!$J$5:$J$16,MOD(L31,12)+1)&amp;" de "&amp;INT((L31)/12),"")</f>
      </c>
      <c r="D31" s="34">
        <f>IF(AND(AND($N$5=1,3&lt;=$N$11),$N$10=1),INDEX(IPC!$J$5:$J$16,MOD(K31,12)+1)&amp;" de "&amp;INT((K31)/12),"")</f>
      </c>
      <c r="E31" s="35">
        <f>IF(NOT(AND($N$5=1,3&lt;=$N$11)),"",IF($N$10=1,IF(AND($N$14=1,K31&lt;=$N$12),INDEX(IPC!$D$5:$D$173,(K31)-IPC!$J$2+1)/INDEX(IPC!$D$5:$D$173,(L31)-IPC!$J$2+1)-1,""),IF(ISNUMBER(F31),F31/100,"")))</f>
      </c>
      <c r="F31" s="36"/>
      <c r="G31" s="37">
        <f>IF(AND(AND($N$5=1,3&lt;=$N$11),ISNUMBER(G30),ISNUMBER(E31)),G30*(1+E31),"")</f>
      </c>
      <c r="H31" s="34">
        <f>IF(NOT(AND($N$5=1,3&lt;=$N$11)),"",IF(ISNUMBER(G31),"Aplicado",IF(ISNUMBER(G30),IF($N$10=1,"Falta el IPC de "&amp;INDEX(IPC!$J$5:$J$16,MOD($N$12+1,12)+1)&amp;" de "&amp;INT(($N$12+1)/12),"Cargá el % de este ajuste en la columna F"),"")))</f>
      </c>
      <c r="J31">
        <f>IF($N$5=1,$N$7+3*$N$8,"")</f>
      </c>
      <c r="K31">
        <f>IF($N$5=1,J31-1-$N$9,"")</f>
      </c>
      <c r="L31">
        <f>IF($N$5=1,K31-$N$8,"")</f>
      </c>
    </row>
    <row r="32" spans="1:12" x14ac:dyDescent="0.25">
      <c r="A32" s="31">
        <f>IF(AND($N$5=1,4&lt;=$N$11),"4° ajuste","")</f>
      </c>
      <c r="B32" s="31">
        <f>IF(AND($N$5=1,4&lt;=$N$11),INDEX(IPC!$J$5:$J$16,MOD(J32,12)+1)&amp;" de "&amp;INT((J32)/12),"")</f>
      </c>
      <c r="C32" s="31">
        <f>IF(AND(AND($N$5=1,4&lt;=$N$11),$N$10=1),INDEX(IPC!$J$5:$J$16,MOD(L32,12)+1)&amp;" de "&amp;INT((L32)/12),"")</f>
      </c>
      <c r="D32" s="31">
        <f>IF(AND(AND($N$5=1,4&lt;=$N$11),$N$10=1),INDEX(IPC!$J$5:$J$16,MOD(K32,12)+1)&amp;" de "&amp;INT((K32)/12),"")</f>
      </c>
      <c r="E32" s="38">
        <f>IF(NOT(AND($N$5=1,4&lt;=$N$11)),"",IF($N$10=1,IF(AND($N$14=1,K32&lt;=$N$12),INDEX(IPC!$D$5:$D$173,(K32)-IPC!$J$2+1)/INDEX(IPC!$D$5:$D$173,(L32)-IPC!$J$2+1)-1,""),IF(ISNUMBER(F32),F32/100,"")))</f>
      </c>
      <c r="F32" s="36"/>
      <c r="G32" s="33">
        <f>IF(AND(AND($N$5=1,4&lt;=$N$11),ISNUMBER(G31),ISNUMBER(E32)),G31*(1+E32),"")</f>
      </c>
      <c r="H32" s="31">
        <f>IF(NOT(AND($N$5=1,4&lt;=$N$11)),"",IF(ISNUMBER(G32),"Aplicado",IF(ISNUMBER(G31),IF($N$10=1,"Falta el IPC de "&amp;INDEX(IPC!$J$5:$J$16,MOD($N$12+1,12)+1)&amp;" de "&amp;INT(($N$12+1)/12),"Cargá el % de este ajuste en la columna F"),"")))</f>
      </c>
      <c r="J32">
        <f>IF($N$5=1,$N$7+4*$N$8,"")</f>
      </c>
      <c r="K32">
        <f>IF($N$5=1,J32-1-$N$9,"")</f>
      </c>
      <c r="L32">
        <f>IF($N$5=1,K32-$N$8,"")</f>
      </c>
    </row>
    <row r="33" spans="1:12" x14ac:dyDescent="0.25">
      <c r="A33" s="34">
        <f>IF(AND($N$5=1,5&lt;=$N$11),"5° ajuste","")</f>
      </c>
      <c r="B33" s="34">
        <f>IF(AND($N$5=1,5&lt;=$N$11),INDEX(IPC!$J$5:$J$16,MOD(J33,12)+1)&amp;" de "&amp;INT((J33)/12),"")</f>
      </c>
      <c r="C33" s="34">
        <f>IF(AND(AND($N$5=1,5&lt;=$N$11),$N$10=1),INDEX(IPC!$J$5:$J$16,MOD(L33,12)+1)&amp;" de "&amp;INT((L33)/12),"")</f>
      </c>
      <c r="D33" s="34">
        <f>IF(AND(AND($N$5=1,5&lt;=$N$11),$N$10=1),INDEX(IPC!$J$5:$J$16,MOD(K33,12)+1)&amp;" de "&amp;INT((K33)/12),"")</f>
      </c>
      <c r="E33" s="35">
        <f>IF(NOT(AND($N$5=1,5&lt;=$N$11)),"",IF($N$10=1,IF(AND($N$14=1,K33&lt;=$N$12),INDEX(IPC!$D$5:$D$173,(K33)-IPC!$J$2+1)/INDEX(IPC!$D$5:$D$173,(L33)-IPC!$J$2+1)-1,""),IF(ISNUMBER(F33),F33/100,"")))</f>
      </c>
      <c r="F33" s="36"/>
      <c r="G33" s="37">
        <f>IF(AND(AND($N$5=1,5&lt;=$N$11),ISNUMBER(G32),ISNUMBER(E33)),G32*(1+E33),"")</f>
      </c>
      <c r="H33" s="34">
        <f>IF(NOT(AND($N$5=1,5&lt;=$N$11)),"",IF(ISNUMBER(G33),"Aplicado",IF(ISNUMBER(G32),IF($N$10=1,"Falta el IPC de "&amp;INDEX(IPC!$J$5:$J$16,MOD($N$12+1,12)+1)&amp;" de "&amp;INT(($N$12+1)/12),"Cargá el % de este ajuste en la columna F"),"")))</f>
      </c>
      <c r="J33">
        <f>IF($N$5=1,$N$7+5*$N$8,"")</f>
      </c>
      <c r="K33">
        <f>IF($N$5=1,J33-1-$N$9,"")</f>
      </c>
      <c r="L33">
        <f>IF($N$5=1,K33-$N$8,"")</f>
      </c>
    </row>
    <row r="34" spans="1:12" x14ac:dyDescent="0.25">
      <c r="A34" s="31">
        <f>IF(AND($N$5=1,6&lt;=$N$11),"6° ajuste","")</f>
      </c>
      <c r="B34" s="31">
        <f>IF(AND($N$5=1,6&lt;=$N$11),INDEX(IPC!$J$5:$J$16,MOD(J34,12)+1)&amp;" de "&amp;INT((J34)/12),"")</f>
      </c>
      <c r="C34" s="31">
        <f>IF(AND(AND($N$5=1,6&lt;=$N$11),$N$10=1),INDEX(IPC!$J$5:$J$16,MOD(L34,12)+1)&amp;" de "&amp;INT((L34)/12),"")</f>
      </c>
      <c r="D34" s="31">
        <f>IF(AND(AND($N$5=1,6&lt;=$N$11),$N$10=1),INDEX(IPC!$J$5:$J$16,MOD(K34,12)+1)&amp;" de "&amp;INT((K34)/12),"")</f>
      </c>
      <c r="E34" s="38">
        <f>IF(NOT(AND($N$5=1,6&lt;=$N$11)),"",IF($N$10=1,IF(AND($N$14=1,K34&lt;=$N$12),INDEX(IPC!$D$5:$D$173,(K34)-IPC!$J$2+1)/INDEX(IPC!$D$5:$D$173,(L34)-IPC!$J$2+1)-1,""),IF(ISNUMBER(F34),F34/100,"")))</f>
      </c>
      <c r="F34" s="36"/>
      <c r="G34" s="33">
        <f>IF(AND(AND($N$5=1,6&lt;=$N$11),ISNUMBER(G33),ISNUMBER(E34)),G33*(1+E34),"")</f>
      </c>
      <c r="H34" s="31">
        <f>IF(NOT(AND($N$5=1,6&lt;=$N$11)),"",IF(ISNUMBER(G34),"Aplicado",IF(ISNUMBER(G33),IF($N$10=1,"Falta el IPC de "&amp;INDEX(IPC!$J$5:$J$16,MOD($N$12+1,12)+1)&amp;" de "&amp;INT(($N$12+1)/12),"Cargá el % de este ajuste en la columna F"),"")))</f>
      </c>
      <c r="J34">
        <f>IF($N$5=1,$N$7+6*$N$8,"")</f>
      </c>
      <c r="K34">
        <f>IF($N$5=1,J34-1-$N$9,"")</f>
      </c>
      <c r="L34">
        <f>IF($N$5=1,K34-$N$8,"")</f>
      </c>
    </row>
    <row r="35" spans="1:12" x14ac:dyDescent="0.25">
      <c r="A35" s="34">
        <f>IF(AND($N$5=1,7&lt;=$N$11),"7° ajuste","")</f>
      </c>
      <c r="B35" s="34">
        <f>IF(AND($N$5=1,7&lt;=$N$11),INDEX(IPC!$J$5:$J$16,MOD(J35,12)+1)&amp;" de "&amp;INT((J35)/12),"")</f>
      </c>
      <c r="C35" s="34">
        <f>IF(AND(AND($N$5=1,7&lt;=$N$11),$N$10=1),INDEX(IPC!$J$5:$J$16,MOD(L35,12)+1)&amp;" de "&amp;INT((L35)/12),"")</f>
      </c>
      <c r="D35" s="34">
        <f>IF(AND(AND($N$5=1,7&lt;=$N$11),$N$10=1),INDEX(IPC!$J$5:$J$16,MOD(K35,12)+1)&amp;" de "&amp;INT((K35)/12),"")</f>
      </c>
      <c r="E35" s="35">
        <f>IF(NOT(AND($N$5=1,7&lt;=$N$11)),"",IF($N$10=1,IF(AND($N$14=1,K35&lt;=$N$12),INDEX(IPC!$D$5:$D$173,(K35)-IPC!$J$2+1)/INDEX(IPC!$D$5:$D$173,(L35)-IPC!$J$2+1)-1,""),IF(ISNUMBER(F35),F35/100,"")))</f>
      </c>
      <c r="F35" s="36"/>
      <c r="G35" s="37">
        <f>IF(AND(AND($N$5=1,7&lt;=$N$11),ISNUMBER(G34),ISNUMBER(E35)),G34*(1+E35),"")</f>
      </c>
      <c r="H35" s="34">
        <f>IF(NOT(AND($N$5=1,7&lt;=$N$11)),"",IF(ISNUMBER(G35),"Aplicado",IF(ISNUMBER(G34),IF($N$10=1,"Falta el IPC de "&amp;INDEX(IPC!$J$5:$J$16,MOD($N$12+1,12)+1)&amp;" de "&amp;INT(($N$12+1)/12),"Cargá el % de este ajuste en la columna F"),"")))</f>
      </c>
      <c r="J35">
        <f>IF($N$5=1,$N$7+7*$N$8,"")</f>
      </c>
      <c r="K35">
        <f>IF($N$5=1,J35-1-$N$9,"")</f>
      </c>
      <c r="L35">
        <f>IF($N$5=1,K35-$N$8,"")</f>
      </c>
    </row>
    <row r="36" spans="1:12" x14ac:dyDescent="0.25">
      <c r="A36" s="31">
        <f>IF(AND($N$5=1,8&lt;=$N$11),"8° ajuste","")</f>
      </c>
      <c r="B36" s="31">
        <f>IF(AND($N$5=1,8&lt;=$N$11),INDEX(IPC!$J$5:$J$16,MOD(J36,12)+1)&amp;" de "&amp;INT((J36)/12),"")</f>
      </c>
      <c r="C36" s="31">
        <f>IF(AND(AND($N$5=1,8&lt;=$N$11),$N$10=1),INDEX(IPC!$J$5:$J$16,MOD(L36,12)+1)&amp;" de "&amp;INT((L36)/12),"")</f>
      </c>
      <c r="D36" s="31">
        <f>IF(AND(AND($N$5=1,8&lt;=$N$11),$N$10=1),INDEX(IPC!$J$5:$J$16,MOD(K36,12)+1)&amp;" de "&amp;INT((K36)/12),"")</f>
      </c>
      <c r="E36" s="38">
        <f>IF(NOT(AND($N$5=1,8&lt;=$N$11)),"",IF($N$10=1,IF(AND($N$14=1,K36&lt;=$N$12),INDEX(IPC!$D$5:$D$173,(K36)-IPC!$J$2+1)/INDEX(IPC!$D$5:$D$173,(L36)-IPC!$J$2+1)-1,""),IF(ISNUMBER(F36),F36/100,"")))</f>
      </c>
      <c r="F36" s="36"/>
      <c r="G36" s="33">
        <f>IF(AND(AND($N$5=1,8&lt;=$N$11),ISNUMBER(G35),ISNUMBER(E36)),G35*(1+E36),"")</f>
      </c>
      <c r="H36" s="31">
        <f>IF(NOT(AND($N$5=1,8&lt;=$N$11)),"",IF(ISNUMBER(G36),"Aplicado",IF(ISNUMBER(G35),IF($N$10=1,"Falta el IPC de "&amp;INDEX(IPC!$J$5:$J$16,MOD($N$12+1,12)+1)&amp;" de "&amp;INT(($N$12+1)/12),"Cargá el % de este ajuste en la columna F"),"")))</f>
      </c>
      <c r="J36">
        <f>IF($N$5=1,$N$7+8*$N$8,"")</f>
      </c>
      <c r="K36">
        <f>IF($N$5=1,J36-1-$N$9,"")</f>
      </c>
      <c r="L36">
        <f>IF($N$5=1,K36-$N$8,"")</f>
      </c>
    </row>
    <row r="37" spans="1:12" x14ac:dyDescent="0.25">
      <c r="A37" s="34">
        <f>IF(AND($N$5=1,9&lt;=$N$11),"9° ajuste","")</f>
      </c>
      <c r="B37" s="34">
        <f>IF(AND($N$5=1,9&lt;=$N$11),INDEX(IPC!$J$5:$J$16,MOD(J37,12)+1)&amp;" de "&amp;INT((J37)/12),"")</f>
      </c>
      <c r="C37" s="34">
        <f>IF(AND(AND($N$5=1,9&lt;=$N$11),$N$10=1),INDEX(IPC!$J$5:$J$16,MOD(L37,12)+1)&amp;" de "&amp;INT((L37)/12),"")</f>
      </c>
      <c r="D37" s="34">
        <f>IF(AND(AND($N$5=1,9&lt;=$N$11),$N$10=1),INDEX(IPC!$J$5:$J$16,MOD(K37,12)+1)&amp;" de "&amp;INT((K37)/12),"")</f>
      </c>
      <c r="E37" s="35">
        <f>IF(NOT(AND($N$5=1,9&lt;=$N$11)),"",IF($N$10=1,IF(AND($N$14=1,K37&lt;=$N$12),INDEX(IPC!$D$5:$D$173,(K37)-IPC!$J$2+1)/INDEX(IPC!$D$5:$D$173,(L37)-IPC!$J$2+1)-1,""),IF(ISNUMBER(F37),F37/100,"")))</f>
      </c>
      <c r="F37" s="36"/>
      <c r="G37" s="37">
        <f>IF(AND(AND($N$5=1,9&lt;=$N$11),ISNUMBER(G36),ISNUMBER(E37)),G36*(1+E37),"")</f>
      </c>
      <c r="H37" s="34">
        <f>IF(NOT(AND($N$5=1,9&lt;=$N$11)),"",IF(ISNUMBER(G37),"Aplicado",IF(ISNUMBER(G36),IF($N$10=1,"Falta el IPC de "&amp;INDEX(IPC!$J$5:$J$16,MOD($N$12+1,12)+1)&amp;" de "&amp;INT(($N$12+1)/12),"Cargá el % de este ajuste en la columna F"),"")))</f>
      </c>
      <c r="J37">
        <f>IF($N$5=1,$N$7+9*$N$8,"")</f>
      </c>
      <c r="K37">
        <f>IF($N$5=1,J37-1-$N$9,"")</f>
      </c>
      <c r="L37">
        <f>IF($N$5=1,K37-$N$8,"")</f>
      </c>
    </row>
    <row r="38" spans="1:12" x14ac:dyDescent="0.25">
      <c r="A38" s="31">
        <f>IF(AND($N$5=1,10&lt;=$N$11),"10° ajuste","")</f>
      </c>
      <c r="B38" s="31">
        <f>IF(AND($N$5=1,10&lt;=$N$11),INDEX(IPC!$J$5:$J$16,MOD(J38,12)+1)&amp;" de "&amp;INT((J38)/12),"")</f>
      </c>
      <c r="C38" s="31">
        <f>IF(AND(AND($N$5=1,10&lt;=$N$11),$N$10=1),INDEX(IPC!$J$5:$J$16,MOD(L38,12)+1)&amp;" de "&amp;INT((L38)/12),"")</f>
      </c>
      <c r="D38" s="31">
        <f>IF(AND(AND($N$5=1,10&lt;=$N$11),$N$10=1),INDEX(IPC!$J$5:$J$16,MOD(K38,12)+1)&amp;" de "&amp;INT((K38)/12),"")</f>
      </c>
      <c r="E38" s="38">
        <f>IF(NOT(AND($N$5=1,10&lt;=$N$11)),"",IF($N$10=1,IF(AND($N$14=1,K38&lt;=$N$12),INDEX(IPC!$D$5:$D$173,(K38)-IPC!$J$2+1)/INDEX(IPC!$D$5:$D$173,(L38)-IPC!$J$2+1)-1,""),IF(ISNUMBER(F38),F38/100,"")))</f>
      </c>
      <c r="F38" s="36"/>
      <c r="G38" s="33">
        <f>IF(AND(AND($N$5=1,10&lt;=$N$11),ISNUMBER(G37),ISNUMBER(E38)),G37*(1+E38),"")</f>
      </c>
      <c r="H38" s="31">
        <f>IF(NOT(AND($N$5=1,10&lt;=$N$11)),"",IF(ISNUMBER(G38),"Aplicado",IF(ISNUMBER(G37),IF($N$10=1,"Falta el IPC de "&amp;INDEX(IPC!$J$5:$J$16,MOD($N$12+1,12)+1)&amp;" de "&amp;INT(($N$12+1)/12),"Cargá el % de este ajuste en la columna F"),"")))</f>
      </c>
      <c r="J38">
        <f>IF($N$5=1,$N$7+10*$N$8,"")</f>
      </c>
      <c r="K38">
        <f>IF($N$5=1,J38-1-$N$9,"")</f>
      </c>
      <c r="L38">
        <f>IF($N$5=1,K38-$N$8,"")</f>
      </c>
    </row>
    <row r="39" spans="1:12" x14ac:dyDescent="0.25">
      <c r="A39" s="34">
        <f>IF(AND($N$5=1,11&lt;=$N$11),"11° ajuste","")</f>
      </c>
      <c r="B39" s="34">
        <f>IF(AND($N$5=1,11&lt;=$N$11),INDEX(IPC!$J$5:$J$16,MOD(J39,12)+1)&amp;" de "&amp;INT((J39)/12),"")</f>
      </c>
      <c r="C39" s="34">
        <f>IF(AND(AND($N$5=1,11&lt;=$N$11),$N$10=1),INDEX(IPC!$J$5:$J$16,MOD(L39,12)+1)&amp;" de "&amp;INT((L39)/12),"")</f>
      </c>
      <c r="D39" s="34">
        <f>IF(AND(AND($N$5=1,11&lt;=$N$11),$N$10=1),INDEX(IPC!$J$5:$J$16,MOD(K39,12)+1)&amp;" de "&amp;INT((K39)/12),"")</f>
      </c>
      <c r="E39" s="35">
        <f>IF(NOT(AND($N$5=1,11&lt;=$N$11)),"",IF($N$10=1,IF(AND($N$14=1,K39&lt;=$N$12),INDEX(IPC!$D$5:$D$173,(K39)-IPC!$J$2+1)/INDEX(IPC!$D$5:$D$173,(L39)-IPC!$J$2+1)-1,""),IF(ISNUMBER(F39),F39/100,"")))</f>
      </c>
      <c r="F39" s="36"/>
      <c r="G39" s="37">
        <f>IF(AND(AND($N$5=1,11&lt;=$N$11),ISNUMBER(G38),ISNUMBER(E39)),G38*(1+E39),"")</f>
      </c>
      <c r="H39" s="34">
        <f>IF(NOT(AND($N$5=1,11&lt;=$N$11)),"",IF(ISNUMBER(G39),"Aplicado",IF(ISNUMBER(G38),IF($N$10=1,"Falta el IPC de "&amp;INDEX(IPC!$J$5:$J$16,MOD($N$12+1,12)+1)&amp;" de "&amp;INT(($N$12+1)/12),"Cargá el % de este ajuste en la columna F"),"")))</f>
      </c>
      <c r="J39">
        <f>IF($N$5=1,$N$7+11*$N$8,"")</f>
      </c>
      <c r="K39">
        <f>IF($N$5=1,J39-1-$N$9,"")</f>
      </c>
      <c r="L39">
        <f>IF($N$5=1,K39-$N$8,"")</f>
      </c>
    </row>
    <row r="40" spans="1:12" x14ac:dyDescent="0.25">
      <c r="A40" s="31">
        <f>IF(AND($N$5=1,12&lt;=$N$11),"12° ajuste","")</f>
      </c>
      <c r="B40" s="31">
        <f>IF(AND($N$5=1,12&lt;=$N$11),INDEX(IPC!$J$5:$J$16,MOD(J40,12)+1)&amp;" de "&amp;INT((J40)/12),"")</f>
      </c>
      <c r="C40" s="31">
        <f>IF(AND(AND($N$5=1,12&lt;=$N$11),$N$10=1),INDEX(IPC!$J$5:$J$16,MOD(L40,12)+1)&amp;" de "&amp;INT((L40)/12),"")</f>
      </c>
      <c r="D40" s="31">
        <f>IF(AND(AND($N$5=1,12&lt;=$N$11),$N$10=1),INDEX(IPC!$J$5:$J$16,MOD(K40,12)+1)&amp;" de "&amp;INT((K40)/12),"")</f>
      </c>
      <c r="E40" s="38">
        <f>IF(NOT(AND($N$5=1,12&lt;=$N$11)),"",IF($N$10=1,IF(AND($N$14=1,K40&lt;=$N$12),INDEX(IPC!$D$5:$D$173,(K40)-IPC!$J$2+1)/INDEX(IPC!$D$5:$D$173,(L40)-IPC!$J$2+1)-1,""),IF(ISNUMBER(F40),F40/100,"")))</f>
      </c>
      <c r="F40" s="36"/>
      <c r="G40" s="33">
        <f>IF(AND(AND($N$5=1,12&lt;=$N$11),ISNUMBER(G39),ISNUMBER(E40)),G39*(1+E40),"")</f>
      </c>
      <c r="H40" s="31">
        <f>IF(NOT(AND($N$5=1,12&lt;=$N$11)),"",IF(ISNUMBER(G40),"Aplicado",IF(ISNUMBER(G39),IF($N$10=1,"Falta el IPC de "&amp;INDEX(IPC!$J$5:$J$16,MOD($N$12+1,12)+1)&amp;" de "&amp;INT(($N$12+1)/12),"Cargá el % de este ajuste en la columna F"),"")))</f>
      </c>
      <c r="J40">
        <f>IF($N$5=1,$N$7+12*$N$8,"")</f>
      </c>
      <c r="K40">
        <f>IF($N$5=1,J40-1-$N$9,"")</f>
      </c>
      <c r="L40">
        <f>IF($N$5=1,K40-$N$8,"")</f>
      </c>
    </row>
    <row r="41" spans="1:12" x14ac:dyDescent="0.25">
      <c r="A41" s="34">
        <f>IF(AND($N$5=1,13&lt;=$N$11),"13° ajuste","")</f>
      </c>
      <c r="B41" s="34">
        <f>IF(AND($N$5=1,13&lt;=$N$11),INDEX(IPC!$J$5:$J$16,MOD(J41,12)+1)&amp;" de "&amp;INT((J41)/12),"")</f>
      </c>
      <c r="C41" s="34">
        <f>IF(AND(AND($N$5=1,13&lt;=$N$11),$N$10=1),INDEX(IPC!$J$5:$J$16,MOD(L41,12)+1)&amp;" de "&amp;INT((L41)/12),"")</f>
      </c>
      <c r="D41" s="34">
        <f>IF(AND(AND($N$5=1,13&lt;=$N$11),$N$10=1),INDEX(IPC!$J$5:$J$16,MOD(K41,12)+1)&amp;" de "&amp;INT((K41)/12),"")</f>
      </c>
      <c r="E41" s="35">
        <f>IF(NOT(AND($N$5=1,13&lt;=$N$11)),"",IF($N$10=1,IF(AND($N$14=1,K41&lt;=$N$12),INDEX(IPC!$D$5:$D$173,(K41)-IPC!$J$2+1)/INDEX(IPC!$D$5:$D$173,(L41)-IPC!$J$2+1)-1,""),IF(ISNUMBER(F41),F41/100,"")))</f>
      </c>
      <c r="F41" s="36"/>
      <c r="G41" s="37">
        <f>IF(AND(AND($N$5=1,13&lt;=$N$11),ISNUMBER(G40),ISNUMBER(E41)),G40*(1+E41),"")</f>
      </c>
      <c r="H41" s="34">
        <f>IF(NOT(AND($N$5=1,13&lt;=$N$11)),"",IF(ISNUMBER(G41),"Aplicado",IF(ISNUMBER(G40),IF($N$10=1,"Falta el IPC de "&amp;INDEX(IPC!$J$5:$J$16,MOD($N$12+1,12)+1)&amp;" de "&amp;INT(($N$12+1)/12),"Cargá el % de este ajuste en la columna F"),"")))</f>
      </c>
      <c r="J41">
        <f>IF($N$5=1,$N$7+13*$N$8,"")</f>
      </c>
      <c r="K41">
        <f>IF($N$5=1,J41-1-$N$9,"")</f>
      </c>
      <c r="L41">
        <f>IF($N$5=1,K41-$N$8,"")</f>
      </c>
    </row>
    <row r="42" spans="1:12" x14ac:dyDescent="0.25">
      <c r="A42" s="31">
        <f>IF(AND($N$5=1,14&lt;=$N$11),"14° ajuste","")</f>
      </c>
      <c r="B42" s="31">
        <f>IF(AND($N$5=1,14&lt;=$N$11),INDEX(IPC!$J$5:$J$16,MOD(J42,12)+1)&amp;" de "&amp;INT((J42)/12),"")</f>
      </c>
      <c r="C42" s="31">
        <f>IF(AND(AND($N$5=1,14&lt;=$N$11),$N$10=1),INDEX(IPC!$J$5:$J$16,MOD(L42,12)+1)&amp;" de "&amp;INT((L42)/12),"")</f>
      </c>
      <c r="D42" s="31">
        <f>IF(AND(AND($N$5=1,14&lt;=$N$11),$N$10=1),INDEX(IPC!$J$5:$J$16,MOD(K42,12)+1)&amp;" de "&amp;INT((K42)/12),"")</f>
      </c>
      <c r="E42" s="38">
        <f>IF(NOT(AND($N$5=1,14&lt;=$N$11)),"",IF($N$10=1,IF(AND($N$14=1,K42&lt;=$N$12),INDEX(IPC!$D$5:$D$173,(K42)-IPC!$J$2+1)/INDEX(IPC!$D$5:$D$173,(L42)-IPC!$J$2+1)-1,""),IF(ISNUMBER(F42),F42/100,"")))</f>
      </c>
      <c r="F42" s="36"/>
      <c r="G42" s="33">
        <f>IF(AND(AND($N$5=1,14&lt;=$N$11),ISNUMBER(G41),ISNUMBER(E42)),G41*(1+E42),"")</f>
      </c>
      <c r="H42" s="31">
        <f>IF(NOT(AND($N$5=1,14&lt;=$N$11)),"",IF(ISNUMBER(G42),"Aplicado",IF(ISNUMBER(G41),IF($N$10=1,"Falta el IPC de "&amp;INDEX(IPC!$J$5:$J$16,MOD($N$12+1,12)+1)&amp;" de "&amp;INT(($N$12+1)/12),"Cargá el % de este ajuste en la columna F"),"")))</f>
      </c>
      <c r="J42">
        <f>IF($N$5=1,$N$7+14*$N$8,"")</f>
      </c>
      <c r="K42">
        <f>IF($N$5=1,J42-1-$N$9,"")</f>
      </c>
      <c r="L42">
        <f>IF($N$5=1,K42-$N$8,"")</f>
      </c>
    </row>
    <row r="43" spans="1:12" x14ac:dyDescent="0.25">
      <c r="A43" s="34">
        <f>IF(AND($N$5=1,15&lt;=$N$11),"15° ajuste","")</f>
      </c>
      <c r="B43" s="34">
        <f>IF(AND($N$5=1,15&lt;=$N$11),INDEX(IPC!$J$5:$J$16,MOD(J43,12)+1)&amp;" de "&amp;INT((J43)/12),"")</f>
      </c>
      <c r="C43" s="34">
        <f>IF(AND(AND($N$5=1,15&lt;=$N$11),$N$10=1),INDEX(IPC!$J$5:$J$16,MOD(L43,12)+1)&amp;" de "&amp;INT((L43)/12),"")</f>
      </c>
      <c r="D43" s="34">
        <f>IF(AND(AND($N$5=1,15&lt;=$N$11),$N$10=1),INDEX(IPC!$J$5:$J$16,MOD(K43,12)+1)&amp;" de "&amp;INT((K43)/12),"")</f>
      </c>
      <c r="E43" s="35">
        <f>IF(NOT(AND($N$5=1,15&lt;=$N$11)),"",IF($N$10=1,IF(AND($N$14=1,K43&lt;=$N$12),INDEX(IPC!$D$5:$D$173,(K43)-IPC!$J$2+1)/INDEX(IPC!$D$5:$D$173,(L43)-IPC!$J$2+1)-1,""),IF(ISNUMBER(F43),F43/100,"")))</f>
      </c>
      <c r="F43" s="36"/>
      <c r="G43" s="37">
        <f>IF(AND(AND($N$5=1,15&lt;=$N$11),ISNUMBER(G42),ISNUMBER(E43)),G42*(1+E43),"")</f>
      </c>
      <c r="H43" s="34">
        <f>IF(NOT(AND($N$5=1,15&lt;=$N$11)),"",IF(ISNUMBER(G43),"Aplicado",IF(ISNUMBER(G42),IF($N$10=1,"Falta el IPC de "&amp;INDEX(IPC!$J$5:$J$16,MOD($N$12+1,12)+1)&amp;" de "&amp;INT(($N$12+1)/12),"Cargá el % de este ajuste en la columna F"),"")))</f>
      </c>
      <c r="J43">
        <f>IF($N$5=1,$N$7+15*$N$8,"")</f>
      </c>
      <c r="K43">
        <f>IF($N$5=1,J43-1-$N$9,"")</f>
      </c>
      <c r="L43">
        <f>IF($N$5=1,K43-$N$8,"")</f>
      </c>
    </row>
    <row r="44" spans="1:12" x14ac:dyDescent="0.25">
      <c r="A44" s="31">
        <f>IF(AND($N$5=1,16&lt;=$N$11),"16° ajuste","")</f>
      </c>
      <c r="B44" s="31">
        <f>IF(AND($N$5=1,16&lt;=$N$11),INDEX(IPC!$J$5:$J$16,MOD(J44,12)+1)&amp;" de "&amp;INT((J44)/12),"")</f>
      </c>
      <c r="C44" s="31">
        <f>IF(AND(AND($N$5=1,16&lt;=$N$11),$N$10=1),INDEX(IPC!$J$5:$J$16,MOD(L44,12)+1)&amp;" de "&amp;INT((L44)/12),"")</f>
      </c>
      <c r="D44" s="31">
        <f>IF(AND(AND($N$5=1,16&lt;=$N$11),$N$10=1),INDEX(IPC!$J$5:$J$16,MOD(K44,12)+1)&amp;" de "&amp;INT((K44)/12),"")</f>
      </c>
      <c r="E44" s="38">
        <f>IF(NOT(AND($N$5=1,16&lt;=$N$11)),"",IF($N$10=1,IF(AND($N$14=1,K44&lt;=$N$12),INDEX(IPC!$D$5:$D$173,(K44)-IPC!$J$2+1)/INDEX(IPC!$D$5:$D$173,(L44)-IPC!$J$2+1)-1,""),IF(ISNUMBER(F44),F44/100,"")))</f>
      </c>
      <c r="F44" s="36"/>
      <c r="G44" s="33">
        <f>IF(AND(AND($N$5=1,16&lt;=$N$11),ISNUMBER(G43),ISNUMBER(E44)),G43*(1+E44),"")</f>
      </c>
      <c r="H44" s="31">
        <f>IF(NOT(AND($N$5=1,16&lt;=$N$11)),"",IF(ISNUMBER(G44),"Aplicado",IF(ISNUMBER(G43),IF($N$10=1,"Falta el IPC de "&amp;INDEX(IPC!$J$5:$J$16,MOD($N$12+1,12)+1)&amp;" de "&amp;INT(($N$12+1)/12),"Cargá el % de este ajuste en la columna F"),"")))</f>
      </c>
      <c r="J44">
        <f>IF($N$5=1,$N$7+16*$N$8,"")</f>
      </c>
      <c r="K44">
        <f>IF($N$5=1,J44-1-$N$9,"")</f>
      </c>
      <c r="L44">
        <f>IF($N$5=1,K44-$N$8,"")</f>
      </c>
    </row>
    <row r="45" spans="1:12" x14ac:dyDescent="0.25">
      <c r="A45" s="34">
        <f>IF(AND($N$5=1,17&lt;=$N$11),"17° ajuste","")</f>
      </c>
      <c r="B45" s="34">
        <f>IF(AND($N$5=1,17&lt;=$N$11),INDEX(IPC!$J$5:$J$16,MOD(J45,12)+1)&amp;" de "&amp;INT((J45)/12),"")</f>
      </c>
      <c r="C45" s="34">
        <f>IF(AND(AND($N$5=1,17&lt;=$N$11),$N$10=1),INDEX(IPC!$J$5:$J$16,MOD(L45,12)+1)&amp;" de "&amp;INT((L45)/12),"")</f>
      </c>
      <c r="D45" s="34">
        <f>IF(AND(AND($N$5=1,17&lt;=$N$11),$N$10=1),INDEX(IPC!$J$5:$J$16,MOD(K45,12)+1)&amp;" de "&amp;INT((K45)/12),"")</f>
      </c>
      <c r="E45" s="35">
        <f>IF(NOT(AND($N$5=1,17&lt;=$N$11)),"",IF($N$10=1,IF(AND($N$14=1,K45&lt;=$N$12),INDEX(IPC!$D$5:$D$173,(K45)-IPC!$J$2+1)/INDEX(IPC!$D$5:$D$173,(L45)-IPC!$J$2+1)-1,""),IF(ISNUMBER(F45),F45/100,"")))</f>
      </c>
      <c r="F45" s="36"/>
      <c r="G45" s="37">
        <f>IF(AND(AND($N$5=1,17&lt;=$N$11),ISNUMBER(G44),ISNUMBER(E45)),G44*(1+E45),"")</f>
      </c>
      <c r="H45" s="34">
        <f>IF(NOT(AND($N$5=1,17&lt;=$N$11)),"",IF(ISNUMBER(G45),"Aplicado",IF(ISNUMBER(G44),IF($N$10=1,"Falta el IPC de "&amp;INDEX(IPC!$J$5:$J$16,MOD($N$12+1,12)+1)&amp;" de "&amp;INT(($N$12+1)/12),"Cargá el % de este ajuste en la columna F"),"")))</f>
      </c>
      <c r="J45">
        <f>IF($N$5=1,$N$7+17*$N$8,"")</f>
      </c>
      <c r="K45">
        <f>IF($N$5=1,J45-1-$N$9,"")</f>
      </c>
      <c r="L45">
        <f>IF($N$5=1,K45-$N$8,"")</f>
      </c>
    </row>
    <row r="46" spans="1:12" x14ac:dyDescent="0.25">
      <c r="A46" s="31">
        <f>IF(AND($N$5=1,18&lt;=$N$11),"18° ajuste","")</f>
      </c>
      <c r="B46" s="31">
        <f>IF(AND($N$5=1,18&lt;=$N$11),INDEX(IPC!$J$5:$J$16,MOD(J46,12)+1)&amp;" de "&amp;INT((J46)/12),"")</f>
      </c>
      <c r="C46" s="31">
        <f>IF(AND(AND($N$5=1,18&lt;=$N$11),$N$10=1),INDEX(IPC!$J$5:$J$16,MOD(L46,12)+1)&amp;" de "&amp;INT((L46)/12),"")</f>
      </c>
      <c r="D46" s="31">
        <f>IF(AND(AND($N$5=1,18&lt;=$N$11),$N$10=1),INDEX(IPC!$J$5:$J$16,MOD(K46,12)+1)&amp;" de "&amp;INT((K46)/12),"")</f>
      </c>
      <c r="E46" s="38">
        <f>IF(NOT(AND($N$5=1,18&lt;=$N$11)),"",IF($N$10=1,IF(AND($N$14=1,K46&lt;=$N$12),INDEX(IPC!$D$5:$D$173,(K46)-IPC!$J$2+1)/INDEX(IPC!$D$5:$D$173,(L46)-IPC!$J$2+1)-1,""),IF(ISNUMBER(F46),F46/100,"")))</f>
      </c>
      <c r="F46" s="36"/>
      <c r="G46" s="33">
        <f>IF(AND(AND($N$5=1,18&lt;=$N$11),ISNUMBER(G45),ISNUMBER(E46)),G45*(1+E46),"")</f>
      </c>
      <c r="H46" s="31">
        <f>IF(NOT(AND($N$5=1,18&lt;=$N$11)),"",IF(ISNUMBER(G46),"Aplicado",IF(ISNUMBER(G45),IF($N$10=1,"Falta el IPC de "&amp;INDEX(IPC!$J$5:$J$16,MOD($N$12+1,12)+1)&amp;" de "&amp;INT(($N$12+1)/12),"Cargá el % de este ajuste en la columna F"),"")))</f>
      </c>
      <c r="J46">
        <f>IF($N$5=1,$N$7+18*$N$8,"")</f>
      </c>
      <c r="K46">
        <f>IF($N$5=1,J46-1-$N$9,"")</f>
      </c>
      <c r="L46">
        <f>IF($N$5=1,K46-$N$8,"")</f>
      </c>
    </row>
    <row r="47" spans="1:12" x14ac:dyDescent="0.25">
      <c r="A47" s="34">
        <f>IF(AND($N$5=1,19&lt;=$N$11),"19° ajuste","")</f>
      </c>
      <c r="B47" s="34">
        <f>IF(AND($N$5=1,19&lt;=$N$11),INDEX(IPC!$J$5:$J$16,MOD(J47,12)+1)&amp;" de "&amp;INT((J47)/12),"")</f>
      </c>
      <c r="C47" s="34">
        <f>IF(AND(AND($N$5=1,19&lt;=$N$11),$N$10=1),INDEX(IPC!$J$5:$J$16,MOD(L47,12)+1)&amp;" de "&amp;INT((L47)/12),"")</f>
      </c>
      <c r="D47" s="34">
        <f>IF(AND(AND($N$5=1,19&lt;=$N$11),$N$10=1),INDEX(IPC!$J$5:$J$16,MOD(K47,12)+1)&amp;" de "&amp;INT((K47)/12),"")</f>
      </c>
      <c r="E47" s="35">
        <f>IF(NOT(AND($N$5=1,19&lt;=$N$11)),"",IF($N$10=1,IF(AND($N$14=1,K47&lt;=$N$12),INDEX(IPC!$D$5:$D$173,(K47)-IPC!$J$2+1)/INDEX(IPC!$D$5:$D$173,(L47)-IPC!$J$2+1)-1,""),IF(ISNUMBER(F47),F47/100,"")))</f>
      </c>
      <c r="F47" s="36"/>
      <c r="G47" s="37">
        <f>IF(AND(AND($N$5=1,19&lt;=$N$11),ISNUMBER(G46),ISNUMBER(E47)),G46*(1+E47),"")</f>
      </c>
      <c r="H47" s="34">
        <f>IF(NOT(AND($N$5=1,19&lt;=$N$11)),"",IF(ISNUMBER(G47),"Aplicado",IF(ISNUMBER(G46),IF($N$10=1,"Falta el IPC de "&amp;INDEX(IPC!$J$5:$J$16,MOD($N$12+1,12)+1)&amp;" de "&amp;INT(($N$12+1)/12),"Cargá el % de este ajuste en la columna F"),"")))</f>
      </c>
      <c r="J47">
        <f>IF($N$5=1,$N$7+19*$N$8,"")</f>
      </c>
      <c r="K47">
        <f>IF($N$5=1,J47-1-$N$9,"")</f>
      </c>
      <c r="L47">
        <f>IF($N$5=1,K47-$N$8,"")</f>
      </c>
    </row>
    <row r="48" spans="1:12" x14ac:dyDescent="0.25">
      <c r="A48" s="31">
        <f>IF(AND($N$5=1,20&lt;=$N$11),"20° ajuste","")</f>
      </c>
      <c r="B48" s="31">
        <f>IF(AND($N$5=1,20&lt;=$N$11),INDEX(IPC!$J$5:$J$16,MOD(J48,12)+1)&amp;" de "&amp;INT((J48)/12),"")</f>
      </c>
      <c r="C48" s="31">
        <f>IF(AND(AND($N$5=1,20&lt;=$N$11),$N$10=1),INDEX(IPC!$J$5:$J$16,MOD(L48,12)+1)&amp;" de "&amp;INT((L48)/12),"")</f>
      </c>
      <c r="D48" s="31">
        <f>IF(AND(AND($N$5=1,20&lt;=$N$11),$N$10=1),INDEX(IPC!$J$5:$J$16,MOD(K48,12)+1)&amp;" de "&amp;INT((K48)/12),"")</f>
      </c>
      <c r="E48" s="38">
        <f>IF(NOT(AND($N$5=1,20&lt;=$N$11)),"",IF($N$10=1,IF(AND($N$14=1,K48&lt;=$N$12),INDEX(IPC!$D$5:$D$173,(K48)-IPC!$J$2+1)/INDEX(IPC!$D$5:$D$173,(L48)-IPC!$J$2+1)-1,""),IF(ISNUMBER(F48),F48/100,"")))</f>
      </c>
      <c r="F48" s="36"/>
      <c r="G48" s="33">
        <f>IF(AND(AND($N$5=1,20&lt;=$N$11),ISNUMBER(G47),ISNUMBER(E48)),G47*(1+E48),"")</f>
      </c>
      <c r="H48" s="31">
        <f>IF(NOT(AND($N$5=1,20&lt;=$N$11)),"",IF(ISNUMBER(G48),"Aplicado",IF(ISNUMBER(G47),IF($N$10=1,"Falta el IPC de "&amp;INDEX(IPC!$J$5:$J$16,MOD($N$12+1,12)+1)&amp;" de "&amp;INT(($N$12+1)/12),"Cargá el % de este ajuste en la columna F"),"")))</f>
      </c>
      <c r="J48">
        <f>IF($N$5=1,$N$7+20*$N$8,"")</f>
      </c>
      <c r="K48">
        <f>IF($N$5=1,J48-1-$N$9,"")</f>
      </c>
      <c r="L48">
        <f>IF($N$5=1,K48-$N$8,"")</f>
      </c>
    </row>
    <row r="49" spans="1:12" x14ac:dyDescent="0.25">
      <c r="A49" s="34">
        <f>IF(AND($N$5=1,21&lt;=$N$11),"21° ajuste","")</f>
      </c>
      <c r="B49" s="34">
        <f>IF(AND($N$5=1,21&lt;=$N$11),INDEX(IPC!$J$5:$J$16,MOD(J49,12)+1)&amp;" de "&amp;INT((J49)/12),"")</f>
      </c>
      <c r="C49" s="34">
        <f>IF(AND(AND($N$5=1,21&lt;=$N$11),$N$10=1),INDEX(IPC!$J$5:$J$16,MOD(L49,12)+1)&amp;" de "&amp;INT((L49)/12),"")</f>
      </c>
      <c r="D49" s="34">
        <f>IF(AND(AND($N$5=1,21&lt;=$N$11),$N$10=1),INDEX(IPC!$J$5:$J$16,MOD(K49,12)+1)&amp;" de "&amp;INT((K49)/12),"")</f>
      </c>
      <c r="E49" s="35">
        <f>IF(NOT(AND($N$5=1,21&lt;=$N$11)),"",IF($N$10=1,IF(AND($N$14=1,K49&lt;=$N$12),INDEX(IPC!$D$5:$D$173,(K49)-IPC!$J$2+1)/INDEX(IPC!$D$5:$D$173,(L49)-IPC!$J$2+1)-1,""),IF(ISNUMBER(F49),F49/100,"")))</f>
      </c>
      <c r="F49" s="36"/>
      <c r="G49" s="37">
        <f>IF(AND(AND($N$5=1,21&lt;=$N$11),ISNUMBER(G48),ISNUMBER(E49)),G48*(1+E49),"")</f>
      </c>
      <c r="H49" s="34">
        <f>IF(NOT(AND($N$5=1,21&lt;=$N$11)),"",IF(ISNUMBER(G49),"Aplicado",IF(ISNUMBER(G48),IF($N$10=1,"Falta el IPC de "&amp;INDEX(IPC!$J$5:$J$16,MOD($N$12+1,12)+1)&amp;" de "&amp;INT(($N$12+1)/12),"Cargá el % de este ajuste en la columna F"),"")))</f>
      </c>
      <c r="J49">
        <f>IF($N$5=1,$N$7+21*$N$8,"")</f>
      </c>
      <c r="K49">
        <f>IF($N$5=1,J49-1-$N$9,"")</f>
      </c>
      <c r="L49">
        <f>IF($N$5=1,K49-$N$8,"")</f>
      </c>
    </row>
    <row r="50" spans="1:12" x14ac:dyDescent="0.25">
      <c r="A50" s="31">
        <f>IF(AND($N$5=1,22&lt;=$N$11),"22° ajuste","")</f>
      </c>
      <c r="B50" s="31">
        <f>IF(AND($N$5=1,22&lt;=$N$11),INDEX(IPC!$J$5:$J$16,MOD(J50,12)+1)&amp;" de "&amp;INT((J50)/12),"")</f>
      </c>
      <c r="C50" s="31">
        <f>IF(AND(AND($N$5=1,22&lt;=$N$11),$N$10=1),INDEX(IPC!$J$5:$J$16,MOD(L50,12)+1)&amp;" de "&amp;INT((L50)/12),"")</f>
      </c>
      <c r="D50" s="31">
        <f>IF(AND(AND($N$5=1,22&lt;=$N$11),$N$10=1),INDEX(IPC!$J$5:$J$16,MOD(K50,12)+1)&amp;" de "&amp;INT((K50)/12),"")</f>
      </c>
      <c r="E50" s="38">
        <f>IF(NOT(AND($N$5=1,22&lt;=$N$11)),"",IF($N$10=1,IF(AND($N$14=1,K50&lt;=$N$12),INDEX(IPC!$D$5:$D$173,(K50)-IPC!$J$2+1)/INDEX(IPC!$D$5:$D$173,(L50)-IPC!$J$2+1)-1,""),IF(ISNUMBER(F50),F50/100,"")))</f>
      </c>
      <c r="F50" s="36"/>
      <c r="G50" s="33">
        <f>IF(AND(AND($N$5=1,22&lt;=$N$11),ISNUMBER(G49),ISNUMBER(E50)),G49*(1+E50),"")</f>
      </c>
      <c r="H50" s="31">
        <f>IF(NOT(AND($N$5=1,22&lt;=$N$11)),"",IF(ISNUMBER(G50),"Aplicado",IF(ISNUMBER(G49),IF($N$10=1,"Falta el IPC de "&amp;INDEX(IPC!$J$5:$J$16,MOD($N$12+1,12)+1)&amp;" de "&amp;INT(($N$12+1)/12),"Cargá el % de este ajuste en la columna F"),"")))</f>
      </c>
      <c r="J50">
        <f>IF($N$5=1,$N$7+22*$N$8,"")</f>
      </c>
      <c r="K50">
        <f>IF($N$5=1,J50-1-$N$9,"")</f>
      </c>
      <c r="L50">
        <f>IF($N$5=1,K50-$N$8,"")</f>
      </c>
    </row>
    <row r="51" spans="1:12" x14ac:dyDescent="0.25">
      <c r="A51" s="34">
        <f>IF(AND($N$5=1,23&lt;=$N$11),"23° ajuste","")</f>
      </c>
      <c r="B51" s="34">
        <f>IF(AND($N$5=1,23&lt;=$N$11),INDEX(IPC!$J$5:$J$16,MOD(J51,12)+1)&amp;" de "&amp;INT((J51)/12),"")</f>
      </c>
      <c r="C51" s="34">
        <f>IF(AND(AND($N$5=1,23&lt;=$N$11),$N$10=1),INDEX(IPC!$J$5:$J$16,MOD(L51,12)+1)&amp;" de "&amp;INT((L51)/12),"")</f>
      </c>
      <c r="D51" s="34">
        <f>IF(AND(AND($N$5=1,23&lt;=$N$11),$N$10=1),INDEX(IPC!$J$5:$J$16,MOD(K51,12)+1)&amp;" de "&amp;INT((K51)/12),"")</f>
      </c>
      <c r="E51" s="35">
        <f>IF(NOT(AND($N$5=1,23&lt;=$N$11)),"",IF($N$10=1,IF(AND($N$14=1,K51&lt;=$N$12),INDEX(IPC!$D$5:$D$173,(K51)-IPC!$J$2+1)/INDEX(IPC!$D$5:$D$173,(L51)-IPC!$J$2+1)-1,""),IF(ISNUMBER(F51),F51/100,"")))</f>
      </c>
      <c r="F51" s="36"/>
      <c r="G51" s="37">
        <f>IF(AND(AND($N$5=1,23&lt;=$N$11),ISNUMBER(G50),ISNUMBER(E51)),G50*(1+E51),"")</f>
      </c>
      <c r="H51" s="34">
        <f>IF(NOT(AND($N$5=1,23&lt;=$N$11)),"",IF(ISNUMBER(G51),"Aplicado",IF(ISNUMBER(G50),IF($N$10=1,"Falta el IPC de "&amp;INDEX(IPC!$J$5:$J$16,MOD($N$12+1,12)+1)&amp;" de "&amp;INT(($N$12+1)/12),"Cargá el % de este ajuste en la columna F"),"")))</f>
      </c>
      <c r="J51">
        <f>IF($N$5=1,$N$7+23*$N$8,"")</f>
      </c>
      <c r="K51">
        <f>IF($N$5=1,J51-1-$N$9,"")</f>
      </c>
      <c r="L51">
        <f>IF($N$5=1,K51-$N$8,"")</f>
      </c>
    </row>
    <row r="52" spans="1:12" x14ac:dyDescent="0.25">
      <c r="A52" s="31">
        <f>IF(AND($N$5=1,24&lt;=$N$11),"24° ajuste","")</f>
      </c>
      <c r="B52" s="31">
        <f>IF(AND($N$5=1,24&lt;=$N$11),INDEX(IPC!$J$5:$J$16,MOD(J52,12)+1)&amp;" de "&amp;INT((J52)/12),"")</f>
      </c>
      <c r="C52" s="31">
        <f>IF(AND(AND($N$5=1,24&lt;=$N$11),$N$10=1),INDEX(IPC!$J$5:$J$16,MOD(L52,12)+1)&amp;" de "&amp;INT((L52)/12),"")</f>
      </c>
      <c r="D52" s="31">
        <f>IF(AND(AND($N$5=1,24&lt;=$N$11),$N$10=1),INDEX(IPC!$J$5:$J$16,MOD(K52,12)+1)&amp;" de "&amp;INT((K52)/12),"")</f>
      </c>
      <c r="E52" s="38">
        <f>IF(NOT(AND($N$5=1,24&lt;=$N$11)),"",IF($N$10=1,IF(AND($N$14=1,K52&lt;=$N$12),INDEX(IPC!$D$5:$D$173,(K52)-IPC!$J$2+1)/INDEX(IPC!$D$5:$D$173,(L52)-IPC!$J$2+1)-1,""),IF(ISNUMBER(F52),F52/100,"")))</f>
      </c>
      <c r="F52" s="36"/>
      <c r="G52" s="33">
        <f>IF(AND(AND($N$5=1,24&lt;=$N$11),ISNUMBER(G51),ISNUMBER(E52)),G51*(1+E52),"")</f>
      </c>
      <c r="H52" s="31">
        <f>IF(NOT(AND($N$5=1,24&lt;=$N$11)),"",IF(ISNUMBER(G52),"Aplicado",IF(ISNUMBER(G51),IF($N$10=1,"Falta el IPC de "&amp;INDEX(IPC!$J$5:$J$16,MOD($N$12+1,12)+1)&amp;" de "&amp;INT(($N$12+1)/12),"Cargá el % de este ajuste en la columna F"),"")))</f>
      </c>
      <c r="J52">
        <f>IF($N$5=1,$N$7+24*$N$8,"")</f>
      </c>
      <c r="K52">
        <f>IF($N$5=1,J52-1-$N$9,"")</f>
      </c>
      <c r="L52">
        <f>IF($N$5=1,K52-$N$8,"")</f>
      </c>
    </row>
    <row r="53" spans="1:12" x14ac:dyDescent="0.25">
      <c r="A53" s="34">
        <f>IF(AND($N$5=1,25&lt;=$N$11),"25° ajuste","")</f>
      </c>
      <c r="B53" s="34">
        <f>IF(AND($N$5=1,25&lt;=$N$11),INDEX(IPC!$J$5:$J$16,MOD(J53,12)+1)&amp;" de "&amp;INT((J53)/12),"")</f>
      </c>
      <c r="C53" s="34">
        <f>IF(AND(AND($N$5=1,25&lt;=$N$11),$N$10=1),INDEX(IPC!$J$5:$J$16,MOD(L53,12)+1)&amp;" de "&amp;INT((L53)/12),"")</f>
      </c>
      <c r="D53" s="34">
        <f>IF(AND(AND($N$5=1,25&lt;=$N$11),$N$10=1),INDEX(IPC!$J$5:$J$16,MOD(K53,12)+1)&amp;" de "&amp;INT((K53)/12),"")</f>
      </c>
      <c r="E53" s="35">
        <f>IF(NOT(AND($N$5=1,25&lt;=$N$11)),"",IF($N$10=1,IF(AND($N$14=1,K53&lt;=$N$12),INDEX(IPC!$D$5:$D$173,(K53)-IPC!$J$2+1)/INDEX(IPC!$D$5:$D$173,(L53)-IPC!$J$2+1)-1,""),IF(ISNUMBER(F53),F53/100,"")))</f>
      </c>
      <c r="F53" s="36"/>
      <c r="G53" s="37">
        <f>IF(AND(AND($N$5=1,25&lt;=$N$11),ISNUMBER(G52),ISNUMBER(E53)),G52*(1+E53),"")</f>
      </c>
      <c r="H53" s="34">
        <f>IF(NOT(AND($N$5=1,25&lt;=$N$11)),"",IF(ISNUMBER(G53),"Aplicado",IF(ISNUMBER(G52),IF($N$10=1,"Falta el IPC de "&amp;INDEX(IPC!$J$5:$J$16,MOD($N$12+1,12)+1)&amp;" de "&amp;INT(($N$12+1)/12),"Cargá el % de este ajuste en la columna F"),"")))</f>
      </c>
      <c r="J53">
        <f>IF($N$5=1,$N$7+25*$N$8,"")</f>
      </c>
      <c r="K53">
        <f>IF($N$5=1,J53-1-$N$9,"")</f>
      </c>
      <c r="L53">
        <f>IF($N$5=1,K53-$N$8,"")</f>
      </c>
    </row>
    <row r="54" spans="1:12" x14ac:dyDescent="0.25">
      <c r="A54" s="31">
        <f>IF(AND($N$5=1,26&lt;=$N$11),"26° ajuste","")</f>
      </c>
      <c r="B54" s="31">
        <f>IF(AND($N$5=1,26&lt;=$N$11),INDEX(IPC!$J$5:$J$16,MOD(J54,12)+1)&amp;" de "&amp;INT((J54)/12),"")</f>
      </c>
      <c r="C54" s="31">
        <f>IF(AND(AND($N$5=1,26&lt;=$N$11),$N$10=1),INDEX(IPC!$J$5:$J$16,MOD(L54,12)+1)&amp;" de "&amp;INT((L54)/12),"")</f>
      </c>
      <c r="D54" s="31">
        <f>IF(AND(AND($N$5=1,26&lt;=$N$11),$N$10=1),INDEX(IPC!$J$5:$J$16,MOD(K54,12)+1)&amp;" de "&amp;INT((K54)/12),"")</f>
      </c>
      <c r="E54" s="38">
        <f>IF(NOT(AND($N$5=1,26&lt;=$N$11)),"",IF($N$10=1,IF(AND($N$14=1,K54&lt;=$N$12),INDEX(IPC!$D$5:$D$173,(K54)-IPC!$J$2+1)/INDEX(IPC!$D$5:$D$173,(L54)-IPC!$J$2+1)-1,""),IF(ISNUMBER(F54),F54/100,"")))</f>
      </c>
      <c r="F54" s="36"/>
      <c r="G54" s="33">
        <f>IF(AND(AND($N$5=1,26&lt;=$N$11),ISNUMBER(G53),ISNUMBER(E54)),G53*(1+E54),"")</f>
      </c>
      <c r="H54" s="31">
        <f>IF(NOT(AND($N$5=1,26&lt;=$N$11)),"",IF(ISNUMBER(G54),"Aplicado",IF(ISNUMBER(G53),IF($N$10=1,"Falta el IPC de "&amp;INDEX(IPC!$J$5:$J$16,MOD($N$12+1,12)+1)&amp;" de "&amp;INT(($N$12+1)/12),"Cargá el % de este ajuste en la columna F"),"")))</f>
      </c>
      <c r="J54">
        <f>IF($N$5=1,$N$7+26*$N$8,"")</f>
      </c>
      <c r="K54">
        <f>IF($N$5=1,J54-1-$N$9,"")</f>
      </c>
      <c r="L54">
        <f>IF($N$5=1,K54-$N$8,"")</f>
      </c>
    </row>
    <row r="55" spans="1:12" x14ac:dyDescent="0.25">
      <c r="A55" s="34">
        <f>IF(AND($N$5=1,27&lt;=$N$11),"27° ajuste","")</f>
      </c>
      <c r="B55" s="34">
        <f>IF(AND($N$5=1,27&lt;=$N$11),INDEX(IPC!$J$5:$J$16,MOD(J55,12)+1)&amp;" de "&amp;INT((J55)/12),"")</f>
      </c>
      <c r="C55" s="34">
        <f>IF(AND(AND($N$5=1,27&lt;=$N$11),$N$10=1),INDEX(IPC!$J$5:$J$16,MOD(L55,12)+1)&amp;" de "&amp;INT((L55)/12),"")</f>
      </c>
      <c r="D55" s="34">
        <f>IF(AND(AND($N$5=1,27&lt;=$N$11),$N$10=1),INDEX(IPC!$J$5:$J$16,MOD(K55,12)+1)&amp;" de "&amp;INT((K55)/12),"")</f>
      </c>
      <c r="E55" s="35">
        <f>IF(NOT(AND($N$5=1,27&lt;=$N$11)),"",IF($N$10=1,IF(AND($N$14=1,K55&lt;=$N$12),INDEX(IPC!$D$5:$D$173,(K55)-IPC!$J$2+1)/INDEX(IPC!$D$5:$D$173,(L55)-IPC!$J$2+1)-1,""),IF(ISNUMBER(F55),F55/100,"")))</f>
      </c>
      <c r="F55" s="36"/>
      <c r="G55" s="37">
        <f>IF(AND(AND($N$5=1,27&lt;=$N$11),ISNUMBER(G54),ISNUMBER(E55)),G54*(1+E55),"")</f>
      </c>
      <c r="H55" s="34">
        <f>IF(NOT(AND($N$5=1,27&lt;=$N$11)),"",IF(ISNUMBER(G55),"Aplicado",IF(ISNUMBER(G54),IF($N$10=1,"Falta el IPC de "&amp;INDEX(IPC!$J$5:$J$16,MOD($N$12+1,12)+1)&amp;" de "&amp;INT(($N$12+1)/12),"Cargá el % de este ajuste en la columna F"),"")))</f>
      </c>
      <c r="J55">
        <f>IF($N$5=1,$N$7+27*$N$8,"")</f>
      </c>
      <c r="K55">
        <f>IF($N$5=1,J55-1-$N$9,"")</f>
      </c>
      <c r="L55">
        <f>IF($N$5=1,K55-$N$8,"")</f>
      </c>
    </row>
    <row r="56" spans="1:12" x14ac:dyDescent="0.25">
      <c r="A56" s="31">
        <f>IF(AND($N$5=1,28&lt;=$N$11),"28° ajuste","")</f>
      </c>
      <c r="B56" s="31">
        <f>IF(AND($N$5=1,28&lt;=$N$11),INDEX(IPC!$J$5:$J$16,MOD(J56,12)+1)&amp;" de "&amp;INT((J56)/12),"")</f>
      </c>
      <c r="C56" s="31">
        <f>IF(AND(AND($N$5=1,28&lt;=$N$11),$N$10=1),INDEX(IPC!$J$5:$J$16,MOD(L56,12)+1)&amp;" de "&amp;INT((L56)/12),"")</f>
      </c>
      <c r="D56" s="31">
        <f>IF(AND(AND($N$5=1,28&lt;=$N$11),$N$10=1),INDEX(IPC!$J$5:$J$16,MOD(K56,12)+1)&amp;" de "&amp;INT((K56)/12),"")</f>
      </c>
      <c r="E56" s="38">
        <f>IF(NOT(AND($N$5=1,28&lt;=$N$11)),"",IF($N$10=1,IF(AND($N$14=1,K56&lt;=$N$12),INDEX(IPC!$D$5:$D$173,(K56)-IPC!$J$2+1)/INDEX(IPC!$D$5:$D$173,(L56)-IPC!$J$2+1)-1,""),IF(ISNUMBER(F56),F56/100,"")))</f>
      </c>
      <c r="F56" s="36"/>
      <c r="G56" s="33">
        <f>IF(AND(AND($N$5=1,28&lt;=$N$11),ISNUMBER(G55),ISNUMBER(E56)),G55*(1+E56),"")</f>
      </c>
      <c r="H56" s="31">
        <f>IF(NOT(AND($N$5=1,28&lt;=$N$11)),"",IF(ISNUMBER(G56),"Aplicado",IF(ISNUMBER(G55),IF($N$10=1,"Falta el IPC de "&amp;INDEX(IPC!$J$5:$J$16,MOD($N$12+1,12)+1)&amp;" de "&amp;INT(($N$12+1)/12),"Cargá el % de este ajuste en la columna F"),"")))</f>
      </c>
      <c r="J56">
        <f>IF($N$5=1,$N$7+28*$N$8,"")</f>
      </c>
      <c r="K56">
        <f>IF($N$5=1,J56-1-$N$9,"")</f>
      </c>
      <c r="L56">
        <f>IF($N$5=1,K56-$N$8,"")</f>
      </c>
    </row>
    <row r="57" spans="1:12" x14ac:dyDescent="0.25">
      <c r="A57" s="34">
        <f>IF(AND($N$5=1,29&lt;=$N$11),"29° ajuste","")</f>
      </c>
      <c r="B57" s="34">
        <f>IF(AND($N$5=1,29&lt;=$N$11),INDEX(IPC!$J$5:$J$16,MOD(J57,12)+1)&amp;" de "&amp;INT((J57)/12),"")</f>
      </c>
      <c r="C57" s="34">
        <f>IF(AND(AND($N$5=1,29&lt;=$N$11),$N$10=1),INDEX(IPC!$J$5:$J$16,MOD(L57,12)+1)&amp;" de "&amp;INT((L57)/12),"")</f>
      </c>
      <c r="D57" s="34">
        <f>IF(AND(AND($N$5=1,29&lt;=$N$11),$N$10=1),INDEX(IPC!$J$5:$J$16,MOD(K57,12)+1)&amp;" de "&amp;INT((K57)/12),"")</f>
      </c>
      <c r="E57" s="35">
        <f>IF(NOT(AND($N$5=1,29&lt;=$N$11)),"",IF($N$10=1,IF(AND($N$14=1,K57&lt;=$N$12),INDEX(IPC!$D$5:$D$173,(K57)-IPC!$J$2+1)/INDEX(IPC!$D$5:$D$173,(L57)-IPC!$J$2+1)-1,""),IF(ISNUMBER(F57),F57/100,"")))</f>
      </c>
      <c r="F57" s="36"/>
      <c r="G57" s="37">
        <f>IF(AND(AND($N$5=1,29&lt;=$N$11),ISNUMBER(G56),ISNUMBER(E57)),G56*(1+E57),"")</f>
      </c>
      <c r="H57" s="34">
        <f>IF(NOT(AND($N$5=1,29&lt;=$N$11)),"",IF(ISNUMBER(G57),"Aplicado",IF(ISNUMBER(G56),IF($N$10=1,"Falta el IPC de "&amp;INDEX(IPC!$J$5:$J$16,MOD($N$12+1,12)+1)&amp;" de "&amp;INT(($N$12+1)/12),"Cargá el % de este ajuste en la columna F"),"")))</f>
      </c>
      <c r="J57">
        <f>IF($N$5=1,$N$7+29*$N$8,"")</f>
      </c>
      <c r="K57">
        <f>IF($N$5=1,J57-1-$N$9,"")</f>
      </c>
      <c r="L57">
        <f>IF($N$5=1,K57-$N$8,"")</f>
      </c>
    </row>
    <row r="58" spans="1:12" x14ac:dyDescent="0.25">
      <c r="A58" s="31">
        <f>IF(AND($N$5=1,30&lt;=$N$11),"30° ajuste","")</f>
      </c>
      <c r="B58" s="31">
        <f>IF(AND($N$5=1,30&lt;=$N$11),INDEX(IPC!$J$5:$J$16,MOD(J58,12)+1)&amp;" de "&amp;INT((J58)/12),"")</f>
      </c>
      <c r="C58" s="31">
        <f>IF(AND(AND($N$5=1,30&lt;=$N$11),$N$10=1),INDEX(IPC!$J$5:$J$16,MOD(L58,12)+1)&amp;" de "&amp;INT((L58)/12),"")</f>
      </c>
      <c r="D58" s="31">
        <f>IF(AND(AND($N$5=1,30&lt;=$N$11),$N$10=1),INDEX(IPC!$J$5:$J$16,MOD(K58,12)+1)&amp;" de "&amp;INT((K58)/12),"")</f>
      </c>
      <c r="E58" s="38">
        <f>IF(NOT(AND($N$5=1,30&lt;=$N$11)),"",IF($N$10=1,IF(AND($N$14=1,K58&lt;=$N$12),INDEX(IPC!$D$5:$D$173,(K58)-IPC!$J$2+1)/INDEX(IPC!$D$5:$D$173,(L58)-IPC!$J$2+1)-1,""),IF(ISNUMBER(F58),F58/100,"")))</f>
      </c>
      <c r="F58" s="36"/>
      <c r="G58" s="33">
        <f>IF(AND(AND($N$5=1,30&lt;=$N$11),ISNUMBER(G57),ISNUMBER(E58)),G57*(1+E58),"")</f>
      </c>
      <c r="H58" s="31">
        <f>IF(NOT(AND($N$5=1,30&lt;=$N$11)),"",IF(ISNUMBER(G58),"Aplicado",IF(ISNUMBER(G57),IF($N$10=1,"Falta el IPC de "&amp;INDEX(IPC!$J$5:$J$16,MOD($N$12+1,12)+1)&amp;" de "&amp;INT(($N$12+1)/12),"Cargá el % de este ajuste en la columna F"),"")))</f>
      </c>
      <c r="J58">
        <f>IF($N$5=1,$N$7+30*$N$8,"")</f>
      </c>
      <c r="K58">
        <f>IF($N$5=1,J58-1-$N$9,"")</f>
      </c>
      <c r="L58">
        <f>IF($N$5=1,K58-$N$8,"")</f>
      </c>
    </row>
    <row r="59" spans="1:12" x14ac:dyDescent="0.25">
      <c r="A59" s="34">
        <f>IF(AND($N$5=1,31&lt;=$N$11),"31° ajuste","")</f>
      </c>
      <c r="B59" s="34">
        <f>IF(AND($N$5=1,31&lt;=$N$11),INDEX(IPC!$J$5:$J$16,MOD(J59,12)+1)&amp;" de "&amp;INT((J59)/12),"")</f>
      </c>
      <c r="C59" s="34">
        <f>IF(AND(AND($N$5=1,31&lt;=$N$11),$N$10=1),INDEX(IPC!$J$5:$J$16,MOD(L59,12)+1)&amp;" de "&amp;INT((L59)/12),"")</f>
      </c>
      <c r="D59" s="34">
        <f>IF(AND(AND($N$5=1,31&lt;=$N$11),$N$10=1),INDEX(IPC!$J$5:$J$16,MOD(K59,12)+1)&amp;" de "&amp;INT((K59)/12),"")</f>
      </c>
      <c r="E59" s="35">
        <f>IF(NOT(AND($N$5=1,31&lt;=$N$11)),"",IF($N$10=1,IF(AND($N$14=1,K59&lt;=$N$12),INDEX(IPC!$D$5:$D$173,(K59)-IPC!$J$2+1)/INDEX(IPC!$D$5:$D$173,(L59)-IPC!$J$2+1)-1,""),IF(ISNUMBER(F59),F59/100,"")))</f>
      </c>
      <c r="F59" s="36"/>
      <c r="G59" s="37">
        <f>IF(AND(AND($N$5=1,31&lt;=$N$11),ISNUMBER(G58),ISNUMBER(E59)),G58*(1+E59),"")</f>
      </c>
      <c r="H59" s="34">
        <f>IF(NOT(AND($N$5=1,31&lt;=$N$11)),"",IF(ISNUMBER(G59),"Aplicado",IF(ISNUMBER(G58),IF($N$10=1,"Falta el IPC de "&amp;INDEX(IPC!$J$5:$J$16,MOD($N$12+1,12)+1)&amp;" de "&amp;INT(($N$12+1)/12),"Cargá el % de este ajuste en la columna F"),"")))</f>
      </c>
      <c r="J59">
        <f>IF($N$5=1,$N$7+31*$N$8,"")</f>
      </c>
      <c r="K59">
        <f>IF($N$5=1,J59-1-$N$9,"")</f>
      </c>
      <c r="L59">
        <f>IF($N$5=1,K59-$N$8,"")</f>
      </c>
    </row>
    <row r="60" spans="1:12" x14ac:dyDescent="0.25">
      <c r="A60" s="31">
        <f>IF(AND($N$5=1,32&lt;=$N$11),"32° ajuste","")</f>
      </c>
      <c r="B60" s="31">
        <f>IF(AND($N$5=1,32&lt;=$N$11),INDEX(IPC!$J$5:$J$16,MOD(J60,12)+1)&amp;" de "&amp;INT((J60)/12),"")</f>
      </c>
      <c r="C60" s="31">
        <f>IF(AND(AND($N$5=1,32&lt;=$N$11),$N$10=1),INDEX(IPC!$J$5:$J$16,MOD(L60,12)+1)&amp;" de "&amp;INT((L60)/12),"")</f>
      </c>
      <c r="D60" s="31">
        <f>IF(AND(AND($N$5=1,32&lt;=$N$11),$N$10=1),INDEX(IPC!$J$5:$J$16,MOD(K60,12)+1)&amp;" de "&amp;INT((K60)/12),"")</f>
      </c>
      <c r="E60" s="38">
        <f>IF(NOT(AND($N$5=1,32&lt;=$N$11)),"",IF($N$10=1,IF(AND($N$14=1,K60&lt;=$N$12),INDEX(IPC!$D$5:$D$173,(K60)-IPC!$J$2+1)/INDEX(IPC!$D$5:$D$173,(L60)-IPC!$J$2+1)-1,""),IF(ISNUMBER(F60),F60/100,"")))</f>
      </c>
      <c r="F60" s="36"/>
      <c r="G60" s="33">
        <f>IF(AND(AND($N$5=1,32&lt;=$N$11),ISNUMBER(G59),ISNUMBER(E60)),G59*(1+E60),"")</f>
      </c>
      <c r="H60" s="31">
        <f>IF(NOT(AND($N$5=1,32&lt;=$N$11)),"",IF(ISNUMBER(G60),"Aplicado",IF(ISNUMBER(G59),IF($N$10=1,"Falta el IPC de "&amp;INDEX(IPC!$J$5:$J$16,MOD($N$12+1,12)+1)&amp;" de "&amp;INT(($N$12+1)/12),"Cargá el % de este ajuste en la columna F"),"")))</f>
      </c>
      <c r="J60">
        <f>IF($N$5=1,$N$7+32*$N$8,"")</f>
      </c>
      <c r="K60">
        <f>IF($N$5=1,J60-1-$N$9,"")</f>
      </c>
      <c r="L60">
        <f>IF($N$5=1,K60-$N$8,"")</f>
      </c>
    </row>
    <row r="61" spans="1:12" x14ac:dyDescent="0.25">
      <c r="A61" s="34">
        <f>IF(AND($N$5=1,33&lt;=$N$11),"33° ajuste","")</f>
      </c>
      <c r="B61" s="34">
        <f>IF(AND($N$5=1,33&lt;=$N$11),INDEX(IPC!$J$5:$J$16,MOD(J61,12)+1)&amp;" de "&amp;INT((J61)/12),"")</f>
      </c>
      <c r="C61" s="34">
        <f>IF(AND(AND($N$5=1,33&lt;=$N$11),$N$10=1),INDEX(IPC!$J$5:$J$16,MOD(L61,12)+1)&amp;" de "&amp;INT((L61)/12),"")</f>
      </c>
      <c r="D61" s="34">
        <f>IF(AND(AND($N$5=1,33&lt;=$N$11),$N$10=1),INDEX(IPC!$J$5:$J$16,MOD(K61,12)+1)&amp;" de "&amp;INT((K61)/12),"")</f>
      </c>
      <c r="E61" s="35">
        <f>IF(NOT(AND($N$5=1,33&lt;=$N$11)),"",IF($N$10=1,IF(AND($N$14=1,K61&lt;=$N$12),INDEX(IPC!$D$5:$D$173,(K61)-IPC!$J$2+1)/INDEX(IPC!$D$5:$D$173,(L61)-IPC!$J$2+1)-1,""),IF(ISNUMBER(F61),F61/100,"")))</f>
      </c>
      <c r="F61" s="36"/>
      <c r="G61" s="37">
        <f>IF(AND(AND($N$5=1,33&lt;=$N$11),ISNUMBER(G60),ISNUMBER(E61)),G60*(1+E61),"")</f>
      </c>
      <c r="H61" s="34">
        <f>IF(NOT(AND($N$5=1,33&lt;=$N$11)),"",IF(ISNUMBER(G61),"Aplicado",IF(ISNUMBER(G60),IF($N$10=1,"Falta el IPC de "&amp;INDEX(IPC!$J$5:$J$16,MOD($N$12+1,12)+1)&amp;" de "&amp;INT(($N$12+1)/12),"Cargá el % de este ajuste en la columna F"),"")))</f>
      </c>
      <c r="J61">
        <f>IF($N$5=1,$N$7+33*$N$8,"")</f>
      </c>
      <c r="K61">
        <f>IF($N$5=1,J61-1-$N$9,"")</f>
      </c>
      <c r="L61">
        <f>IF($N$5=1,K61-$N$8,"")</f>
      </c>
    </row>
    <row r="62" spans="1:12" x14ac:dyDescent="0.25">
      <c r="A62" s="31">
        <f>IF(AND($N$5=1,34&lt;=$N$11),"34° ajuste","")</f>
      </c>
      <c r="B62" s="31">
        <f>IF(AND($N$5=1,34&lt;=$N$11),INDEX(IPC!$J$5:$J$16,MOD(J62,12)+1)&amp;" de "&amp;INT((J62)/12),"")</f>
      </c>
      <c r="C62" s="31">
        <f>IF(AND(AND($N$5=1,34&lt;=$N$11),$N$10=1),INDEX(IPC!$J$5:$J$16,MOD(L62,12)+1)&amp;" de "&amp;INT((L62)/12),"")</f>
      </c>
      <c r="D62" s="31">
        <f>IF(AND(AND($N$5=1,34&lt;=$N$11),$N$10=1),INDEX(IPC!$J$5:$J$16,MOD(K62,12)+1)&amp;" de "&amp;INT((K62)/12),"")</f>
      </c>
      <c r="E62" s="38">
        <f>IF(NOT(AND($N$5=1,34&lt;=$N$11)),"",IF($N$10=1,IF(AND($N$14=1,K62&lt;=$N$12),INDEX(IPC!$D$5:$D$173,(K62)-IPC!$J$2+1)/INDEX(IPC!$D$5:$D$173,(L62)-IPC!$J$2+1)-1,""),IF(ISNUMBER(F62),F62/100,"")))</f>
      </c>
      <c r="F62" s="36"/>
      <c r="G62" s="33">
        <f>IF(AND(AND($N$5=1,34&lt;=$N$11),ISNUMBER(G61),ISNUMBER(E62)),G61*(1+E62),"")</f>
      </c>
      <c r="H62" s="31">
        <f>IF(NOT(AND($N$5=1,34&lt;=$N$11)),"",IF(ISNUMBER(G62),"Aplicado",IF(ISNUMBER(G61),IF($N$10=1,"Falta el IPC de "&amp;INDEX(IPC!$J$5:$J$16,MOD($N$12+1,12)+1)&amp;" de "&amp;INT(($N$12+1)/12),"Cargá el % de este ajuste en la columna F"),"")))</f>
      </c>
      <c r="J62">
        <f>IF($N$5=1,$N$7+34*$N$8,"")</f>
      </c>
      <c r="K62">
        <f>IF($N$5=1,J62-1-$N$9,"")</f>
      </c>
      <c r="L62">
        <f>IF($N$5=1,K62-$N$8,"")</f>
      </c>
    </row>
    <row r="63" spans="1:12" x14ac:dyDescent="0.25">
      <c r="A63" s="34">
        <f>IF(AND($N$5=1,35&lt;=$N$11),"35° ajuste","")</f>
      </c>
      <c r="B63" s="34">
        <f>IF(AND($N$5=1,35&lt;=$N$11),INDEX(IPC!$J$5:$J$16,MOD(J63,12)+1)&amp;" de "&amp;INT((J63)/12),"")</f>
      </c>
      <c r="C63" s="34">
        <f>IF(AND(AND($N$5=1,35&lt;=$N$11),$N$10=1),INDEX(IPC!$J$5:$J$16,MOD(L63,12)+1)&amp;" de "&amp;INT((L63)/12),"")</f>
      </c>
      <c r="D63" s="34">
        <f>IF(AND(AND($N$5=1,35&lt;=$N$11),$N$10=1),INDEX(IPC!$J$5:$J$16,MOD(K63,12)+1)&amp;" de "&amp;INT((K63)/12),"")</f>
      </c>
      <c r="E63" s="35">
        <f>IF(NOT(AND($N$5=1,35&lt;=$N$11)),"",IF($N$10=1,IF(AND($N$14=1,K63&lt;=$N$12),INDEX(IPC!$D$5:$D$173,(K63)-IPC!$J$2+1)/INDEX(IPC!$D$5:$D$173,(L63)-IPC!$J$2+1)-1,""),IF(ISNUMBER(F63),F63/100,"")))</f>
      </c>
      <c r="F63" s="36"/>
      <c r="G63" s="37">
        <f>IF(AND(AND($N$5=1,35&lt;=$N$11),ISNUMBER(G62),ISNUMBER(E63)),G62*(1+E63),"")</f>
      </c>
      <c r="H63" s="34">
        <f>IF(NOT(AND($N$5=1,35&lt;=$N$11)),"",IF(ISNUMBER(G63),"Aplicado",IF(ISNUMBER(G62),IF($N$10=1,"Falta el IPC de "&amp;INDEX(IPC!$J$5:$J$16,MOD($N$12+1,12)+1)&amp;" de "&amp;INT(($N$12+1)/12),"Cargá el % de este ajuste en la columna F"),"")))</f>
      </c>
      <c r="J63">
        <f>IF($N$5=1,$N$7+35*$N$8,"")</f>
      </c>
      <c r="K63">
        <f>IF($N$5=1,J63-1-$N$9,"")</f>
      </c>
      <c r="L63">
        <f>IF($N$5=1,K63-$N$8,"")</f>
      </c>
    </row>
    <row r="64" spans="1:12" x14ac:dyDescent="0.25">
      <c r="A64" s="31">
        <f>IF(AND($N$5=1,36&lt;=$N$11),"36° ajuste","")</f>
      </c>
      <c r="B64" s="31">
        <f>IF(AND($N$5=1,36&lt;=$N$11),INDEX(IPC!$J$5:$J$16,MOD(J64,12)+1)&amp;" de "&amp;INT((J64)/12),"")</f>
      </c>
      <c r="C64" s="31">
        <f>IF(AND(AND($N$5=1,36&lt;=$N$11),$N$10=1),INDEX(IPC!$J$5:$J$16,MOD(L64,12)+1)&amp;" de "&amp;INT((L64)/12),"")</f>
      </c>
      <c r="D64" s="31">
        <f>IF(AND(AND($N$5=1,36&lt;=$N$11),$N$10=1),INDEX(IPC!$J$5:$J$16,MOD(K64,12)+1)&amp;" de "&amp;INT((K64)/12),"")</f>
      </c>
      <c r="E64" s="38">
        <f>IF(NOT(AND($N$5=1,36&lt;=$N$11)),"",IF($N$10=1,IF(AND($N$14=1,K64&lt;=$N$12),INDEX(IPC!$D$5:$D$173,(K64)-IPC!$J$2+1)/INDEX(IPC!$D$5:$D$173,(L64)-IPC!$J$2+1)-1,""),IF(ISNUMBER(F64),F64/100,"")))</f>
      </c>
      <c r="F64" s="36"/>
      <c r="G64" s="33">
        <f>IF(AND(AND($N$5=1,36&lt;=$N$11),ISNUMBER(G63),ISNUMBER(E64)),G63*(1+E64),"")</f>
      </c>
      <c r="H64" s="31">
        <f>IF(NOT(AND($N$5=1,36&lt;=$N$11)),"",IF(ISNUMBER(G64),"Aplicado",IF(ISNUMBER(G63),IF($N$10=1,"Falta el IPC de "&amp;INDEX(IPC!$J$5:$J$16,MOD($N$12+1,12)+1)&amp;" de "&amp;INT(($N$12+1)/12),"Cargá el % de este ajuste en la columna F"),"")))</f>
      </c>
      <c r="J64">
        <f>IF($N$5=1,$N$7+36*$N$8,"")</f>
      </c>
      <c r="K64">
        <f>IF($N$5=1,J64-1-$N$9,"")</f>
      </c>
      <c r="L64">
        <f>IF($N$5=1,K64-$N$8,"")</f>
      </c>
    </row>
    <row r="65" spans="1:12" x14ac:dyDescent="0.25">
      <c r="A65" s="34">
        <f>IF(AND($N$5=1,37&lt;=$N$11),"37° ajuste","")</f>
      </c>
      <c r="B65" s="34">
        <f>IF(AND($N$5=1,37&lt;=$N$11),INDEX(IPC!$J$5:$J$16,MOD(J65,12)+1)&amp;" de "&amp;INT((J65)/12),"")</f>
      </c>
      <c r="C65" s="34">
        <f>IF(AND(AND($N$5=1,37&lt;=$N$11),$N$10=1),INDEX(IPC!$J$5:$J$16,MOD(L65,12)+1)&amp;" de "&amp;INT((L65)/12),"")</f>
      </c>
      <c r="D65" s="34">
        <f>IF(AND(AND($N$5=1,37&lt;=$N$11),$N$10=1),INDEX(IPC!$J$5:$J$16,MOD(K65,12)+1)&amp;" de "&amp;INT((K65)/12),"")</f>
      </c>
      <c r="E65" s="35">
        <f>IF(NOT(AND($N$5=1,37&lt;=$N$11)),"",IF($N$10=1,IF(AND($N$14=1,K65&lt;=$N$12),INDEX(IPC!$D$5:$D$173,(K65)-IPC!$J$2+1)/INDEX(IPC!$D$5:$D$173,(L65)-IPC!$J$2+1)-1,""),IF(ISNUMBER(F65),F65/100,"")))</f>
      </c>
      <c r="F65" s="36"/>
      <c r="G65" s="37">
        <f>IF(AND(AND($N$5=1,37&lt;=$N$11),ISNUMBER(G64),ISNUMBER(E65)),G64*(1+E65),"")</f>
      </c>
      <c r="H65" s="34">
        <f>IF(NOT(AND($N$5=1,37&lt;=$N$11)),"",IF(ISNUMBER(G65),"Aplicado",IF(ISNUMBER(G64),IF($N$10=1,"Falta el IPC de "&amp;INDEX(IPC!$J$5:$J$16,MOD($N$12+1,12)+1)&amp;" de "&amp;INT(($N$12+1)/12),"Cargá el % de este ajuste en la columna F"),"")))</f>
      </c>
      <c r="J65">
        <f>IF($N$5=1,$N$7+37*$N$8,"")</f>
      </c>
      <c r="K65">
        <f>IF($N$5=1,J65-1-$N$9,"")</f>
      </c>
      <c r="L65">
        <f>IF($N$5=1,K65-$N$8,"")</f>
      </c>
    </row>
    <row r="66" spans="1:12" x14ac:dyDescent="0.25">
      <c r="A66" s="31">
        <f>IF(AND($N$5=1,38&lt;=$N$11),"38° ajuste","")</f>
      </c>
      <c r="B66" s="31">
        <f>IF(AND($N$5=1,38&lt;=$N$11),INDEX(IPC!$J$5:$J$16,MOD(J66,12)+1)&amp;" de "&amp;INT((J66)/12),"")</f>
      </c>
      <c r="C66" s="31">
        <f>IF(AND(AND($N$5=1,38&lt;=$N$11),$N$10=1),INDEX(IPC!$J$5:$J$16,MOD(L66,12)+1)&amp;" de "&amp;INT((L66)/12),"")</f>
      </c>
      <c r="D66" s="31">
        <f>IF(AND(AND($N$5=1,38&lt;=$N$11),$N$10=1),INDEX(IPC!$J$5:$J$16,MOD(K66,12)+1)&amp;" de "&amp;INT((K66)/12),"")</f>
      </c>
      <c r="E66" s="38">
        <f>IF(NOT(AND($N$5=1,38&lt;=$N$11)),"",IF($N$10=1,IF(AND($N$14=1,K66&lt;=$N$12),INDEX(IPC!$D$5:$D$173,(K66)-IPC!$J$2+1)/INDEX(IPC!$D$5:$D$173,(L66)-IPC!$J$2+1)-1,""),IF(ISNUMBER(F66),F66/100,"")))</f>
      </c>
      <c r="F66" s="36"/>
      <c r="G66" s="33">
        <f>IF(AND(AND($N$5=1,38&lt;=$N$11),ISNUMBER(G65),ISNUMBER(E66)),G65*(1+E66),"")</f>
      </c>
      <c r="H66" s="31">
        <f>IF(NOT(AND($N$5=1,38&lt;=$N$11)),"",IF(ISNUMBER(G66),"Aplicado",IF(ISNUMBER(G65),IF($N$10=1,"Falta el IPC de "&amp;INDEX(IPC!$J$5:$J$16,MOD($N$12+1,12)+1)&amp;" de "&amp;INT(($N$12+1)/12),"Cargá el % de este ajuste en la columna F"),"")))</f>
      </c>
      <c r="J66">
        <f>IF($N$5=1,$N$7+38*$N$8,"")</f>
      </c>
      <c r="K66">
        <f>IF($N$5=1,J66-1-$N$9,"")</f>
      </c>
      <c r="L66">
        <f>IF($N$5=1,K66-$N$8,"")</f>
      </c>
    </row>
    <row r="67" spans="1:12" x14ac:dyDescent="0.25">
      <c r="A67" s="34">
        <f>IF(AND($N$5=1,39&lt;=$N$11),"39° ajuste","")</f>
      </c>
      <c r="B67" s="34">
        <f>IF(AND($N$5=1,39&lt;=$N$11),INDEX(IPC!$J$5:$J$16,MOD(J67,12)+1)&amp;" de "&amp;INT((J67)/12),"")</f>
      </c>
      <c r="C67" s="34">
        <f>IF(AND(AND($N$5=1,39&lt;=$N$11),$N$10=1),INDEX(IPC!$J$5:$J$16,MOD(L67,12)+1)&amp;" de "&amp;INT((L67)/12),"")</f>
      </c>
      <c r="D67" s="34">
        <f>IF(AND(AND($N$5=1,39&lt;=$N$11),$N$10=1),INDEX(IPC!$J$5:$J$16,MOD(K67,12)+1)&amp;" de "&amp;INT((K67)/12),"")</f>
      </c>
      <c r="E67" s="35">
        <f>IF(NOT(AND($N$5=1,39&lt;=$N$11)),"",IF($N$10=1,IF(AND($N$14=1,K67&lt;=$N$12),INDEX(IPC!$D$5:$D$173,(K67)-IPC!$J$2+1)/INDEX(IPC!$D$5:$D$173,(L67)-IPC!$J$2+1)-1,""),IF(ISNUMBER(F67),F67/100,"")))</f>
      </c>
      <c r="F67" s="36"/>
      <c r="G67" s="37">
        <f>IF(AND(AND($N$5=1,39&lt;=$N$11),ISNUMBER(G66),ISNUMBER(E67)),G66*(1+E67),"")</f>
      </c>
      <c r="H67" s="34">
        <f>IF(NOT(AND($N$5=1,39&lt;=$N$11)),"",IF(ISNUMBER(G67),"Aplicado",IF(ISNUMBER(G66),IF($N$10=1,"Falta el IPC de "&amp;INDEX(IPC!$J$5:$J$16,MOD($N$12+1,12)+1)&amp;" de "&amp;INT(($N$12+1)/12),"Cargá el % de este ajuste en la columna F"),"")))</f>
      </c>
      <c r="J67">
        <f>IF($N$5=1,$N$7+39*$N$8,"")</f>
      </c>
      <c r="K67">
        <f>IF($N$5=1,J67-1-$N$9,"")</f>
      </c>
      <c r="L67">
        <f>IF($N$5=1,K67-$N$8,"")</f>
      </c>
    </row>
    <row r="68" spans="1:12" x14ac:dyDescent="0.25">
      <c r="A68" s="31">
        <f>IF(AND($N$5=1,40&lt;=$N$11),"40° ajuste","")</f>
      </c>
      <c r="B68" s="31">
        <f>IF(AND($N$5=1,40&lt;=$N$11),INDEX(IPC!$J$5:$J$16,MOD(J68,12)+1)&amp;" de "&amp;INT((J68)/12),"")</f>
      </c>
      <c r="C68" s="31">
        <f>IF(AND(AND($N$5=1,40&lt;=$N$11),$N$10=1),INDEX(IPC!$J$5:$J$16,MOD(L68,12)+1)&amp;" de "&amp;INT((L68)/12),"")</f>
      </c>
      <c r="D68" s="31">
        <f>IF(AND(AND($N$5=1,40&lt;=$N$11),$N$10=1),INDEX(IPC!$J$5:$J$16,MOD(K68,12)+1)&amp;" de "&amp;INT((K68)/12),"")</f>
      </c>
      <c r="E68" s="38">
        <f>IF(NOT(AND($N$5=1,40&lt;=$N$11)),"",IF($N$10=1,IF(AND($N$14=1,K68&lt;=$N$12),INDEX(IPC!$D$5:$D$173,(K68)-IPC!$J$2+1)/INDEX(IPC!$D$5:$D$173,(L68)-IPC!$J$2+1)-1,""),IF(ISNUMBER(F68),F68/100,"")))</f>
      </c>
      <c r="F68" s="36"/>
      <c r="G68" s="33">
        <f>IF(AND(AND($N$5=1,40&lt;=$N$11),ISNUMBER(G67),ISNUMBER(E68)),G67*(1+E68),"")</f>
      </c>
      <c r="H68" s="31">
        <f>IF(NOT(AND($N$5=1,40&lt;=$N$11)),"",IF(ISNUMBER(G68),"Aplicado",IF(ISNUMBER(G67),IF($N$10=1,"Falta el IPC de "&amp;INDEX(IPC!$J$5:$J$16,MOD($N$12+1,12)+1)&amp;" de "&amp;INT(($N$12+1)/12),"Cargá el % de este ajuste en la columna F"),"")))</f>
      </c>
      <c r="J68">
        <f>IF($N$5=1,$N$7+40*$N$8,"")</f>
      </c>
      <c r="K68">
        <f>IF($N$5=1,J68-1-$N$9,"")</f>
      </c>
      <c r="L68">
        <f>IF($N$5=1,K68-$N$8,"")</f>
      </c>
    </row>
    <row r="69" spans="1:12" x14ac:dyDescent="0.25">
      <c r="A69" s="34">
        <f>IF(AND($N$5=1,41&lt;=$N$11),"41° ajuste","")</f>
      </c>
      <c r="B69" s="34">
        <f>IF(AND($N$5=1,41&lt;=$N$11),INDEX(IPC!$J$5:$J$16,MOD(J69,12)+1)&amp;" de "&amp;INT((J69)/12),"")</f>
      </c>
      <c r="C69" s="34">
        <f>IF(AND(AND($N$5=1,41&lt;=$N$11),$N$10=1),INDEX(IPC!$J$5:$J$16,MOD(L69,12)+1)&amp;" de "&amp;INT((L69)/12),"")</f>
      </c>
      <c r="D69" s="34">
        <f>IF(AND(AND($N$5=1,41&lt;=$N$11),$N$10=1),INDEX(IPC!$J$5:$J$16,MOD(K69,12)+1)&amp;" de "&amp;INT((K69)/12),"")</f>
      </c>
      <c r="E69" s="35">
        <f>IF(NOT(AND($N$5=1,41&lt;=$N$11)),"",IF($N$10=1,IF(AND($N$14=1,K69&lt;=$N$12),INDEX(IPC!$D$5:$D$173,(K69)-IPC!$J$2+1)/INDEX(IPC!$D$5:$D$173,(L69)-IPC!$J$2+1)-1,""),IF(ISNUMBER(F69),F69/100,"")))</f>
      </c>
      <c r="F69" s="36"/>
      <c r="G69" s="37">
        <f>IF(AND(AND($N$5=1,41&lt;=$N$11),ISNUMBER(G68),ISNUMBER(E69)),G68*(1+E69),"")</f>
      </c>
      <c r="H69" s="34">
        <f>IF(NOT(AND($N$5=1,41&lt;=$N$11)),"",IF(ISNUMBER(G69),"Aplicado",IF(ISNUMBER(G68),IF($N$10=1,"Falta el IPC de "&amp;INDEX(IPC!$J$5:$J$16,MOD($N$12+1,12)+1)&amp;" de "&amp;INT(($N$12+1)/12),"Cargá el % de este ajuste en la columna F"),"")))</f>
      </c>
      <c r="J69">
        <f>IF($N$5=1,$N$7+41*$N$8,"")</f>
      </c>
      <c r="K69">
        <f>IF($N$5=1,J69-1-$N$9,"")</f>
      </c>
      <c r="L69">
        <f>IF($N$5=1,K69-$N$8,"")</f>
      </c>
    </row>
    <row r="70" spans="1:12" x14ac:dyDescent="0.25">
      <c r="A70" s="31">
        <f>IF(AND($N$5=1,42&lt;=$N$11),"42° ajuste","")</f>
      </c>
      <c r="B70" s="31">
        <f>IF(AND($N$5=1,42&lt;=$N$11),INDEX(IPC!$J$5:$J$16,MOD(J70,12)+1)&amp;" de "&amp;INT((J70)/12),"")</f>
      </c>
      <c r="C70" s="31">
        <f>IF(AND(AND($N$5=1,42&lt;=$N$11),$N$10=1),INDEX(IPC!$J$5:$J$16,MOD(L70,12)+1)&amp;" de "&amp;INT((L70)/12),"")</f>
      </c>
      <c r="D70" s="31">
        <f>IF(AND(AND($N$5=1,42&lt;=$N$11),$N$10=1),INDEX(IPC!$J$5:$J$16,MOD(K70,12)+1)&amp;" de "&amp;INT((K70)/12),"")</f>
      </c>
      <c r="E70" s="38">
        <f>IF(NOT(AND($N$5=1,42&lt;=$N$11)),"",IF($N$10=1,IF(AND($N$14=1,K70&lt;=$N$12),INDEX(IPC!$D$5:$D$173,(K70)-IPC!$J$2+1)/INDEX(IPC!$D$5:$D$173,(L70)-IPC!$J$2+1)-1,""),IF(ISNUMBER(F70),F70/100,"")))</f>
      </c>
      <c r="F70" s="36"/>
      <c r="G70" s="33">
        <f>IF(AND(AND($N$5=1,42&lt;=$N$11),ISNUMBER(G69),ISNUMBER(E70)),G69*(1+E70),"")</f>
      </c>
      <c r="H70" s="31">
        <f>IF(NOT(AND($N$5=1,42&lt;=$N$11)),"",IF(ISNUMBER(G70),"Aplicado",IF(ISNUMBER(G69),IF($N$10=1,"Falta el IPC de "&amp;INDEX(IPC!$J$5:$J$16,MOD($N$12+1,12)+1)&amp;" de "&amp;INT(($N$12+1)/12),"Cargá el % de este ajuste en la columna F"),"")))</f>
      </c>
      <c r="J70">
        <f>IF($N$5=1,$N$7+42*$N$8,"")</f>
      </c>
      <c r="K70">
        <f>IF($N$5=1,J70-1-$N$9,"")</f>
      </c>
      <c r="L70">
        <f>IF($N$5=1,K70-$N$8,"")</f>
      </c>
    </row>
    <row r="71" spans="1:12" x14ac:dyDescent="0.25">
      <c r="A71" s="34">
        <f>IF(AND($N$5=1,43&lt;=$N$11),"43° ajuste","")</f>
      </c>
      <c r="B71" s="34">
        <f>IF(AND($N$5=1,43&lt;=$N$11),INDEX(IPC!$J$5:$J$16,MOD(J71,12)+1)&amp;" de "&amp;INT((J71)/12),"")</f>
      </c>
      <c r="C71" s="34">
        <f>IF(AND(AND($N$5=1,43&lt;=$N$11),$N$10=1),INDEX(IPC!$J$5:$J$16,MOD(L71,12)+1)&amp;" de "&amp;INT((L71)/12),"")</f>
      </c>
      <c r="D71" s="34">
        <f>IF(AND(AND($N$5=1,43&lt;=$N$11),$N$10=1),INDEX(IPC!$J$5:$J$16,MOD(K71,12)+1)&amp;" de "&amp;INT((K71)/12),"")</f>
      </c>
      <c r="E71" s="35">
        <f>IF(NOT(AND($N$5=1,43&lt;=$N$11)),"",IF($N$10=1,IF(AND($N$14=1,K71&lt;=$N$12),INDEX(IPC!$D$5:$D$173,(K71)-IPC!$J$2+1)/INDEX(IPC!$D$5:$D$173,(L71)-IPC!$J$2+1)-1,""),IF(ISNUMBER(F71),F71/100,"")))</f>
      </c>
      <c r="F71" s="36"/>
      <c r="G71" s="37">
        <f>IF(AND(AND($N$5=1,43&lt;=$N$11),ISNUMBER(G70),ISNUMBER(E71)),G70*(1+E71),"")</f>
      </c>
      <c r="H71" s="34">
        <f>IF(NOT(AND($N$5=1,43&lt;=$N$11)),"",IF(ISNUMBER(G71),"Aplicado",IF(ISNUMBER(G70),IF($N$10=1,"Falta el IPC de "&amp;INDEX(IPC!$J$5:$J$16,MOD($N$12+1,12)+1)&amp;" de "&amp;INT(($N$12+1)/12),"Cargá el % de este ajuste en la columna F"),"")))</f>
      </c>
      <c r="J71">
        <f>IF($N$5=1,$N$7+43*$N$8,"")</f>
      </c>
      <c r="K71">
        <f>IF($N$5=1,J71-1-$N$9,"")</f>
      </c>
      <c r="L71">
        <f>IF($N$5=1,K71-$N$8,"")</f>
      </c>
    </row>
    <row r="72" spans="1:12" x14ac:dyDescent="0.25">
      <c r="A72" s="31">
        <f>IF(AND($N$5=1,44&lt;=$N$11),"44° ajuste","")</f>
      </c>
      <c r="B72" s="31">
        <f>IF(AND($N$5=1,44&lt;=$N$11),INDEX(IPC!$J$5:$J$16,MOD(J72,12)+1)&amp;" de "&amp;INT((J72)/12),"")</f>
      </c>
      <c r="C72" s="31">
        <f>IF(AND(AND($N$5=1,44&lt;=$N$11),$N$10=1),INDEX(IPC!$J$5:$J$16,MOD(L72,12)+1)&amp;" de "&amp;INT((L72)/12),"")</f>
      </c>
      <c r="D72" s="31">
        <f>IF(AND(AND($N$5=1,44&lt;=$N$11),$N$10=1),INDEX(IPC!$J$5:$J$16,MOD(K72,12)+1)&amp;" de "&amp;INT((K72)/12),"")</f>
      </c>
      <c r="E72" s="38">
        <f>IF(NOT(AND($N$5=1,44&lt;=$N$11)),"",IF($N$10=1,IF(AND($N$14=1,K72&lt;=$N$12),INDEX(IPC!$D$5:$D$173,(K72)-IPC!$J$2+1)/INDEX(IPC!$D$5:$D$173,(L72)-IPC!$J$2+1)-1,""),IF(ISNUMBER(F72),F72/100,"")))</f>
      </c>
      <c r="F72" s="36"/>
      <c r="G72" s="33">
        <f>IF(AND(AND($N$5=1,44&lt;=$N$11),ISNUMBER(G71),ISNUMBER(E72)),G71*(1+E72),"")</f>
      </c>
      <c r="H72" s="31">
        <f>IF(NOT(AND($N$5=1,44&lt;=$N$11)),"",IF(ISNUMBER(G72),"Aplicado",IF(ISNUMBER(G71),IF($N$10=1,"Falta el IPC de "&amp;INDEX(IPC!$J$5:$J$16,MOD($N$12+1,12)+1)&amp;" de "&amp;INT(($N$12+1)/12),"Cargá el % de este ajuste en la columna F"),"")))</f>
      </c>
      <c r="J72">
        <f>IF($N$5=1,$N$7+44*$N$8,"")</f>
      </c>
      <c r="K72">
        <f>IF($N$5=1,J72-1-$N$9,"")</f>
      </c>
      <c r="L72">
        <f>IF($N$5=1,K72-$N$8,"")</f>
      </c>
    </row>
    <row r="73" spans="1:12" x14ac:dyDescent="0.25">
      <c r="A73" s="34">
        <f>IF(AND($N$5=1,45&lt;=$N$11),"45° ajuste","")</f>
      </c>
      <c r="B73" s="34">
        <f>IF(AND($N$5=1,45&lt;=$N$11),INDEX(IPC!$J$5:$J$16,MOD(J73,12)+1)&amp;" de "&amp;INT((J73)/12),"")</f>
      </c>
      <c r="C73" s="34">
        <f>IF(AND(AND($N$5=1,45&lt;=$N$11),$N$10=1),INDEX(IPC!$J$5:$J$16,MOD(L73,12)+1)&amp;" de "&amp;INT((L73)/12),"")</f>
      </c>
      <c r="D73" s="34">
        <f>IF(AND(AND($N$5=1,45&lt;=$N$11),$N$10=1),INDEX(IPC!$J$5:$J$16,MOD(K73,12)+1)&amp;" de "&amp;INT((K73)/12),"")</f>
      </c>
      <c r="E73" s="35">
        <f>IF(NOT(AND($N$5=1,45&lt;=$N$11)),"",IF($N$10=1,IF(AND($N$14=1,K73&lt;=$N$12),INDEX(IPC!$D$5:$D$173,(K73)-IPC!$J$2+1)/INDEX(IPC!$D$5:$D$173,(L73)-IPC!$J$2+1)-1,""),IF(ISNUMBER(F73),F73/100,"")))</f>
      </c>
      <c r="F73" s="36"/>
      <c r="G73" s="37">
        <f>IF(AND(AND($N$5=1,45&lt;=$N$11),ISNUMBER(G72),ISNUMBER(E73)),G72*(1+E73),"")</f>
      </c>
      <c r="H73" s="34">
        <f>IF(NOT(AND($N$5=1,45&lt;=$N$11)),"",IF(ISNUMBER(G73),"Aplicado",IF(ISNUMBER(G72),IF($N$10=1,"Falta el IPC de "&amp;INDEX(IPC!$J$5:$J$16,MOD($N$12+1,12)+1)&amp;" de "&amp;INT(($N$12+1)/12),"Cargá el % de este ajuste en la columna F"),"")))</f>
      </c>
      <c r="J73">
        <f>IF($N$5=1,$N$7+45*$N$8,"")</f>
      </c>
      <c r="K73">
        <f>IF($N$5=1,J73-1-$N$9,"")</f>
      </c>
      <c r="L73">
        <f>IF($N$5=1,K73-$N$8,"")</f>
      </c>
    </row>
    <row r="74" spans="1:12" x14ac:dyDescent="0.25">
      <c r="A74" s="31">
        <f>IF(AND($N$5=1,46&lt;=$N$11),"46° ajuste","")</f>
      </c>
      <c r="B74" s="31">
        <f>IF(AND($N$5=1,46&lt;=$N$11),INDEX(IPC!$J$5:$J$16,MOD(J74,12)+1)&amp;" de "&amp;INT((J74)/12),"")</f>
      </c>
      <c r="C74" s="31">
        <f>IF(AND(AND($N$5=1,46&lt;=$N$11),$N$10=1),INDEX(IPC!$J$5:$J$16,MOD(L74,12)+1)&amp;" de "&amp;INT((L74)/12),"")</f>
      </c>
      <c r="D74" s="31">
        <f>IF(AND(AND($N$5=1,46&lt;=$N$11),$N$10=1),INDEX(IPC!$J$5:$J$16,MOD(K74,12)+1)&amp;" de "&amp;INT((K74)/12),"")</f>
      </c>
      <c r="E74" s="38">
        <f>IF(NOT(AND($N$5=1,46&lt;=$N$11)),"",IF($N$10=1,IF(AND($N$14=1,K74&lt;=$N$12),INDEX(IPC!$D$5:$D$173,(K74)-IPC!$J$2+1)/INDEX(IPC!$D$5:$D$173,(L74)-IPC!$J$2+1)-1,""),IF(ISNUMBER(F74),F74/100,"")))</f>
      </c>
      <c r="F74" s="36"/>
      <c r="G74" s="33">
        <f>IF(AND(AND($N$5=1,46&lt;=$N$11),ISNUMBER(G73),ISNUMBER(E74)),G73*(1+E74),"")</f>
      </c>
      <c r="H74" s="31">
        <f>IF(NOT(AND($N$5=1,46&lt;=$N$11)),"",IF(ISNUMBER(G74),"Aplicado",IF(ISNUMBER(G73),IF($N$10=1,"Falta el IPC de "&amp;INDEX(IPC!$J$5:$J$16,MOD($N$12+1,12)+1)&amp;" de "&amp;INT(($N$12+1)/12),"Cargá el % de este ajuste en la columna F"),"")))</f>
      </c>
      <c r="J74">
        <f>IF($N$5=1,$N$7+46*$N$8,"")</f>
      </c>
      <c r="K74">
        <f>IF($N$5=1,J74-1-$N$9,"")</f>
      </c>
      <c r="L74">
        <f>IF($N$5=1,K74-$N$8,"")</f>
      </c>
    </row>
    <row r="75" spans="1:12" x14ac:dyDescent="0.25">
      <c r="A75" s="34">
        <f>IF(AND($N$5=1,47&lt;=$N$11),"47° ajuste","")</f>
      </c>
      <c r="B75" s="34">
        <f>IF(AND($N$5=1,47&lt;=$N$11),INDEX(IPC!$J$5:$J$16,MOD(J75,12)+1)&amp;" de "&amp;INT((J75)/12),"")</f>
      </c>
      <c r="C75" s="34">
        <f>IF(AND(AND($N$5=1,47&lt;=$N$11),$N$10=1),INDEX(IPC!$J$5:$J$16,MOD(L75,12)+1)&amp;" de "&amp;INT((L75)/12),"")</f>
      </c>
      <c r="D75" s="34">
        <f>IF(AND(AND($N$5=1,47&lt;=$N$11),$N$10=1),INDEX(IPC!$J$5:$J$16,MOD(K75,12)+1)&amp;" de "&amp;INT((K75)/12),"")</f>
      </c>
      <c r="E75" s="35">
        <f>IF(NOT(AND($N$5=1,47&lt;=$N$11)),"",IF($N$10=1,IF(AND($N$14=1,K75&lt;=$N$12),INDEX(IPC!$D$5:$D$173,(K75)-IPC!$J$2+1)/INDEX(IPC!$D$5:$D$173,(L75)-IPC!$J$2+1)-1,""),IF(ISNUMBER(F75),F75/100,"")))</f>
      </c>
      <c r="F75" s="36"/>
      <c r="G75" s="37">
        <f>IF(AND(AND($N$5=1,47&lt;=$N$11),ISNUMBER(G74),ISNUMBER(E75)),G74*(1+E75),"")</f>
      </c>
      <c r="H75" s="34">
        <f>IF(NOT(AND($N$5=1,47&lt;=$N$11)),"",IF(ISNUMBER(G75),"Aplicado",IF(ISNUMBER(G74),IF($N$10=1,"Falta el IPC de "&amp;INDEX(IPC!$J$5:$J$16,MOD($N$12+1,12)+1)&amp;" de "&amp;INT(($N$12+1)/12),"Cargá el % de este ajuste en la columna F"),"")))</f>
      </c>
      <c r="J75">
        <f>IF($N$5=1,$N$7+47*$N$8,"")</f>
      </c>
      <c r="K75">
        <f>IF($N$5=1,J75-1-$N$9,"")</f>
      </c>
      <c r="L75">
        <f>IF($N$5=1,K75-$N$8,"")</f>
      </c>
    </row>
    <row r="76" spans="1:12" x14ac:dyDescent="0.25">
      <c r="A76" s="31">
        <f>IF(AND($N$5=1,48&lt;=$N$11),"48° ajuste","")</f>
      </c>
      <c r="B76" s="31">
        <f>IF(AND($N$5=1,48&lt;=$N$11),INDEX(IPC!$J$5:$J$16,MOD(J76,12)+1)&amp;" de "&amp;INT((J76)/12),"")</f>
      </c>
      <c r="C76" s="31">
        <f>IF(AND(AND($N$5=1,48&lt;=$N$11),$N$10=1),INDEX(IPC!$J$5:$J$16,MOD(L76,12)+1)&amp;" de "&amp;INT((L76)/12),"")</f>
      </c>
      <c r="D76" s="31">
        <f>IF(AND(AND($N$5=1,48&lt;=$N$11),$N$10=1),INDEX(IPC!$J$5:$J$16,MOD(K76,12)+1)&amp;" de "&amp;INT((K76)/12),"")</f>
      </c>
      <c r="E76" s="38">
        <f>IF(NOT(AND($N$5=1,48&lt;=$N$11)),"",IF($N$10=1,IF(AND($N$14=1,K76&lt;=$N$12),INDEX(IPC!$D$5:$D$173,(K76)-IPC!$J$2+1)/INDEX(IPC!$D$5:$D$173,(L76)-IPC!$J$2+1)-1,""),IF(ISNUMBER(F76),F76/100,"")))</f>
      </c>
      <c r="F76" s="36"/>
      <c r="G76" s="33">
        <f>IF(AND(AND($N$5=1,48&lt;=$N$11),ISNUMBER(G75),ISNUMBER(E76)),G75*(1+E76),"")</f>
      </c>
      <c r="H76" s="31">
        <f>IF(NOT(AND($N$5=1,48&lt;=$N$11)),"",IF(ISNUMBER(G76),"Aplicado",IF(ISNUMBER(G75),IF($N$10=1,"Falta el IPC de "&amp;INDEX(IPC!$J$5:$J$16,MOD($N$12+1,12)+1)&amp;" de "&amp;INT(($N$12+1)/12),"Cargá el % de este ajuste en la columna F"),"")))</f>
      </c>
      <c r="J76">
        <f>IF($N$5=1,$N$7+48*$N$8,"")</f>
      </c>
      <c r="K76">
        <f>IF($N$5=1,J76-1-$N$9,"")</f>
      </c>
      <c r="L76">
        <f>IF($N$5=1,K76-$N$8,"")</f>
      </c>
    </row>
    <row r="77" spans="1:12" x14ac:dyDescent="0.25">
      <c r="A77" s="34">
        <f>IF(AND($N$5=1,49&lt;=$N$11),"49° ajuste","")</f>
      </c>
      <c r="B77" s="34">
        <f>IF(AND($N$5=1,49&lt;=$N$11),INDEX(IPC!$J$5:$J$16,MOD(J77,12)+1)&amp;" de "&amp;INT((J77)/12),"")</f>
      </c>
      <c r="C77" s="34">
        <f>IF(AND(AND($N$5=1,49&lt;=$N$11),$N$10=1),INDEX(IPC!$J$5:$J$16,MOD(L77,12)+1)&amp;" de "&amp;INT((L77)/12),"")</f>
      </c>
      <c r="D77" s="34">
        <f>IF(AND(AND($N$5=1,49&lt;=$N$11),$N$10=1),INDEX(IPC!$J$5:$J$16,MOD(K77,12)+1)&amp;" de "&amp;INT((K77)/12),"")</f>
      </c>
      <c r="E77" s="35">
        <f>IF(NOT(AND($N$5=1,49&lt;=$N$11)),"",IF($N$10=1,IF(AND($N$14=1,K77&lt;=$N$12),INDEX(IPC!$D$5:$D$173,(K77)-IPC!$J$2+1)/INDEX(IPC!$D$5:$D$173,(L77)-IPC!$J$2+1)-1,""),IF(ISNUMBER(F77),F77/100,"")))</f>
      </c>
      <c r="F77" s="36"/>
      <c r="G77" s="37">
        <f>IF(AND(AND($N$5=1,49&lt;=$N$11),ISNUMBER(G76),ISNUMBER(E77)),G76*(1+E77),"")</f>
      </c>
      <c r="H77" s="34">
        <f>IF(NOT(AND($N$5=1,49&lt;=$N$11)),"",IF(ISNUMBER(G77),"Aplicado",IF(ISNUMBER(G76),IF($N$10=1,"Falta el IPC de "&amp;INDEX(IPC!$J$5:$J$16,MOD($N$12+1,12)+1)&amp;" de "&amp;INT(($N$12+1)/12),"Cargá el % de este ajuste en la columna F"),"")))</f>
      </c>
      <c r="J77">
        <f>IF($N$5=1,$N$7+49*$N$8,"")</f>
      </c>
      <c r="K77">
        <f>IF($N$5=1,J77-1-$N$9,"")</f>
      </c>
      <c r="L77">
        <f>IF($N$5=1,K77-$N$8,"")</f>
      </c>
    </row>
    <row r="78" spans="1:12" x14ac:dyDescent="0.25">
      <c r="A78" s="31">
        <f>IF(AND($N$5=1,50&lt;=$N$11),"50° ajuste","")</f>
      </c>
      <c r="B78" s="31">
        <f>IF(AND($N$5=1,50&lt;=$N$11),INDEX(IPC!$J$5:$J$16,MOD(J78,12)+1)&amp;" de "&amp;INT((J78)/12),"")</f>
      </c>
      <c r="C78" s="31">
        <f>IF(AND(AND($N$5=1,50&lt;=$N$11),$N$10=1),INDEX(IPC!$J$5:$J$16,MOD(L78,12)+1)&amp;" de "&amp;INT((L78)/12),"")</f>
      </c>
      <c r="D78" s="31">
        <f>IF(AND(AND($N$5=1,50&lt;=$N$11),$N$10=1),INDEX(IPC!$J$5:$J$16,MOD(K78,12)+1)&amp;" de "&amp;INT((K78)/12),"")</f>
      </c>
      <c r="E78" s="38">
        <f>IF(NOT(AND($N$5=1,50&lt;=$N$11)),"",IF($N$10=1,IF(AND($N$14=1,K78&lt;=$N$12),INDEX(IPC!$D$5:$D$173,(K78)-IPC!$J$2+1)/INDEX(IPC!$D$5:$D$173,(L78)-IPC!$J$2+1)-1,""),IF(ISNUMBER(F78),F78/100,"")))</f>
      </c>
      <c r="F78" s="36"/>
      <c r="G78" s="33">
        <f>IF(AND(AND($N$5=1,50&lt;=$N$11),ISNUMBER(G77),ISNUMBER(E78)),G77*(1+E78),"")</f>
      </c>
      <c r="H78" s="31">
        <f>IF(NOT(AND($N$5=1,50&lt;=$N$11)),"",IF(ISNUMBER(G78),"Aplicado",IF(ISNUMBER(G77),IF($N$10=1,"Falta el IPC de "&amp;INDEX(IPC!$J$5:$J$16,MOD($N$12+1,12)+1)&amp;" de "&amp;INT(($N$12+1)/12),"Cargá el % de este ajuste en la columna F"),"")))</f>
      </c>
      <c r="J78">
        <f>IF($N$5=1,$N$7+50*$N$8,"")</f>
      </c>
      <c r="K78">
        <f>IF($N$5=1,J78-1-$N$9,"")</f>
      </c>
      <c r="L78">
        <f>IF($N$5=1,K78-$N$8,"")</f>
      </c>
    </row>
    <row r="79" spans="1:12" x14ac:dyDescent="0.25">
      <c r="A79" s="34">
        <f>IF(AND($N$5=1,51&lt;=$N$11),"51° ajuste","")</f>
      </c>
      <c r="B79" s="34">
        <f>IF(AND($N$5=1,51&lt;=$N$11),INDEX(IPC!$J$5:$J$16,MOD(J79,12)+1)&amp;" de "&amp;INT((J79)/12),"")</f>
      </c>
      <c r="C79" s="34">
        <f>IF(AND(AND($N$5=1,51&lt;=$N$11),$N$10=1),INDEX(IPC!$J$5:$J$16,MOD(L79,12)+1)&amp;" de "&amp;INT((L79)/12),"")</f>
      </c>
      <c r="D79" s="34">
        <f>IF(AND(AND($N$5=1,51&lt;=$N$11),$N$10=1),INDEX(IPC!$J$5:$J$16,MOD(K79,12)+1)&amp;" de "&amp;INT((K79)/12),"")</f>
      </c>
      <c r="E79" s="35">
        <f>IF(NOT(AND($N$5=1,51&lt;=$N$11)),"",IF($N$10=1,IF(AND($N$14=1,K79&lt;=$N$12),INDEX(IPC!$D$5:$D$173,(K79)-IPC!$J$2+1)/INDEX(IPC!$D$5:$D$173,(L79)-IPC!$J$2+1)-1,""),IF(ISNUMBER(F79),F79/100,"")))</f>
      </c>
      <c r="F79" s="36"/>
      <c r="G79" s="37">
        <f>IF(AND(AND($N$5=1,51&lt;=$N$11),ISNUMBER(G78),ISNUMBER(E79)),G78*(1+E79),"")</f>
      </c>
      <c r="H79" s="34">
        <f>IF(NOT(AND($N$5=1,51&lt;=$N$11)),"",IF(ISNUMBER(G79),"Aplicado",IF(ISNUMBER(G78),IF($N$10=1,"Falta el IPC de "&amp;INDEX(IPC!$J$5:$J$16,MOD($N$12+1,12)+1)&amp;" de "&amp;INT(($N$12+1)/12),"Cargá el % de este ajuste en la columna F"),"")))</f>
      </c>
      <c r="J79">
        <f>IF($N$5=1,$N$7+51*$N$8,"")</f>
      </c>
      <c r="K79">
        <f>IF($N$5=1,J79-1-$N$9,"")</f>
      </c>
      <c r="L79">
        <f>IF($N$5=1,K79-$N$8,"")</f>
      </c>
    </row>
    <row r="80" spans="1:12" x14ac:dyDescent="0.25">
      <c r="A80" s="31">
        <f>IF(AND($N$5=1,52&lt;=$N$11),"52° ajuste","")</f>
      </c>
      <c r="B80" s="31">
        <f>IF(AND($N$5=1,52&lt;=$N$11),INDEX(IPC!$J$5:$J$16,MOD(J80,12)+1)&amp;" de "&amp;INT((J80)/12),"")</f>
      </c>
      <c r="C80" s="31">
        <f>IF(AND(AND($N$5=1,52&lt;=$N$11),$N$10=1),INDEX(IPC!$J$5:$J$16,MOD(L80,12)+1)&amp;" de "&amp;INT((L80)/12),"")</f>
      </c>
      <c r="D80" s="31">
        <f>IF(AND(AND($N$5=1,52&lt;=$N$11),$N$10=1),INDEX(IPC!$J$5:$J$16,MOD(K80,12)+1)&amp;" de "&amp;INT((K80)/12),"")</f>
      </c>
      <c r="E80" s="38">
        <f>IF(NOT(AND($N$5=1,52&lt;=$N$11)),"",IF($N$10=1,IF(AND($N$14=1,K80&lt;=$N$12),INDEX(IPC!$D$5:$D$173,(K80)-IPC!$J$2+1)/INDEX(IPC!$D$5:$D$173,(L80)-IPC!$J$2+1)-1,""),IF(ISNUMBER(F80),F80/100,"")))</f>
      </c>
      <c r="F80" s="36"/>
      <c r="G80" s="33">
        <f>IF(AND(AND($N$5=1,52&lt;=$N$11),ISNUMBER(G79),ISNUMBER(E80)),G79*(1+E80),"")</f>
      </c>
      <c r="H80" s="31">
        <f>IF(NOT(AND($N$5=1,52&lt;=$N$11)),"",IF(ISNUMBER(G80),"Aplicado",IF(ISNUMBER(G79),IF($N$10=1,"Falta el IPC de "&amp;INDEX(IPC!$J$5:$J$16,MOD($N$12+1,12)+1)&amp;" de "&amp;INT(($N$12+1)/12),"Cargá el % de este ajuste en la columna F"),"")))</f>
      </c>
      <c r="J80">
        <f>IF($N$5=1,$N$7+52*$N$8,"")</f>
      </c>
      <c r="K80">
        <f>IF($N$5=1,J80-1-$N$9,"")</f>
      </c>
      <c r="L80">
        <f>IF($N$5=1,K80-$N$8,"")</f>
      </c>
    </row>
    <row r="81" spans="1:12" x14ac:dyDescent="0.25">
      <c r="A81" s="34">
        <f>IF(AND($N$5=1,53&lt;=$N$11),"53° ajuste","")</f>
      </c>
      <c r="B81" s="34">
        <f>IF(AND($N$5=1,53&lt;=$N$11),INDEX(IPC!$J$5:$J$16,MOD(J81,12)+1)&amp;" de "&amp;INT((J81)/12),"")</f>
      </c>
      <c r="C81" s="34">
        <f>IF(AND(AND($N$5=1,53&lt;=$N$11),$N$10=1),INDEX(IPC!$J$5:$J$16,MOD(L81,12)+1)&amp;" de "&amp;INT((L81)/12),"")</f>
      </c>
      <c r="D81" s="34">
        <f>IF(AND(AND($N$5=1,53&lt;=$N$11),$N$10=1),INDEX(IPC!$J$5:$J$16,MOD(K81,12)+1)&amp;" de "&amp;INT((K81)/12),"")</f>
      </c>
      <c r="E81" s="35">
        <f>IF(NOT(AND($N$5=1,53&lt;=$N$11)),"",IF($N$10=1,IF(AND($N$14=1,K81&lt;=$N$12),INDEX(IPC!$D$5:$D$173,(K81)-IPC!$J$2+1)/INDEX(IPC!$D$5:$D$173,(L81)-IPC!$J$2+1)-1,""),IF(ISNUMBER(F81),F81/100,"")))</f>
      </c>
      <c r="F81" s="36"/>
      <c r="G81" s="37">
        <f>IF(AND(AND($N$5=1,53&lt;=$N$11),ISNUMBER(G80),ISNUMBER(E81)),G80*(1+E81),"")</f>
      </c>
      <c r="H81" s="34">
        <f>IF(NOT(AND($N$5=1,53&lt;=$N$11)),"",IF(ISNUMBER(G81),"Aplicado",IF(ISNUMBER(G80),IF($N$10=1,"Falta el IPC de "&amp;INDEX(IPC!$J$5:$J$16,MOD($N$12+1,12)+1)&amp;" de "&amp;INT(($N$12+1)/12),"Cargá el % de este ajuste en la columna F"),"")))</f>
      </c>
      <c r="J81">
        <f>IF($N$5=1,$N$7+53*$N$8,"")</f>
      </c>
      <c r="K81">
        <f>IF($N$5=1,J81-1-$N$9,"")</f>
      </c>
      <c r="L81">
        <f>IF($N$5=1,K81-$N$8,"")</f>
      </c>
    </row>
    <row r="82" spans="1:12" x14ac:dyDescent="0.25">
      <c r="A82" s="31">
        <f>IF(AND($N$5=1,54&lt;=$N$11),"54° ajuste","")</f>
      </c>
      <c r="B82" s="31">
        <f>IF(AND($N$5=1,54&lt;=$N$11),INDEX(IPC!$J$5:$J$16,MOD(J82,12)+1)&amp;" de "&amp;INT((J82)/12),"")</f>
      </c>
      <c r="C82" s="31">
        <f>IF(AND(AND($N$5=1,54&lt;=$N$11),$N$10=1),INDEX(IPC!$J$5:$J$16,MOD(L82,12)+1)&amp;" de "&amp;INT((L82)/12),"")</f>
      </c>
      <c r="D82" s="31">
        <f>IF(AND(AND($N$5=1,54&lt;=$N$11),$N$10=1),INDEX(IPC!$J$5:$J$16,MOD(K82,12)+1)&amp;" de "&amp;INT((K82)/12),"")</f>
      </c>
      <c r="E82" s="38">
        <f>IF(NOT(AND($N$5=1,54&lt;=$N$11)),"",IF($N$10=1,IF(AND($N$14=1,K82&lt;=$N$12),INDEX(IPC!$D$5:$D$173,(K82)-IPC!$J$2+1)/INDEX(IPC!$D$5:$D$173,(L82)-IPC!$J$2+1)-1,""),IF(ISNUMBER(F82),F82/100,"")))</f>
      </c>
      <c r="F82" s="36"/>
      <c r="G82" s="33">
        <f>IF(AND(AND($N$5=1,54&lt;=$N$11),ISNUMBER(G81),ISNUMBER(E82)),G81*(1+E82),"")</f>
      </c>
      <c r="H82" s="31">
        <f>IF(NOT(AND($N$5=1,54&lt;=$N$11)),"",IF(ISNUMBER(G82),"Aplicado",IF(ISNUMBER(G81),IF($N$10=1,"Falta el IPC de "&amp;INDEX(IPC!$J$5:$J$16,MOD($N$12+1,12)+1)&amp;" de "&amp;INT(($N$12+1)/12),"Cargá el % de este ajuste en la columna F"),"")))</f>
      </c>
      <c r="J82">
        <f>IF($N$5=1,$N$7+54*$N$8,"")</f>
      </c>
      <c r="K82">
        <f>IF($N$5=1,J82-1-$N$9,"")</f>
      </c>
      <c r="L82">
        <f>IF($N$5=1,K82-$N$8,"")</f>
      </c>
    </row>
    <row r="83" spans="1:12" x14ac:dyDescent="0.25">
      <c r="A83" s="34">
        <f>IF(AND($N$5=1,55&lt;=$N$11),"55° ajuste","")</f>
      </c>
      <c r="B83" s="34">
        <f>IF(AND($N$5=1,55&lt;=$N$11),INDEX(IPC!$J$5:$J$16,MOD(J83,12)+1)&amp;" de "&amp;INT((J83)/12),"")</f>
      </c>
      <c r="C83" s="34">
        <f>IF(AND(AND($N$5=1,55&lt;=$N$11),$N$10=1),INDEX(IPC!$J$5:$J$16,MOD(L83,12)+1)&amp;" de "&amp;INT((L83)/12),"")</f>
      </c>
      <c r="D83" s="34">
        <f>IF(AND(AND($N$5=1,55&lt;=$N$11),$N$10=1),INDEX(IPC!$J$5:$J$16,MOD(K83,12)+1)&amp;" de "&amp;INT((K83)/12),"")</f>
      </c>
      <c r="E83" s="35">
        <f>IF(NOT(AND($N$5=1,55&lt;=$N$11)),"",IF($N$10=1,IF(AND($N$14=1,K83&lt;=$N$12),INDEX(IPC!$D$5:$D$173,(K83)-IPC!$J$2+1)/INDEX(IPC!$D$5:$D$173,(L83)-IPC!$J$2+1)-1,""),IF(ISNUMBER(F83),F83/100,"")))</f>
      </c>
      <c r="F83" s="36"/>
      <c r="G83" s="37">
        <f>IF(AND(AND($N$5=1,55&lt;=$N$11),ISNUMBER(G82),ISNUMBER(E83)),G82*(1+E83),"")</f>
      </c>
      <c r="H83" s="34">
        <f>IF(NOT(AND($N$5=1,55&lt;=$N$11)),"",IF(ISNUMBER(G83),"Aplicado",IF(ISNUMBER(G82),IF($N$10=1,"Falta el IPC de "&amp;INDEX(IPC!$J$5:$J$16,MOD($N$12+1,12)+1)&amp;" de "&amp;INT(($N$12+1)/12),"Cargá el % de este ajuste en la columna F"),"")))</f>
      </c>
      <c r="J83">
        <f>IF($N$5=1,$N$7+55*$N$8,"")</f>
      </c>
      <c r="K83">
        <f>IF($N$5=1,J83-1-$N$9,"")</f>
      </c>
      <c r="L83">
        <f>IF($N$5=1,K83-$N$8,"")</f>
      </c>
    </row>
    <row r="84" spans="1:12" x14ac:dyDescent="0.25">
      <c r="A84" s="31">
        <f>IF(AND($N$5=1,56&lt;=$N$11),"56° ajuste","")</f>
      </c>
      <c r="B84" s="31">
        <f>IF(AND($N$5=1,56&lt;=$N$11),INDEX(IPC!$J$5:$J$16,MOD(J84,12)+1)&amp;" de "&amp;INT((J84)/12),"")</f>
      </c>
      <c r="C84" s="31">
        <f>IF(AND(AND($N$5=1,56&lt;=$N$11),$N$10=1),INDEX(IPC!$J$5:$J$16,MOD(L84,12)+1)&amp;" de "&amp;INT((L84)/12),"")</f>
      </c>
      <c r="D84" s="31">
        <f>IF(AND(AND($N$5=1,56&lt;=$N$11),$N$10=1),INDEX(IPC!$J$5:$J$16,MOD(K84,12)+1)&amp;" de "&amp;INT((K84)/12),"")</f>
      </c>
      <c r="E84" s="38">
        <f>IF(NOT(AND($N$5=1,56&lt;=$N$11)),"",IF($N$10=1,IF(AND($N$14=1,K84&lt;=$N$12),INDEX(IPC!$D$5:$D$173,(K84)-IPC!$J$2+1)/INDEX(IPC!$D$5:$D$173,(L84)-IPC!$J$2+1)-1,""),IF(ISNUMBER(F84),F84/100,"")))</f>
      </c>
      <c r="F84" s="36"/>
      <c r="G84" s="33">
        <f>IF(AND(AND($N$5=1,56&lt;=$N$11),ISNUMBER(G83),ISNUMBER(E84)),G83*(1+E84),"")</f>
      </c>
      <c r="H84" s="31">
        <f>IF(NOT(AND($N$5=1,56&lt;=$N$11)),"",IF(ISNUMBER(G84),"Aplicado",IF(ISNUMBER(G83),IF($N$10=1,"Falta el IPC de "&amp;INDEX(IPC!$J$5:$J$16,MOD($N$12+1,12)+1)&amp;" de "&amp;INT(($N$12+1)/12),"Cargá el % de este ajuste en la columna F"),"")))</f>
      </c>
      <c r="J84">
        <f>IF($N$5=1,$N$7+56*$N$8,"")</f>
      </c>
      <c r="K84">
        <f>IF($N$5=1,J84-1-$N$9,"")</f>
      </c>
      <c r="L84">
        <f>IF($N$5=1,K84-$N$8,"")</f>
      </c>
    </row>
    <row r="85" spans="1:12" x14ac:dyDescent="0.25">
      <c r="A85" s="34">
        <f>IF(AND($N$5=1,57&lt;=$N$11),"57° ajuste","")</f>
      </c>
      <c r="B85" s="34">
        <f>IF(AND($N$5=1,57&lt;=$N$11),INDEX(IPC!$J$5:$J$16,MOD(J85,12)+1)&amp;" de "&amp;INT((J85)/12),"")</f>
      </c>
      <c r="C85" s="34">
        <f>IF(AND(AND($N$5=1,57&lt;=$N$11),$N$10=1),INDEX(IPC!$J$5:$J$16,MOD(L85,12)+1)&amp;" de "&amp;INT((L85)/12),"")</f>
      </c>
      <c r="D85" s="34">
        <f>IF(AND(AND($N$5=1,57&lt;=$N$11),$N$10=1),INDEX(IPC!$J$5:$J$16,MOD(K85,12)+1)&amp;" de "&amp;INT((K85)/12),"")</f>
      </c>
      <c r="E85" s="35">
        <f>IF(NOT(AND($N$5=1,57&lt;=$N$11)),"",IF($N$10=1,IF(AND($N$14=1,K85&lt;=$N$12),INDEX(IPC!$D$5:$D$173,(K85)-IPC!$J$2+1)/INDEX(IPC!$D$5:$D$173,(L85)-IPC!$J$2+1)-1,""),IF(ISNUMBER(F85),F85/100,"")))</f>
      </c>
      <c r="F85" s="36"/>
      <c r="G85" s="37">
        <f>IF(AND(AND($N$5=1,57&lt;=$N$11),ISNUMBER(G84),ISNUMBER(E85)),G84*(1+E85),"")</f>
      </c>
      <c r="H85" s="34">
        <f>IF(NOT(AND($N$5=1,57&lt;=$N$11)),"",IF(ISNUMBER(G85),"Aplicado",IF(ISNUMBER(G84),IF($N$10=1,"Falta el IPC de "&amp;INDEX(IPC!$J$5:$J$16,MOD($N$12+1,12)+1)&amp;" de "&amp;INT(($N$12+1)/12),"Cargá el % de este ajuste en la columna F"),"")))</f>
      </c>
      <c r="J85">
        <f>IF($N$5=1,$N$7+57*$N$8,"")</f>
      </c>
      <c r="K85">
        <f>IF($N$5=1,J85-1-$N$9,"")</f>
      </c>
      <c r="L85">
        <f>IF($N$5=1,K85-$N$8,"")</f>
      </c>
    </row>
    <row r="86" spans="1:12" x14ac:dyDescent="0.25">
      <c r="A86" s="31">
        <f>IF(AND($N$5=1,58&lt;=$N$11),"58° ajuste","")</f>
      </c>
      <c r="B86" s="31">
        <f>IF(AND($N$5=1,58&lt;=$N$11),INDEX(IPC!$J$5:$J$16,MOD(J86,12)+1)&amp;" de "&amp;INT((J86)/12),"")</f>
      </c>
      <c r="C86" s="31">
        <f>IF(AND(AND($N$5=1,58&lt;=$N$11),$N$10=1),INDEX(IPC!$J$5:$J$16,MOD(L86,12)+1)&amp;" de "&amp;INT((L86)/12),"")</f>
      </c>
      <c r="D86" s="31">
        <f>IF(AND(AND($N$5=1,58&lt;=$N$11),$N$10=1),INDEX(IPC!$J$5:$J$16,MOD(K86,12)+1)&amp;" de "&amp;INT((K86)/12),"")</f>
      </c>
      <c r="E86" s="38">
        <f>IF(NOT(AND($N$5=1,58&lt;=$N$11)),"",IF($N$10=1,IF(AND($N$14=1,K86&lt;=$N$12),INDEX(IPC!$D$5:$D$173,(K86)-IPC!$J$2+1)/INDEX(IPC!$D$5:$D$173,(L86)-IPC!$J$2+1)-1,""),IF(ISNUMBER(F86),F86/100,"")))</f>
      </c>
      <c r="F86" s="36"/>
      <c r="G86" s="33">
        <f>IF(AND(AND($N$5=1,58&lt;=$N$11),ISNUMBER(G85),ISNUMBER(E86)),G85*(1+E86),"")</f>
      </c>
      <c r="H86" s="31">
        <f>IF(NOT(AND($N$5=1,58&lt;=$N$11)),"",IF(ISNUMBER(G86),"Aplicado",IF(ISNUMBER(G85),IF($N$10=1,"Falta el IPC de "&amp;INDEX(IPC!$J$5:$J$16,MOD($N$12+1,12)+1)&amp;" de "&amp;INT(($N$12+1)/12),"Cargá el % de este ajuste en la columna F"),"")))</f>
      </c>
      <c r="J86">
        <f>IF($N$5=1,$N$7+58*$N$8,"")</f>
      </c>
      <c r="K86">
        <f>IF($N$5=1,J86-1-$N$9,"")</f>
      </c>
      <c r="L86">
        <f>IF($N$5=1,K86-$N$8,"")</f>
      </c>
    </row>
    <row r="87" spans="1:12" x14ac:dyDescent="0.25">
      <c r="A87" s="34">
        <f>IF(AND($N$5=1,59&lt;=$N$11),"59° ajuste","")</f>
      </c>
      <c r="B87" s="34">
        <f>IF(AND($N$5=1,59&lt;=$N$11),INDEX(IPC!$J$5:$J$16,MOD(J87,12)+1)&amp;" de "&amp;INT((J87)/12),"")</f>
      </c>
      <c r="C87" s="34">
        <f>IF(AND(AND($N$5=1,59&lt;=$N$11),$N$10=1),INDEX(IPC!$J$5:$J$16,MOD(L87,12)+1)&amp;" de "&amp;INT((L87)/12),"")</f>
      </c>
      <c r="D87" s="34">
        <f>IF(AND(AND($N$5=1,59&lt;=$N$11),$N$10=1),INDEX(IPC!$J$5:$J$16,MOD(K87,12)+1)&amp;" de "&amp;INT((K87)/12),"")</f>
      </c>
      <c r="E87" s="35">
        <f>IF(NOT(AND($N$5=1,59&lt;=$N$11)),"",IF($N$10=1,IF(AND($N$14=1,K87&lt;=$N$12),INDEX(IPC!$D$5:$D$173,(K87)-IPC!$J$2+1)/INDEX(IPC!$D$5:$D$173,(L87)-IPC!$J$2+1)-1,""),IF(ISNUMBER(F87),F87/100,"")))</f>
      </c>
      <c r="F87" s="36"/>
      <c r="G87" s="37">
        <f>IF(AND(AND($N$5=1,59&lt;=$N$11),ISNUMBER(G86),ISNUMBER(E87)),G86*(1+E87),"")</f>
      </c>
      <c r="H87" s="34">
        <f>IF(NOT(AND($N$5=1,59&lt;=$N$11)),"",IF(ISNUMBER(G87),"Aplicado",IF(ISNUMBER(G86),IF($N$10=1,"Falta el IPC de "&amp;INDEX(IPC!$J$5:$J$16,MOD($N$12+1,12)+1)&amp;" de "&amp;INT(($N$12+1)/12),"Cargá el % de este ajuste en la columna F"),"")))</f>
      </c>
      <c r="J87">
        <f>IF($N$5=1,$N$7+59*$N$8,"")</f>
      </c>
      <c r="K87">
        <f>IF($N$5=1,J87-1-$N$9,"")</f>
      </c>
      <c r="L87">
        <f>IF($N$5=1,K87-$N$8,"")</f>
      </c>
    </row>
    <row r="88" spans="1:12" x14ac:dyDescent="0.25">
      <c r="A88" s="31">
        <f>IF(AND($N$5=1,60&lt;=$N$11),"60° ajuste","")</f>
      </c>
      <c r="B88" s="31">
        <f>IF(AND($N$5=1,60&lt;=$N$11),INDEX(IPC!$J$5:$J$16,MOD(J88,12)+1)&amp;" de "&amp;INT((J88)/12),"")</f>
      </c>
      <c r="C88" s="31">
        <f>IF(AND(AND($N$5=1,60&lt;=$N$11),$N$10=1),INDEX(IPC!$J$5:$J$16,MOD(L88,12)+1)&amp;" de "&amp;INT((L88)/12),"")</f>
      </c>
      <c r="D88" s="31">
        <f>IF(AND(AND($N$5=1,60&lt;=$N$11),$N$10=1),INDEX(IPC!$J$5:$J$16,MOD(K88,12)+1)&amp;" de "&amp;INT((K88)/12),"")</f>
      </c>
      <c r="E88" s="38">
        <f>IF(NOT(AND($N$5=1,60&lt;=$N$11)),"",IF($N$10=1,IF(AND($N$14=1,K88&lt;=$N$12),INDEX(IPC!$D$5:$D$173,(K88)-IPC!$J$2+1)/INDEX(IPC!$D$5:$D$173,(L88)-IPC!$J$2+1)-1,""),IF(ISNUMBER(F88),F88/100,"")))</f>
      </c>
      <c r="F88" s="36"/>
      <c r="G88" s="33">
        <f>IF(AND(AND($N$5=1,60&lt;=$N$11),ISNUMBER(G87),ISNUMBER(E88)),G87*(1+E88),"")</f>
      </c>
      <c r="H88" s="31">
        <f>IF(NOT(AND($N$5=1,60&lt;=$N$11)),"",IF(ISNUMBER(G88),"Aplicado",IF(ISNUMBER(G87),IF($N$10=1,"Falta el IPC de "&amp;INDEX(IPC!$J$5:$J$16,MOD($N$12+1,12)+1)&amp;" de "&amp;INT(($N$12+1)/12),"Cargá el % de este ajuste en la columna F"),"")))</f>
      </c>
      <c r="J88">
        <f>IF($N$5=1,$N$7+60*$N$8,"")</f>
      </c>
      <c r="K88">
        <f>IF($N$5=1,J88-1-$N$9,"")</f>
      </c>
      <c r="L88">
        <f>IF($N$5=1,K88-$N$8,"")</f>
      </c>
    </row>
    <row r="90" ht="40" customHeight="1" spans="1:8" x14ac:dyDescent="0.25">
      <c r="A90" s="9" t="s">
        <v>75</v>
      </c>
      <c r="B90" s="9"/>
      <c r="C90" s="9"/>
      <c r="D90" s="9"/>
      <c r="E90" s="9"/>
      <c r="F90" s="9"/>
      <c r="G90" s="9"/>
      <c r="H90" s="9"/>
    </row>
  </sheetData>
  <sheetProtection sheet="1" formatColumns="0" formatRows="0"/>
  <mergeCells count="11">
    <mergeCell ref="A1:H1"/>
    <mergeCell ref="A2:H2"/>
    <mergeCell ref="A4:B4"/>
    <mergeCell ref="C8:H8"/>
    <mergeCell ref="C12:H12"/>
    <mergeCell ref="C13:H13"/>
    <mergeCell ref="C14:H14"/>
    <mergeCell ref="A16:B16"/>
    <mergeCell ref="B24:H24"/>
    <mergeCell ref="A26:H26"/>
    <mergeCell ref="A90:H90"/>
  </mergeCells>
  <dataValidations count="8">
    <dataValidation type="whole" showErrorMessage="1" error="La duración va en meses, entre 1 y 60. Un contrato de dos años son 24." sqref="B10">
      <formula1>1</formula1>
      <formula2>60</formula2>
    </dataValidation>
    <dataValidation type="decimal" allowBlank="1" showErrorMessage="1" error="Escribí el alquiler del primer mes, sin puntos ni signo $. Por ejemplo: 500000." sqref="B11">
      <formula1>1</formula1>
      <formula2>10000000000</formula2>
    </dataValidation>
    <dataValidation type="list" showErrorMessage="1" error="Elegí una opción de la lista." sqref="B12">
      <formula1>"IPC (INDEC),Otro índice (cargo el %)"</formula1>
    </dataValidation>
    <dataValidation type="whole" showErrorMessage="1" error="Escribí cada cuántos meses se ajusta: 3, 4, 6 o 12 son los más comunes." sqref="B13">
      <formula1>1</formula1>
      <formula2>12</formula2>
    </dataValidation>
    <dataValidation type="list" showErrorMessage="1" error="Elegí una opción de la lista." sqref="B14">
      <formula1>"Los completos antes del ajuste,Los últimos publicados"</formula1>
    </dataValidation>
    <dataValidation type="list" showErrorMessage="1" error="Elegí un mes de la lista." sqref="B8">
      <formula1>"enero,febrero,marzo,abril,mayo,junio,julio,agosto,septiembre,octubre,noviembre,diciembre"</formula1>
    </dataValidation>
    <dataValidation type="whole" allowBlank="1" showErrorMessage="1" error="Escribí el año con cuatro cifras, entre 2017 y 2040." sqref="B9">
      <formula1>2017</formula1>
      <formula2>2040</formula2>
    </dataValidation>
    <dataValidation type="decimal" allowBlank="1" showErrorMessage="1" error="Cargá el % del ajuste como número: por ejemplo 9,32 para 9,32%." sqref="F29:F88">
      <formula1>-90</formula1>
      <formula2>500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C00"/>
    <pageSetUpPr fitToPage="1"/>
  </sheetPr>
  <dimension ref="A1:N48"/>
  <sheetFormatPr defaultRowHeight="15" outlineLevelRow="0" outlineLevelCol="0" x14ac:dyDescent="55"/>
  <cols>
    <col min="1" max="2" width="26" customWidth="1"/>
    <col min="3" max="6" width="14" customWidth="1"/>
    <col min="10" max="10" width="9" hidden="1" customWidth="1"/>
    <col min="14" max="14" width="9" hidden="1" customWidth="1"/>
  </cols>
  <sheetData>
    <row r="1" ht="28" customHeight="1" spans="1:6" x14ac:dyDescent="0.25">
      <c r="A1" s="1" t="s">
        <v>77</v>
      </c>
      <c r="B1" s="1"/>
      <c r="C1" s="1"/>
      <c r="D1" s="1"/>
      <c r="E1" s="1"/>
      <c r="F1" s="1"/>
    </row>
    <row r="3" spans="1:2" x14ac:dyDescent="0.25">
      <c r="A3" s="4" t="s">
        <v>78</v>
      </c>
      <c r="B3" s="4"/>
    </row>
    <row r="4" spans="1:2" x14ac:dyDescent="0.25">
      <c r="A4" s="19" t="s">
        <v>25</v>
      </c>
      <c r="B4" s="20" t="s">
        <v>33</v>
      </c>
    </row>
    <row r="5" spans="1:14" x14ac:dyDescent="0.25">
      <c r="A5" s="19" t="s">
        <v>79</v>
      </c>
      <c r="B5" s="20" t="s">
        <v>47</v>
      </c>
      <c r="J5" t="s">
        <v>33</v>
      </c>
      <c r="N5">
        <f>IFERROR(MATCH(B4,$J$5:$J$10,0),0)</f>
      </c>
    </row>
    <row r="6" spans="1:14" x14ac:dyDescent="0.25">
      <c r="A6" s="19" t="s">
        <v>80</v>
      </c>
      <c r="B6" s="22">
        <v>2026</v>
      </c>
      <c r="J6" t="s">
        <v>34</v>
      </c>
      <c r="N6">
        <f>IF($N$5=0,0,CHOOSE($N$5,'Contrato 1'!$N$5,'Contrato 2'!$N$5,'Contrato 3'!$N$5,'Contrato 4'!$N$5,'Contrato 5'!$N$5,'Contrato 6'!$N$5))</f>
      </c>
    </row>
    <row r="7" spans="1:14" x14ac:dyDescent="0.25">
      <c r="A7" s="19" t="s">
        <v>81</v>
      </c>
      <c r="B7" s="22">
        <v>1</v>
      </c>
      <c r="J7" t="s">
        <v>35</v>
      </c>
      <c r="N7">
        <f>CHOOSE($N$5,'Contrato 1'!$N$7,'Contrato 2'!$N$7,'Contrato 3'!$N$7,'Contrato 4'!$N$7,'Contrato 5'!$N$7,'Contrato 6'!$N$7)</f>
      </c>
    </row>
    <row r="8" spans="1:14" x14ac:dyDescent="0.25">
      <c r="A8" s="19" t="s">
        <v>82</v>
      </c>
      <c r="B8" s="20"/>
      <c r="C8" s="39" t="s">
        <v>83</v>
      </c>
      <c r="J8" t="s">
        <v>36</v>
      </c>
      <c r="N8">
        <f>CHOOSE($N$5,'Contrato 1'!$N$8,'Contrato 2'!$N$8,'Contrato 3'!$N$8,'Contrato 4'!$N$8,'Contrato 5'!$N$8,'Contrato 6'!$N$8)</f>
      </c>
    </row>
    <row r="9" spans="1:14" x14ac:dyDescent="0.25">
      <c r="A9" s="19" t="s">
        <v>84</v>
      </c>
      <c r="B9" s="23">
        <v>0</v>
      </c>
      <c r="J9" t="s">
        <v>37</v>
      </c>
      <c r="N9">
        <f>CHOOSE($N$5,'Contrato 1'!$B$10,'Contrato 2'!$B$10,'Contrato 3'!$B$10,'Contrato 4'!$B$10,'Contrato 5'!$B$10,'Contrato 6'!$B$10)</f>
      </c>
    </row>
    <row r="10" spans="1:14" x14ac:dyDescent="0.25">
      <c r="A10" s="19" t="s">
        <v>85</v>
      </c>
      <c r="B10" s="23">
        <v>0</v>
      </c>
      <c r="J10" t="s">
        <v>38</v>
      </c>
      <c r="N10">
        <f>CHOOSE($N$5,'Contrato 1'!$N$15,'Contrato 2'!$N$15,'Contrato 3'!$N$15,'Contrato 4'!$N$15,'Contrato 5'!$N$15,'Contrato 6'!$N$15)</f>
      </c>
    </row>
    <row r="11" spans="1:14" x14ac:dyDescent="0.25">
      <c r="A11" s="19" t="s">
        <v>86</v>
      </c>
      <c r="B11" s="20"/>
      <c r="N11">
        <f>IFERROR(B6*12+MATCH(B5,IPC!$J$5:$J$16,0)-1,0)</f>
      </c>
    </row>
    <row r="12" spans="1:14" x14ac:dyDescent="0.25">
      <c r="A12" s="19" t="s">
        <v>87</v>
      </c>
      <c r="B12" s="20" t="s">
        <v>88</v>
      </c>
      <c r="N12">
        <f>IF(N6=1,INT((N11-N7)/N8),0)</f>
      </c>
    </row>
    <row r="13" ht="30" customHeight="1" spans="1:14" x14ac:dyDescent="0.25">
      <c r="A13" s="29">
        <f>IF(N6&lt;&gt;1,"Ese contrato está vacío: completá primero su hoja.",IF(N13&lt;&gt;1,"Ese mes está fuera del contrato: va de "&amp;INDEX(IPC!$J$5:$J$16,MOD(N7,12)+1)&amp;" de "&amp;INT((N7)/12)&amp;" a "&amp;INDEX(IPC!$J$5:$J$16,MOD(N7+N9-1,12)+1)&amp;" de "&amp;INT((N7+N9-1)/12)&amp;".",IF(N12&gt;N10,"Todavía no se puede calcular el alquiler de "&amp;N18&amp;": falta el índice del ajuste que rige ese mes.","Listo para imprimir: abajo hay dos copias, una para tu inquilino y otra para vos.")))</f>
      </c>
      <c r="B13" s="29"/>
      <c r="C13" s="29"/>
      <c r="D13" s="29"/>
      <c r="E13" s="29"/>
      <c r="F13" s="29"/>
      <c r="N13">
        <f>IF(AND(N6=1,N11&gt;=N7,N11&lt;=N7+N9-1),1,0)</f>
      </c>
    </row>
    <row r="14" spans="14:14" x14ac:dyDescent="0.25">
      <c r="N14">
        <f>IF(AND(N13=1,N12&lt;=N10),CHOOSE($N$5,INDEX('Contrato 1'!$G$28:$G$88,N12+1),INDEX('Contrato 2'!$G$28:$G$88,N12+1),INDEX('Contrato 3'!$G$28:$G$88,N12+1),INDEX('Contrato 4'!$G$28:$G$88,N12+1),INDEX('Contrato 5'!$G$28:$G$88,N12+1),INDEX('Contrato 6'!$G$28:$G$88,N12+1)),"")</f>
      </c>
    </row>
    <row r="15" ht="28" customHeight="1" spans="1:14" x14ac:dyDescent="0.25">
      <c r="A15" s="40" t="s">
        <v>89</v>
      </c>
      <c r="B15" s="40"/>
      <c r="C15" s="40"/>
      <c r="D15" s="40"/>
      <c r="E15" s="40"/>
      <c r="F15" s="40"/>
      <c r="N15">
        <f>IF(ISNUMBER(N14),N14+IF(ISNUMBER(B9),B9,0)+IF(ISNUMBER(B10),B10,0),"")</f>
      </c>
    </row>
    <row r="16" spans="1:14" x14ac:dyDescent="0.25">
      <c r="A16" s="41">
        <f>"Recibo N° "&amp;$B$7</f>
      </c>
      <c r="B16" s="41"/>
      <c r="C16" s="41"/>
      <c r="D16" s="42">
        <f>"Fecha: "&amp;IF($B$8="","____ / ____ / ______",$B$8&amp;"")</f>
      </c>
      <c r="E16" s="42"/>
      <c r="F16" s="42"/>
      <c r="N16">
        <f>IF(ISNUMBER(N15),ROUND(N15,0),"")</f>
      </c>
    </row>
    <row r="17" spans="14:14" x14ac:dyDescent="0.25">
      <c r="N17">
        <f>IF(ISNUMBER(N16),IF(N16&gt;=1000000000,INT(N16/1000000000)&amp;"."&amp;RIGHT("00"&amp;INT(MOD(N16,1000000000)/1000000),3)&amp;"."&amp;RIGHT("00"&amp;INT(MOD(N16,1000000)/1000),3)&amp;"."&amp;RIGHT("00"&amp;INT(MOD(N16,1000)/1),3),IF(N16&gt;=1000000,INT(N16/1000000)&amp;"."&amp;RIGHT("00"&amp;INT(MOD(N16,1000000)/1000),3)&amp;"."&amp;RIGHT("00"&amp;INT(MOD(N16,1000)/1),3),IF(N16&gt;=1000,INT(N16/1000)&amp;"."&amp;RIGHT("00"&amp;INT(MOD(N16,1000)/1),3),""&amp;N16))),"")</f>
      </c>
    </row>
    <row r="18" spans="1:14" x14ac:dyDescent="0.25">
      <c r="A18" s="43">
        <f>"Recibí de "&amp;IF($N$19="","______________________",$N$19)&amp;" la suma de $ "&amp;IF(ISNUMBER($N$16),$N$17,"__________")&amp;" por el alquiler de "&amp;$N$18&amp;" del inmueble de "&amp;IF($N$20="","______________________",$N$20)&amp;", según el detalle de abajo."</f>
      </c>
      <c r="B18" s="43"/>
      <c r="C18" s="43"/>
      <c r="D18" s="43"/>
      <c r="E18" s="43"/>
      <c r="F18" s="43"/>
      <c r="N18">
        <f>INDEX(IPC!$J$5:$J$16,MOD(N11,12)+1)&amp;" de "&amp;INT((N11)/12)</f>
      </c>
    </row>
    <row r="19" spans="1:14" x14ac:dyDescent="0.25">
      <c r="A19" s="43"/>
      <c r="B19" s="43"/>
      <c r="C19" s="43"/>
      <c r="D19" s="43"/>
      <c r="E19" s="43"/>
      <c r="F19" s="43"/>
      <c r="N19">
        <f>IF(N6=1,CHOOSE($N$5,'Contrato 1'!$B$6,'Contrato 2'!$B$6,'Contrato 3'!$B$6,'Contrato 4'!$B$6,'Contrato 5'!$B$6,'Contrato 6'!$B$6)&amp;"","")</f>
      </c>
    </row>
    <row r="20" spans="1:14" x14ac:dyDescent="0.25">
      <c r="A20" s="43"/>
      <c r="B20" s="43"/>
      <c r="C20" s="43"/>
      <c r="D20" s="43"/>
      <c r="E20" s="43"/>
      <c r="F20" s="43"/>
      <c r="N20">
        <f>IF(N6=1,CHOOSE($N$5,'Contrato 1'!$B$5,'Contrato 2'!$B$5,'Contrato 3'!$B$5,'Contrato 4'!$B$5,'Contrato 5'!$B$5,'Contrato 6'!$B$5)&amp;"","")</f>
      </c>
    </row>
    <row r="21" spans="14:14" x14ac:dyDescent="0.25">
      <c r="N21">
        <f>IF(N6=1,CHOOSE($N$5,'Contrato 1'!$B$7,'Contrato 2'!$B$7,'Contrato 3'!$B$7,'Contrato 4'!$B$7,'Contrato 5'!$B$7,'Contrato 6'!$B$7)&amp;"","")</f>
      </c>
    </row>
    <row r="22" spans="1:6" x14ac:dyDescent="0.25">
      <c r="A22" s="44" t="s">
        <v>90</v>
      </c>
      <c r="B22" s="44"/>
      <c r="C22" s="44"/>
      <c r="D22" s="44"/>
      <c r="E22" s="45" t="s">
        <v>91</v>
      </c>
      <c r="F22" s="45"/>
    </row>
    <row r="23" spans="1:6" x14ac:dyDescent="0.25">
      <c r="A23" s="46">
        <f>"Alquiler de "&amp;$N$18</f>
      </c>
      <c r="B23" s="46"/>
      <c r="C23" s="46"/>
      <c r="D23" s="46"/>
      <c r="E23" s="33">
        <f>$N$14</f>
      </c>
      <c r="F23" s="33"/>
    </row>
    <row r="24" spans="1:6" x14ac:dyDescent="0.25">
      <c r="A24" s="46" t="s">
        <v>92</v>
      </c>
      <c r="B24" s="46"/>
      <c r="C24" s="46"/>
      <c r="D24" s="46"/>
      <c r="E24" s="33">
        <f>IF(ISNUMBER($B$9),$B$9,0)</f>
      </c>
      <c r="F24" s="33"/>
    </row>
    <row r="25" spans="1:6" x14ac:dyDescent="0.25">
      <c r="A25" s="46">
        <f>IF($B$11="","Otros conceptos",$B$11&amp;"")</f>
      </c>
      <c r="B25" s="46"/>
      <c r="C25" s="46"/>
      <c r="D25" s="46"/>
      <c r="E25" s="33">
        <f>IF(ISNUMBER($B$10),$B$10,0)</f>
      </c>
      <c r="F25" s="33"/>
    </row>
    <row r="26" spans="1:6" x14ac:dyDescent="0.25">
      <c r="A26" s="47" t="s">
        <v>93</v>
      </c>
      <c r="B26" s="47"/>
      <c r="C26" s="47"/>
      <c r="D26" s="47"/>
      <c r="E26" s="24">
        <f>$N$15</f>
      </c>
      <c r="F26" s="24"/>
    </row>
    <row r="27" spans="1:6" x14ac:dyDescent="0.25">
      <c r="A27">
        <f>"Forma de pago: "&amp;$B$12</f>
      </c>
      <c r="B27"/>
      <c r="C27"/>
      <c r="D27"/>
      <c r="E27"/>
      <c r="F27"/>
    </row>
    <row r="29" spans="4:6" x14ac:dyDescent="0.25">
      <c r="D29" s="48" t="s">
        <v>94</v>
      </c>
      <c r="E29" s="48"/>
      <c r="F29" s="48"/>
    </row>
    <row r="30" spans="4:6" x14ac:dyDescent="0.25">
      <c r="D30" s="49">
        <f>"Firma y aclaración"&amp;IF($N$21="","",": "&amp;$N$21)</f>
      </c>
      <c r="E30" s="49"/>
      <c r="F30" s="49"/>
    </row>
    <row r="33" ht="28" customHeight="1" spans="1:6" x14ac:dyDescent="0.25">
      <c r="A33" s="40" t="s">
        <v>95</v>
      </c>
      <c r="B33" s="40"/>
      <c r="C33" s="40"/>
      <c r="D33" s="40"/>
      <c r="E33" s="40"/>
      <c r="F33" s="40"/>
    </row>
    <row r="34" spans="1:6" x14ac:dyDescent="0.25">
      <c r="A34" s="41">
        <f>"Recibo N° "&amp;$B$7</f>
      </c>
      <c r="B34" s="41"/>
      <c r="C34" s="41"/>
      <c r="D34" s="42">
        <f>"Fecha: "&amp;IF($B$8="","____ / ____ / ______",$B$8&amp;"")</f>
      </c>
      <c r="E34" s="42"/>
      <c r="F34" s="42"/>
    </row>
    <row r="36" spans="1:6" x14ac:dyDescent="0.25">
      <c r="A36" s="43">
        <f>"Recibí de "&amp;IF($N$19="","______________________",$N$19)&amp;" la suma de $ "&amp;IF(ISNUMBER($N$16),$N$17,"__________")&amp;" por el alquiler de "&amp;$N$18&amp;" del inmueble de "&amp;IF($N$20="","______________________",$N$20)&amp;", según el detalle de abajo."</f>
      </c>
      <c r="B36" s="43"/>
      <c r="C36" s="43"/>
      <c r="D36" s="43"/>
      <c r="E36" s="43"/>
      <c r="F36" s="43"/>
    </row>
    <row r="37" spans="1:6" x14ac:dyDescent="0.25">
      <c r="A37" s="43"/>
      <c r="B37" s="43"/>
      <c r="C37" s="43"/>
      <c r="D37" s="43"/>
      <c r="E37" s="43"/>
      <c r="F37" s="43"/>
    </row>
    <row r="38" spans="1:6" x14ac:dyDescent="0.25">
      <c r="A38" s="43"/>
      <c r="B38" s="43"/>
      <c r="C38" s="43"/>
      <c r="D38" s="43"/>
      <c r="E38" s="43"/>
      <c r="F38" s="43"/>
    </row>
    <row r="40" spans="1:6" x14ac:dyDescent="0.25">
      <c r="A40" s="44" t="s">
        <v>90</v>
      </c>
      <c r="B40" s="44"/>
      <c r="C40" s="44"/>
      <c r="D40" s="44"/>
      <c r="E40" s="45" t="s">
        <v>91</v>
      </c>
      <c r="F40" s="45"/>
    </row>
    <row r="41" spans="1:6" x14ac:dyDescent="0.25">
      <c r="A41" s="46">
        <f>"Alquiler de "&amp;$N$18</f>
      </c>
      <c r="B41" s="46"/>
      <c r="C41" s="46"/>
      <c r="D41" s="46"/>
      <c r="E41" s="33">
        <f>$N$14</f>
      </c>
      <c r="F41" s="33"/>
    </row>
    <row r="42" spans="1:6" x14ac:dyDescent="0.25">
      <c r="A42" s="46" t="s">
        <v>92</v>
      </c>
      <c r="B42" s="46"/>
      <c r="C42" s="46"/>
      <c r="D42" s="46"/>
      <c r="E42" s="33">
        <f>IF(ISNUMBER($B$9),$B$9,0)</f>
      </c>
      <c r="F42" s="33"/>
    </row>
    <row r="43" spans="1:6" x14ac:dyDescent="0.25">
      <c r="A43" s="46">
        <f>IF($B$11="","Otros conceptos",$B$11&amp;"")</f>
      </c>
      <c r="B43" s="46"/>
      <c r="C43" s="46"/>
      <c r="D43" s="46"/>
      <c r="E43" s="33">
        <f>IF(ISNUMBER($B$10),$B$10,0)</f>
      </c>
      <c r="F43" s="33"/>
    </row>
    <row r="44" spans="1:6" x14ac:dyDescent="0.25">
      <c r="A44" s="47" t="s">
        <v>93</v>
      </c>
      <c r="B44" s="47"/>
      <c r="C44" s="47"/>
      <c r="D44" s="47"/>
      <c r="E44" s="24">
        <f>$N$15</f>
      </c>
      <c r="F44" s="24"/>
    </row>
    <row r="45" spans="1:6" x14ac:dyDescent="0.25">
      <c r="A45">
        <f>"Forma de pago: "&amp;$B$12</f>
      </c>
      <c r="B45"/>
      <c r="C45"/>
      <c r="D45"/>
      <c r="E45"/>
      <c r="F45"/>
    </row>
    <row r="47" spans="4:6" x14ac:dyDescent="0.25">
      <c r="D47" s="48" t="s">
        <v>94</v>
      </c>
      <c r="E47" s="48"/>
      <c r="F47" s="48"/>
    </row>
    <row r="48" spans="4:6" x14ac:dyDescent="0.25">
      <c r="D48" s="49">
        <f>"Firma y aclaración"&amp;IF($N$21="","",": "&amp;$N$21)</f>
      </c>
      <c r="E48" s="49"/>
      <c r="F48" s="49"/>
    </row>
  </sheetData>
  <sheetProtection sheet="1" formatColumns="0" formatRows="0"/>
  <mergeCells count="37">
    <mergeCell ref="A1:F1"/>
    <mergeCell ref="A3:B3"/>
    <mergeCell ref="A13:F13"/>
    <mergeCell ref="A15:F15"/>
    <mergeCell ref="A16:C16"/>
    <mergeCell ref="D16:F16"/>
    <mergeCell ref="A18:F20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F27"/>
    <mergeCell ref="D29:F29"/>
    <mergeCell ref="D30:F30"/>
    <mergeCell ref="A33:F33"/>
    <mergeCell ref="A34:C34"/>
    <mergeCell ref="D34:F34"/>
    <mergeCell ref="A36:F38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F45"/>
    <mergeCell ref="D47:F47"/>
    <mergeCell ref="D48:F48"/>
  </mergeCells>
  <dataValidations count="6">
    <dataValidation type="decimal" operator="greaterThanOrEqual" allowBlank="1" showErrorMessage="1" error="Escribí un importe sin signo $." sqref="B10">
      <formula1>0</formula1>
    </dataValidation>
    <dataValidation type="list" showErrorMessage="1" error="Elegí una opción de la lista." sqref="B12">
      <formula1>"Transferencia,Efectivo,Depósito,Otra"</formula1>
    </dataValidation>
    <dataValidation type="list" showErrorMessage="1" error="Elegí un contrato de la lista." sqref="B4">
      <formula1>"Contrato 1,Contrato 2,Contrato 3,Contrato 4,Contrato 5,Contrato 6"</formula1>
    </dataValidation>
    <dataValidation type="list" showErrorMessage="1" error="Elegí un mes de la lista." sqref="B5">
      <formula1>"enero,febrero,marzo,abril,mayo,junio,julio,agosto,septiembre,octubre,noviembre,diciembre"</formula1>
    </dataValidation>
    <dataValidation type="whole" showErrorMessage="1" error="Escribí el año con cuatro cifras." sqref="B6">
      <formula1>2017</formula1>
      <formula2>2040</formula2>
    </dataValidation>
    <dataValidation type="decimal" operator="greaterThanOrEqual" allowBlank="1" showErrorMessage="1" error="Escribí un importe sin signo $." sqref="B9:B10">
      <formula1>0</formula1>
    </dataValidation>
  </dataValidations>
  <pageMargins left="0.5" right="0.5" top="0.6" bottom="0.6" header="0.3" footer="0.3"/>
  <pageSetup paperSize="9" orientation="portrait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C00"/>
    <pageSetUpPr fitToPage="1"/>
  </sheetPr>
  <dimension ref="A1:N38"/>
  <sheetFormatPr defaultRowHeight="15" outlineLevelRow="0" outlineLevelCol="0" x14ac:dyDescent="55"/>
  <cols>
    <col min="1" max="2" width="30" customWidth="1"/>
    <col min="3" max="8" width="12" customWidth="1"/>
    <col min="10" max="10" width="9" hidden="1" customWidth="1"/>
    <col min="14" max="14" width="9" hidden="1" customWidth="1"/>
  </cols>
  <sheetData>
    <row r="1" ht="28" customHeight="1" spans="1:8" x14ac:dyDescent="0.25">
      <c r="A1" s="1" t="s">
        <v>96</v>
      </c>
      <c r="B1" s="1"/>
      <c r="C1" s="1"/>
      <c r="D1" s="1"/>
      <c r="E1" s="1"/>
      <c r="F1" s="1"/>
      <c r="G1" s="1"/>
      <c r="H1" s="1"/>
    </row>
    <row r="2" spans="1:8" x14ac:dyDescent="0.25">
      <c r="A2" s="11" t="s">
        <v>97</v>
      </c>
      <c r="B2" s="11"/>
      <c r="C2" s="11"/>
      <c r="D2" s="11"/>
      <c r="E2" s="11"/>
      <c r="F2" s="11"/>
      <c r="G2" s="11"/>
      <c r="H2" s="11"/>
    </row>
    <row r="4" spans="1:14" x14ac:dyDescent="0.25">
      <c r="A4" s="19" t="s">
        <v>25</v>
      </c>
      <c r="B4" s="20" t="s">
        <v>33</v>
      </c>
      <c r="N4">
        <f>IF(AND(N6=1,N7&gt;=1),1,0)</f>
      </c>
    </row>
    <row r="5" spans="10:14" x14ac:dyDescent="0.25">
      <c r="J5" t="s">
        <v>33</v>
      </c>
      <c r="N5">
        <f>IFERROR(MATCH(B4,$J$5:$J$10,0),0)</f>
      </c>
    </row>
    <row r="6" spans="1:14" x14ac:dyDescent="0.25">
      <c r="A6" s="4" t="s">
        <v>98</v>
      </c>
      <c r="B6" s="4"/>
      <c r="J6" t="s">
        <v>34</v>
      </c>
      <c r="N6">
        <f>IF($N$5=0,0,CHOOSE($N$5,'Contrato 1'!$N$5,'Contrato 2'!$N$5,'Contrato 3'!$N$5,'Contrato 4'!$N$5,'Contrato 5'!$N$5,'Contrato 6'!$N$5))</f>
      </c>
    </row>
    <row r="7" spans="1:14" x14ac:dyDescent="0.25">
      <c r="A7" s="19" t="s">
        <v>29</v>
      </c>
      <c r="B7" s="25">
        <f>N11</f>
      </c>
      <c r="J7" t="s">
        <v>35</v>
      </c>
      <c r="N7">
        <f>IF(N6=1,CHOOSE($N$5,'Contrato 1'!$N$15,'Contrato 2'!$N$15,'Contrato 3'!$N$15,'Contrato 4'!$N$15,'Contrato 5'!$N$15,'Contrato 6'!$N$15),0)</f>
      </c>
    </row>
    <row r="8" spans="1:14" x14ac:dyDescent="0.25">
      <c r="A8" s="19" t="s">
        <v>99</v>
      </c>
      <c r="B8" s="28">
        <f>N12</f>
      </c>
      <c r="J8" t="s">
        <v>36</v>
      </c>
      <c r="N8">
        <f>IF($N$4=1,CHOOSE($N$5,'Contrato 1'!$N$10,'Contrato 2'!$N$10,'Contrato 3'!$N$10,'Contrato 4'!$N$10,'Contrato 5'!$N$10,'Contrato 6'!$N$10),"")</f>
      </c>
    </row>
    <row r="9" spans="1:14" x14ac:dyDescent="0.25">
      <c r="A9" s="19" t="s">
        <v>100</v>
      </c>
      <c r="B9" s="24">
        <f>N13</f>
      </c>
      <c r="J9" t="s">
        <v>37</v>
      </c>
      <c r="N9">
        <f>IF($N$4=1,CHOOSE($N$5,'Contrato 1'!$N$8,'Contrato 2'!$N$8,'Contrato 3'!$N$8,'Contrato 4'!$N$8,'Contrato 5'!$N$8,'Contrato 6'!$N$8),"")</f>
      </c>
    </row>
    <row r="10" spans="1:10" x14ac:dyDescent="0.25">
      <c r="A10" s="19" t="s">
        <v>71</v>
      </c>
      <c r="B10" s="50">
        <f>N14</f>
      </c>
      <c r="J10" t="s">
        <v>38</v>
      </c>
    </row>
    <row r="11" spans="1:14" x14ac:dyDescent="0.25">
      <c r="A11" s="19" t="s">
        <v>101</v>
      </c>
      <c r="B11" s="25">
        <f>IF($N$4=1,IF(N8=1,"IPC del INDEC","El que pactaron en el contrato"),"")</f>
      </c>
      <c r="N11">
        <f>IF($N$4=1,CHOOSE($N$5,INDEX('Contrato 1'!$B$28:$B$88,N7+1),INDEX('Contrato 2'!$B$28:$B$88,N7+1),INDEX('Contrato 3'!$B$28:$B$88,N7+1),INDEX('Contrato 4'!$B$28:$B$88,N7+1),INDEX('Contrato 5'!$B$28:$B$88,N7+1),INDEX('Contrato 6'!$B$28:$B$88,N7+1)),"")</f>
      </c>
    </row>
    <row r="12" spans="1:14" x14ac:dyDescent="0.25">
      <c r="A12" s="19" t="s">
        <v>102</v>
      </c>
      <c r="B12" s="25">
        <f>IF(ISNUMBER(N17),"de "&amp;N36&amp;" a "&amp;N37,"")</f>
      </c>
      <c r="N12">
        <f>IF($N$4=1,CHOOSE($N$5,INDEX('Contrato 1'!$G$28:$G$88,N7),INDEX('Contrato 2'!$G$28:$G$88,N7),INDEX('Contrato 3'!$G$28:$G$88,N7),INDEX('Contrato 4'!$G$28:$G$88,N7),INDEX('Contrato 5'!$G$28:$G$88,N7),INDEX('Contrato 6'!$G$28:$G$88,N7)),"")</f>
      </c>
    </row>
    <row r="13" spans="1:14" x14ac:dyDescent="0.25">
      <c r="A13" s="19" t="s">
        <v>103</v>
      </c>
      <c r="B13" s="51">
        <f>N17</f>
      </c>
      <c r="N13">
        <f>IF($N$4=1,CHOOSE($N$5,INDEX('Contrato 1'!$G$28:$G$88,N7+1),INDEX('Contrato 2'!$G$28:$G$88,N7+1),INDEX('Contrato 3'!$G$28:$G$88,N7+1),INDEX('Contrato 4'!$G$28:$G$88,N7+1),INDEX('Contrato 5'!$G$28:$G$88,N7+1),INDEX('Contrato 6'!$G$28:$G$88,N7+1)),"")</f>
      </c>
    </row>
    <row r="14" spans="1:14" x14ac:dyDescent="0.25">
      <c r="A14" s="19" t="s">
        <v>104</v>
      </c>
      <c r="B14" s="51">
        <f>N18</f>
      </c>
      <c r="N14">
        <f>IF($N$4=1,CHOOSE($N$5,INDEX('Contrato 1'!$E$28:$E$88,N7+1),INDEX('Contrato 2'!$E$28:$E$88,N7+1),INDEX('Contrato 3'!$E$28:$E$88,N7+1),INDEX('Contrato 4'!$E$28:$E$88,N7+1),INDEX('Contrato 5'!$E$28:$E$88,N7+1),INDEX('Contrato 6'!$E$28:$E$88,N7+1)),"")</f>
      </c>
    </row>
    <row r="15" spans="14:14" x14ac:dyDescent="0.25">
      <c r="N15">
        <f>IF($N$4=1,CHOOSE($N$5,INDEX('Contrato 1'!$K$28:$K$88,N7+1),INDEX('Contrato 2'!$K$28:$K$88,N7+1),INDEX('Contrato 3'!$K$28:$K$88,N7+1),INDEX('Contrato 4'!$K$28:$K$88,N7+1),INDEX('Contrato 5'!$K$28:$K$88,N7+1),INDEX('Contrato 6'!$K$28:$K$88,N7+1)),"")</f>
      </c>
    </row>
    <row r="16" spans="1:14" x14ac:dyDescent="0.25">
      <c r="A16" s="4" t="s">
        <v>105</v>
      </c>
      <c r="B16" s="4"/>
      <c r="C16" s="4"/>
      <c r="D16" s="4"/>
      <c r="E16" s="4"/>
      <c r="F16" s="4"/>
      <c r="G16" s="4"/>
      <c r="H16" s="4"/>
      <c r="N16">
        <f>IF($N$4=1,CHOOSE($N$5,INDEX('Contrato 1'!$L$28:$L$88,N7+1),INDEX('Contrato 2'!$L$28:$L$88,N7+1),INDEX('Contrato 3'!$L$28:$L$88,N7+1),INDEX('Contrato 4'!$L$28:$L$88,N7+1),INDEX('Contrato 5'!$L$28:$L$88,N7+1),INDEX('Contrato 6'!$L$28:$L$88,N7+1)),"")</f>
      </c>
    </row>
    <row r="17" spans="1:14" x14ac:dyDescent="0.25">
      <c r="A17" s="52">
        <f>IF($N$4&lt;&gt;1,IF($N$6&lt;&gt;1,"Elegí un contrato que ya tenga sus datos cargados.","Este contrato todavía no tuvo ajustes: el mensaje aparece cuando se aplica el primero."),IF($N$19="","Hola:","Hola, "&amp;$N$19&amp;":")&amp;CHAR(10)&amp;CHAR(10)&amp;"Te escribo por el alquiler"&amp;IF($N$20="",""," de "&amp;$N$20)&amp;". Como dice nuestro contrato, el precio se actualiza cada "&amp;$N$9&amp;IF($N$9=1," mes"," meses")&amp;" según "&amp;IF($N$8=1,"el IPC que publica el INDEC.","el índice que pactamos.")&amp;CHAR(10)&amp;CHAR(10)&amp;"Desde "&amp;$N$11&amp;", el alquiler pasa de $ "&amp;$N$24&amp;" a $ "&amp;$N$25&amp;" por mes: "&amp;IF($N$14&lt;0,"una baja","un aumento")&amp;" de "&amp;$N$27&amp;"%."&amp;CHAR(10)&amp;CHAR(10)&amp;IF($N$8=1,"La cuenta: el IPC de "&amp;$N$37&amp;" es "&amp;$N$32&amp;" y el de "&amp;$N$36&amp;" es "&amp;$N$35&amp;". Dividiendo uno por el otro da "&amp;$N$29&amp;", o sea "&amp;$N$27&amp;"% de variación. Son los índices oficiales del INDEC (indec.gob.ar)."&amp;CHAR(10)&amp;CHAR(10),"")&amp;"Cualquier duda, escribime."&amp;CHAR(10)&amp;"Saludos"&amp;IF($N$21="",".",","&amp;CHAR(10)&amp;$N$21))</f>
      </c>
      <c r="B17" s="52"/>
      <c r="C17" s="52"/>
      <c r="D17" s="52"/>
      <c r="E17" s="52"/>
      <c r="F17" s="52"/>
      <c r="G17" s="52"/>
      <c r="H17" s="52"/>
      <c r="N17">
        <f>IF(AND($N$4=1,N8=1),INDEX(IPC!$D$5:$D$173,(N15)-IPC!$J$2+1),"")</f>
      </c>
    </row>
    <row r="18" spans="1:14" x14ac:dyDescent="0.25">
      <c r="A18" s="52"/>
      <c r="B18" s="52"/>
      <c r="C18" s="52"/>
      <c r="D18" s="52"/>
      <c r="E18" s="52"/>
      <c r="F18" s="52"/>
      <c r="G18" s="52"/>
      <c r="H18" s="52"/>
      <c r="N18">
        <f>IF(AND($N$4=1,N8=1),INDEX(IPC!$D$5:$D$173,(N16)-IPC!$J$2+1),"")</f>
      </c>
    </row>
    <row r="19" spans="1:14" x14ac:dyDescent="0.25">
      <c r="A19" s="52"/>
      <c r="B19" s="52"/>
      <c r="C19" s="52"/>
      <c r="D19" s="52"/>
      <c r="E19" s="52"/>
      <c r="F19" s="52"/>
      <c r="G19" s="52"/>
      <c r="H19" s="52"/>
      <c r="N19">
        <f>IF(N6=1,CHOOSE($N$5,'Contrato 1'!$B$6,'Contrato 2'!$B$6,'Contrato 3'!$B$6,'Contrato 4'!$B$6,'Contrato 5'!$B$6,'Contrato 6'!$B$6)&amp;"","")</f>
      </c>
    </row>
    <row r="20" spans="1:14" x14ac:dyDescent="0.25">
      <c r="A20" s="52"/>
      <c r="B20" s="52"/>
      <c r="C20" s="52"/>
      <c r="D20" s="52"/>
      <c r="E20" s="52"/>
      <c r="F20" s="52"/>
      <c r="G20" s="52"/>
      <c r="H20" s="52"/>
      <c r="N20">
        <f>IF(N6=1,CHOOSE($N$5,'Contrato 1'!$B$5,'Contrato 2'!$B$5,'Contrato 3'!$B$5,'Contrato 4'!$B$5,'Contrato 5'!$B$5,'Contrato 6'!$B$5)&amp;"","")</f>
      </c>
    </row>
    <row r="21" spans="1:14" x14ac:dyDescent="0.25">
      <c r="A21" s="52"/>
      <c r="B21" s="52"/>
      <c r="C21" s="52"/>
      <c r="D21" s="52"/>
      <c r="E21" s="52"/>
      <c r="F21" s="52"/>
      <c r="G21" s="52"/>
      <c r="H21" s="52"/>
      <c r="N21">
        <f>IF(N6=1,CHOOSE($N$5,'Contrato 1'!$B$7,'Contrato 2'!$B$7,'Contrato 3'!$B$7,'Contrato 4'!$B$7,'Contrato 5'!$B$7,'Contrato 6'!$B$7)&amp;"","")</f>
      </c>
    </row>
    <row r="22" spans="1:14" x14ac:dyDescent="0.25">
      <c r="A22" s="52"/>
      <c r="B22" s="52"/>
      <c r="C22" s="52"/>
      <c r="D22" s="52"/>
      <c r="E22" s="52"/>
      <c r="F22" s="52"/>
      <c r="G22" s="52"/>
      <c r="H22" s="52"/>
      <c r="N22">
        <f>IF($N$4=1,ROUND(N12,0),"")</f>
      </c>
    </row>
    <row r="23" spans="1:14" x14ac:dyDescent="0.25">
      <c r="A23" s="52"/>
      <c r="B23" s="52"/>
      <c r="C23" s="52"/>
      <c r="D23" s="52"/>
      <c r="E23" s="52"/>
      <c r="F23" s="52"/>
      <c r="G23" s="52"/>
      <c r="H23" s="52"/>
      <c r="N23">
        <f>IF($N$4=1,ROUND(N13,0),"")</f>
      </c>
    </row>
    <row r="24" spans="1:14" x14ac:dyDescent="0.25">
      <c r="A24" s="52"/>
      <c r="B24" s="52"/>
      <c r="C24" s="52"/>
      <c r="D24" s="52"/>
      <c r="E24" s="52"/>
      <c r="F24" s="52"/>
      <c r="G24" s="52"/>
      <c r="H24" s="52"/>
      <c r="N24">
        <f>IF($N$4=1,IF(N22&gt;=1000000000,INT(N22/1000000000)&amp;"."&amp;RIGHT("00"&amp;INT(MOD(N22,1000000000)/1000000),3)&amp;"."&amp;RIGHT("00"&amp;INT(MOD(N22,1000000)/1000),3)&amp;"."&amp;RIGHT("00"&amp;INT(MOD(N22,1000)/1),3),IF(N22&gt;=1000000,INT(N22/1000000)&amp;"."&amp;RIGHT("00"&amp;INT(MOD(N22,1000000)/1000),3)&amp;"."&amp;RIGHT("00"&amp;INT(MOD(N22,1000)/1),3),IF(N22&gt;=1000,INT(N22/1000)&amp;"."&amp;RIGHT("00"&amp;INT(MOD(N22,1000)/1),3),""&amp;N22))),"")</f>
      </c>
    </row>
    <row r="25" spans="1:14" x14ac:dyDescent="0.25">
      <c r="A25" s="52"/>
      <c r="B25" s="52"/>
      <c r="C25" s="52"/>
      <c r="D25" s="52"/>
      <c r="E25" s="52"/>
      <c r="F25" s="52"/>
      <c r="G25" s="52"/>
      <c r="H25" s="52"/>
      <c r="N25">
        <f>IF($N$4=1,IF(N23&gt;=1000000000,INT(N23/1000000000)&amp;"."&amp;RIGHT("00"&amp;INT(MOD(N23,1000000000)/1000000),3)&amp;"."&amp;RIGHT("00"&amp;INT(MOD(N23,1000000)/1000),3)&amp;"."&amp;RIGHT("00"&amp;INT(MOD(N23,1000)/1),3),IF(N23&gt;=1000000,INT(N23/1000000)&amp;"."&amp;RIGHT("00"&amp;INT(MOD(N23,1000000)/1000),3)&amp;"."&amp;RIGHT("00"&amp;INT(MOD(N23,1000)/1),3),IF(N23&gt;=1000,INT(N23/1000)&amp;"."&amp;RIGHT("00"&amp;INT(MOD(N23,1000)/1),3),""&amp;N23))),"")</f>
      </c>
    </row>
    <row r="26" spans="1:14" x14ac:dyDescent="0.25">
      <c r="A26" s="52"/>
      <c r="B26" s="52"/>
      <c r="C26" s="52"/>
      <c r="D26" s="52"/>
      <c r="E26" s="52"/>
      <c r="F26" s="52"/>
      <c r="G26" s="52"/>
      <c r="H26" s="52"/>
      <c r="N26">
        <f>IF($N$4=1,ROUND(ABS(N14)*10000,0),"")</f>
      </c>
    </row>
    <row r="27" spans="1:14" x14ac:dyDescent="0.25">
      <c r="A27" s="52"/>
      <c r="B27" s="52"/>
      <c r="C27" s="52"/>
      <c r="D27" s="52"/>
      <c r="E27" s="52"/>
      <c r="F27" s="52"/>
      <c r="G27" s="52"/>
      <c r="H27" s="52"/>
      <c r="N27">
        <f>IF($N$4=1,IF(N14&lt;0,"-","")&amp;INT(N26/100)&amp;","&amp;RIGHT("0"&amp;MOD(N26,100),2),"")</f>
      </c>
    </row>
    <row r="28" spans="1:14" x14ac:dyDescent="0.25">
      <c r="A28" s="52"/>
      <c r="B28" s="52"/>
      <c r="C28" s="52"/>
      <c r="D28" s="52"/>
      <c r="E28" s="52"/>
      <c r="F28" s="52"/>
      <c r="G28" s="52"/>
      <c r="H28" s="52"/>
      <c r="N28">
        <f>IF(ISNUMBER(N17),ROUND(N17/N18*10000,0),"")</f>
      </c>
    </row>
    <row r="29" spans="1:14" x14ac:dyDescent="0.25">
      <c r="A29" s="52"/>
      <c r="B29" s="52"/>
      <c r="C29" s="52"/>
      <c r="D29" s="52"/>
      <c r="E29" s="52"/>
      <c r="F29" s="52"/>
      <c r="G29" s="52"/>
      <c r="H29" s="52"/>
      <c r="N29">
        <f>IF(ISNUMBER(N28),INT(N28/10000)&amp;","&amp;RIGHT("000"&amp;MOD(N28,10000),4),"")</f>
      </c>
    </row>
    <row r="30" spans="1:14" x14ac:dyDescent="0.25">
      <c r="A30" s="52"/>
      <c r="B30" s="52"/>
      <c r="C30" s="52"/>
      <c r="D30" s="52"/>
      <c r="E30" s="52"/>
      <c r="F30" s="52"/>
      <c r="G30" s="52"/>
      <c r="H30" s="52"/>
      <c r="N30">
        <f>IF(ISNUMBER(N17),ROUND(N17*100,0),"")</f>
      </c>
    </row>
    <row r="31" spans="14:14" x14ac:dyDescent="0.25">
      <c r="N31">
        <f>IF(ISNUMBER(N30),INT(N30/100),"")</f>
      </c>
    </row>
    <row r="32" spans="1:14" x14ac:dyDescent="0.25">
      <c r="A32" s="4" t="s">
        <v>106</v>
      </c>
      <c r="B32" s="4"/>
      <c r="C32" s="4"/>
      <c r="D32" s="4"/>
      <c r="E32" s="4"/>
      <c r="F32" s="4"/>
      <c r="G32" s="4"/>
      <c r="H32" s="4"/>
      <c r="N32">
        <f>IF(ISNUMBER(N31),IF(N31&gt;=1000000000,INT(N31/1000000000)&amp;"."&amp;RIGHT("00"&amp;INT(MOD(N31,1000000000)/1000000),3)&amp;"."&amp;RIGHT("00"&amp;INT(MOD(N31,1000000)/1000),3)&amp;"."&amp;RIGHT("00"&amp;INT(MOD(N31,1000)/1),3),IF(N31&gt;=1000000,INT(N31/1000000)&amp;"."&amp;RIGHT("00"&amp;INT(MOD(N31,1000000)/1000),3)&amp;"."&amp;RIGHT("00"&amp;INT(MOD(N31,1000)/1),3),IF(N31&gt;=1000,INT(N31/1000)&amp;"."&amp;RIGHT("00"&amp;INT(MOD(N31,1000)/1),3),""&amp;N31)))&amp;","&amp;RIGHT("0"&amp;MOD(N30,100),2),"")</f>
      </c>
    </row>
    <row r="33" spans="1:14" x14ac:dyDescent="0.25">
      <c r="A33" s="52">
        <f>IF($N$4&lt;&gt;1,"","Hola"&amp;IF($N$19="","",", "&amp;$N$19)&amp;". Desde "&amp;$N$11&amp;" el alquiler pasa a $ "&amp;$N$25&amp;" por mes ("&amp;IF($N$14&lt;0,"","+")&amp;$N$27&amp;"%"&amp;IF($N$8=1,", ajuste por IPC del INDEC de "&amp;$N$36&amp;" a "&amp;$N$37,"")&amp;"). Cualquier duda, avisame.")</f>
      </c>
      <c r="B33" s="52"/>
      <c r="C33" s="52"/>
      <c r="D33" s="52"/>
      <c r="E33" s="52"/>
      <c r="F33" s="52"/>
      <c r="G33" s="52"/>
      <c r="H33" s="52"/>
      <c r="N33">
        <f>IF(ISNUMBER(N18),ROUND(N18*100,0),"")</f>
      </c>
    </row>
    <row r="34" spans="1:14" x14ac:dyDescent="0.25">
      <c r="A34" s="52"/>
      <c r="B34" s="52"/>
      <c r="C34" s="52"/>
      <c r="D34" s="52"/>
      <c r="E34" s="52"/>
      <c r="F34" s="52"/>
      <c r="G34" s="52"/>
      <c r="H34" s="52"/>
      <c r="N34">
        <f>IF(ISNUMBER(N33),INT(N33/100),"")</f>
      </c>
    </row>
    <row r="35" spans="1:14" x14ac:dyDescent="0.25">
      <c r="A35" s="52"/>
      <c r="B35" s="52"/>
      <c r="C35" s="52"/>
      <c r="D35" s="52"/>
      <c r="E35" s="52"/>
      <c r="F35" s="52"/>
      <c r="G35" s="52"/>
      <c r="H35" s="52"/>
      <c r="N35">
        <f>IF(ISNUMBER(N34),IF(N34&gt;=1000000000,INT(N34/1000000000)&amp;"."&amp;RIGHT("00"&amp;INT(MOD(N34,1000000000)/1000000),3)&amp;"."&amp;RIGHT("00"&amp;INT(MOD(N34,1000000)/1000),3)&amp;"."&amp;RIGHT("00"&amp;INT(MOD(N34,1000)/1),3),IF(N34&gt;=1000000,INT(N34/1000000)&amp;"."&amp;RIGHT("00"&amp;INT(MOD(N34,1000000)/1000),3)&amp;"."&amp;RIGHT("00"&amp;INT(MOD(N34,1000)/1),3),IF(N34&gt;=1000,INT(N34/1000)&amp;"."&amp;RIGHT("00"&amp;INT(MOD(N34,1000)/1),3),""&amp;N34)))&amp;","&amp;RIGHT("0"&amp;MOD(N33,100),2),"")</f>
      </c>
    </row>
    <row r="36" spans="1:14" x14ac:dyDescent="0.25">
      <c r="A36" s="52"/>
      <c r="B36" s="52"/>
      <c r="C36" s="52"/>
      <c r="D36" s="52"/>
      <c r="E36" s="52"/>
      <c r="F36" s="52"/>
      <c r="G36" s="52"/>
      <c r="H36" s="52"/>
      <c r="N36">
        <f>IF(ISNUMBER(N16),INDEX(IPC!$J$5:$J$16,MOD(N16,12)+1)&amp;" de "&amp;INT((N16)/12),"")</f>
      </c>
    </row>
    <row r="37" spans="14:14" x14ac:dyDescent="0.25">
      <c r="N37">
        <f>IF(ISNUMBER(N15),INDEX(IPC!$J$5:$J$16,MOD(N15,12)+1)&amp;" de "&amp;INT((N15)/12),"")</f>
      </c>
    </row>
    <row r="38" ht="28" customHeight="1" spans="1:8" x14ac:dyDescent="0.25">
      <c r="A38" s="9" t="s">
        <v>107</v>
      </c>
      <c r="B38" s="9"/>
      <c r="C38" s="9"/>
      <c r="D38" s="9"/>
      <c r="E38" s="9"/>
      <c r="F38" s="9"/>
      <c r="G38" s="9"/>
      <c r="H38" s="9"/>
    </row>
  </sheetData>
  <sheetProtection sheet="1" formatColumns="0" formatRows="0"/>
  <mergeCells count="8">
    <mergeCell ref="A1:H1"/>
    <mergeCell ref="A2:H2"/>
    <mergeCell ref="A6:B6"/>
    <mergeCell ref="A16:H16"/>
    <mergeCell ref="A17:H30"/>
    <mergeCell ref="A32:H32"/>
    <mergeCell ref="A33:H36"/>
    <mergeCell ref="A38:H38"/>
  </mergeCells>
  <dataValidations count="1">
    <dataValidation type="list" showErrorMessage="1" error="Elegí un contrato de la lista." sqref="B4">
      <formula1>"Contrato 1,Contrato 2,Contrato 3,Contrato 4,Contrato 5,Contrato 6"</formula1>
    </dataValidation>
  </dataValidations>
  <pageSetup paperSize="9" orientation="portrait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J17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6" customWidth="1"/>
    <col min="4" max="4" width="18" customWidth="1"/>
    <col min="5" max="5" width="16" customWidth="1"/>
    <col min="6" max="6" width="22" customWidth="1"/>
    <col min="7" max="7" width="18" customWidth="1"/>
    <col min="8" max="9" width="2" customWidth="1"/>
    <col min="10" max="10" width="14" hidden="1" customWidth="1"/>
  </cols>
  <sheetData>
    <row r="1" ht="28" customHeight="1" spans="1:7" x14ac:dyDescent="0.25">
      <c r="A1" s="53" t="s">
        <v>108</v>
      </c>
      <c r="B1" s="53"/>
      <c r="C1" s="53"/>
      <c r="D1" s="53"/>
      <c r="E1" s="53"/>
      <c r="F1" s="53"/>
      <c r="G1" s="53"/>
    </row>
    <row r="2" ht="30" customHeight="1" spans="1:10" x14ac:dyDescent="0.25">
      <c r="A2" s="54" t="s">
        <v>109</v>
      </c>
      <c r="B2" s="54"/>
      <c r="C2" s="54"/>
      <c r="D2" s="54"/>
      <c r="E2" s="54"/>
      <c r="F2" s="54"/>
      <c r="G2" s="54"/>
      <c r="J2">
        <v>24203</v>
      </c>
    </row>
    <row r="3" spans="10:10" x14ac:dyDescent="0.25">
      <c r="J3">
        <f>J2+COUNT(D5:D173)-1</f>
      </c>
    </row>
    <row r="4" ht="32" customHeight="1" spans="1:10" x14ac:dyDescent="0.25">
      <c r="A4" s="55" t="s">
        <v>110</v>
      </c>
      <c r="B4" s="55"/>
      <c r="C4" s="55"/>
      <c r="D4" s="55" t="s">
        <v>101</v>
      </c>
      <c r="E4" s="55" t="s">
        <v>111</v>
      </c>
      <c r="F4" s="55" t="s">
        <v>112</v>
      </c>
      <c r="G4" s="55" t="s">
        <v>113</v>
      </c>
      <c r="J4">
        <f>INDEX(IPC!$J$5:$J$16,MOD(J3,12)+1)&amp;" de "&amp;INT((J3)/12)</f>
      </c>
    </row>
    <row r="5" spans="1:10" x14ac:dyDescent="0.25">
      <c r="A5" s="31" t="s">
        <v>114</v>
      </c>
      <c r="B5" s="31"/>
      <c r="C5" s="31"/>
      <c r="D5" s="56">
        <v>100</v>
      </c>
      <c r="E5" s="57"/>
      <c r="F5" s="32"/>
      <c r="G5" s="31" t="s">
        <v>115</v>
      </c>
      <c r="J5" t="s">
        <v>116</v>
      </c>
    </row>
    <row r="6" spans="1:10" x14ac:dyDescent="0.25">
      <c r="A6" s="34" t="s">
        <v>117</v>
      </c>
      <c r="B6" s="34"/>
      <c r="C6" s="34"/>
      <c r="D6" s="58">
        <v>101.5859</v>
      </c>
      <c r="E6" s="59">
        <f>D6/D5-1</f>
      </c>
      <c r="F6" s="32"/>
      <c r="G6" s="34" t="s">
        <v>115</v>
      </c>
      <c r="J6" t="s">
        <v>118</v>
      </c>
    </row>
    <row r="7" spans="1:10" x14ac:dyDescent="0.25">
      <c r="A7" s="31" t="s">
        <v>119</v>
      </c>
      <c r="B7" s="31"/>
      <c r="C7" s="31"/>
      <c r="D7" s="56">
        <v>103.6859</v>
      </c>
      <c r="E7" s="57">
        <f>D7/D6-1</f>
      </c>
      <c r="F7" s="32"/>
      <c r="G7" s="31" t="s">
        <v>115</v>
      </c>
      <c r="J7" t="s">
        <v>120</v>
      </c>
    </row>
    <row r="8" spans="1:10" x14ac:dyDescent="0.25">
      <c r="A8" s="34" t="s">
        <v>121</v>
      </c>
      <c r="B8" s="34"/>
      <c r="C8" s="34"/>
      <c r="D8" s="58">
        <v>106.1476</v>
      </c>
      <c r="E8" s="59">
        <f>D8/D7-1</f>
      </c>
      <c r="F8" s="32"/>
      <c r="G8" s="34" t="s">
        <v>115</v>
      </c>
      <c r="J8" t="s">
        <v>122</v>
      </c>
    </row>
    <row r="9" spans="1:10" x14ac:dyDescent="0.25">
      <c r="A9" s="31" t="s">
        <v>123</v>
      </c>
      <c r="B9" s="31"/>
      <c r="C9" s="31"/>
      <c r="D9" s="56">
        <v>108.9667</v>
      </c>
      <c r="E9" s="57">
        <f>D9/D8-1</f>
      </c>
      <c r="F9" s="32"/>
      <c r="G9" s="31" t="s">
        <v>115</v>
      </c>
      <c r="J9" t="s">
        <v>124</v>
      </c>
    </row>
    <row r="10" spans="1:10" x14ac:dyDescent="0.25">
      <c r="A10" s="34" t="s">
        <v>125</v>
      </c>
      <c r="B10" s="34"/>
      <c r="C10" s="34"/>
      <c r="D10" s="58">
        <v>110.5301</v>
      </c>
      <c r="E10" s="59">
        <f>D10/D9-1</f>
      </c>
      <c r="F10" s="32"/>
      <c r="G10" s="34" t="s">
        <v>115</v>
      </c>
      <c r="J10" t="s">
        <v>126</v>
      </c>
    </row>
    <row r="11" spans="1:10" x14ac:dyDescent="0.25">
      <c r="A11" s="31" t="s">
        <v>127</v>
      </c>
      <c r="B11" s="31"/>
      <c r="C11" s="31"/>
      <c r="D11" s="56">
        <v>111.8477</v>
      </c>
      <c r="E11" s="57">
        <f>D11/D10-1</f>
      </c>
      <c r="F11" s="32"/>
      <c r="G11" s="31" t="s">
        <v>115</v>
      </c>
      <c r="J11" t="s">
        <v>128</v>
      </c>
    </row>
    <row r="12" spans="1:10" x14ac:dyDescent="0.25">
      <c r="A12" s="34" t="s">
        <v>129</v>
      </c>
      <c r="B12" s="34"/>
      <c r="C12" s="34"/>
      <c r="D12" s="58">
        <v>113.7852</v>
      </c>
      <c r="E12" s="59">
        <f>D12/D11-1</f>
      </c>
      <c r="F12" s="32"/>
      <c r="G12" s="34" t="s">
        <v>115</v>
      </c>
      <c r="J12" t="s">
        <v>130</v>
      </c>
    </row>
    <row r="13" spans="1:10" x14ac:dyDescent="0.25">
      <c r="A13" s="31" t="s">
        <v>131</v>
      </c>
      <c r="B13" s="31"/>
      <c r="C13" s="31"/>
      <c r="D13" s="56">
        <v>115.3819</v>
      </c>
      <c r="E13" s="57">
        <f>D13/D12-1</f>
      </c>
      <c r="F13" s="32"/>
      <c r="G13" s="31" t="s">
        <v>115</v>
      </c>
      <c r="J13" t="s">
        <v>47</v>
      </c>
    </row>
    <row r="14" spans="1:10" x14ac:dyDescent="0.25">
      <c r="A14" s="34" t="s">
        <v>132</v>
      </c>
      <c r="B14" s="34"/>
      <c r="C14" s="34"/>
      <c r="D14" s="58">
        <v>117.5719</v>
      </c>
      <c r="E14" s="59">
        <f>D14/D13-1</f>
      </c>
      <c r="F14" s="32"/>
      <c r="G14" s="34" t="s">
        <v>115</v>
      </c>
      <c r="J14" t="s">
        <v>133</v>
      </c>
    </row>
    <row r="15" spans="1:10" x14ac:dyDescent="0.25">
      <c r="A15" s="31" t="s">
        <v>134</v>
      </c>
      <c r="B15" s="31"/>
      <c r="C15" s="31"/>
      <c r="D15" s="56">
        <v>119.3528</v>
      </c>
      <c r="E15" s="57">
        <f>D15/D14-1</f>
      </c>
      <c r="F15" s="32"/>
      <c r="G15" s="31" t="s">
        <v>115</v>
      </c>
      <c r="J15" t="s">
        <v>135</v>
      </c>
    </row>
    <row r="16" spans="1:10" x14ac:dyDescent="0.25">
      <c r="A16" s="34" t="s">
        <v>136</v>
      </c>
      <c r="B16" s="34"/>
      <c r="C16" s="34"/>
      <c r="D16" s="58">
        <v>120.994</v>
      </c>
      <c r="E16" s="59">
        <f>D16/D15-1</f>
      </c>
      <c r="F16" s="32"/>
      <c r="G16" s="34" t="s">
        <v>115</v>
      </c>
      <c r="J16" t="s">
        <v>137</v>
      </c>
    </row>
    <row r="17" spans="1:7" x14ac:dyDescent="0.25">
      <c r="A17" s="31" t="s">
        <v>138</v>
      </c>
      <c r="B17" s="31"/>
      <c r="C17" s="31"/>
      <c r="D17" s="56">
        <v>124.7956</v>
      </c>
      <c r="E17" s="57">
        <f>D17/D16-1</f>
      </c>
      <c r="F17" s="32"/>
      <c r="G17" s="31" t="s">
        <v>115</v>
      </c>
    </row>
    <row r="18" spans="1:7" x14ac:dyDescent="0.25">
      <c r="A18" s="34" t="s">
        <v>139</v>
      </c>
      <c r="B18" s="34"/>
      <c r="C18" s="34"/>
      <c r="D18" s="58">
        <v>126.9887</v>
      </c>
      <c r="E18" s="59">
        <f>D18/D17-1</f>
      </c>
      <c r="F18" s="32"/>
      <c r="G18" s="34" t="s">
        <v>115</v>
      </c>
    </row>
    <row r="19" spans="1:7" x14ac:dyDescent="0.25">
      <c r="A19" s="31" t="s">
        <v>140</v>
      </c>
      <c r="B19" s="31"/>
      <c r="C19" s="31"/>
      <c r="D19" s="56">
        <v>130.0606</v>
      </c>
      <c r="E19" s="57">
        <f>D19/D18-1</f>
      </c>
      <c r="F19" s="32"/>
      <c r="G19" s="31" t="s">
        <v>115</v>
      </c>
    </row>
    <row r="20" spans="1:7" x14ac:dyDescent="0.25">
      <c r="A20" s="34" t="s">
        <v>141</v>
      </c>
      <c r="B20" s="34"/>
      <c r="C20" s="34"/>
      <c r="D20" s="58">
        <v>133.1054</v>
      </c>
      <c r="E20" s="59">
        <f>D20/D19-1</f>
      </c>
      <c r="F20" s="32"/>
      <c r="G20" s="34" t="s">
        <v>115</v>
      </c>
    </row>
    <row r="21" spans="1:7" x14ac:dyDescent="0.25">
      <c r="A21" s="31" t="s">
        <v>142</v>
      </c>
      <c r="B21" s="31"/>
      <c r="C21" s="31"/>
      <c r="D21" s="56">
        <v>136.7512</v>
      </c>
      <c r="E21" s="57">
        <f>D21/D20-1</f>
      </c>
      <c r="F21" s="32"/>
      <c r="G21" s="31" t="s">
        <v>115</v>
      </c>
    </row>
    <row r="22" spans="1:7" x14ac:dyDescent="0.25">
      <c r="A22" s="34" t="s">
        <v>143</v>
      </c>
      <c r="B22" s="34"/>
      <c r="C22" s="34"/>
      <c r="D22" s="58">
        <v>139.5893</v>
      </c>
      <c r="E22" s="59">
        <f>D22/D21-1</f>
      </c>
      <c r="F22" s="32"/>
      <c r="G22" s="34" t="s">
        <v>115</v>
      </c>
    </row>
    <row r="23" spans="1:7" x14ac:dyDescent="0.25">
      <c r="A23" s="31" t="s">
        <v>144</v>
      </c>
      <c r="B23" s="31"/>
      <c r="C23" s="31"/>
      <c r="D23" s="56">
        <v>144.8053</v>
      </c>
      <c r="E23" s="57">
        <f>D23/D22-1</f>
      </c>
      <c r="F23" s="32"/>
      <c r="G23" s="31" t="s">
        <v>115</v>
      </c>
    </row>
    <row r="24" spans="1:7" x14ac:dyDescent="0.25">
      <c r="A24" s="34" t="s">
        <v>145</v>
      </c>
      <c r="B24" s="34"/>
      <c r="C24" s="34"/>
      <c r="D24" s="58">
        <v>149.2966</v>
      </c>
      <c r="E24" s="59">
        <f>D24/D23-1</f>
      </c>
      <c r="F24" s="32"/>
      <c r="G24" s="34" t="s">
        <v>115</v>
      </c>
    </row>
    <row r="25" spans="1:7" x14ac:dyDescent="0.25">
      <c r="A25" s="31" t="s">
        <v>146</v>
      </c>
      <c r="B25" s="31"/>
      <c r="C25" s="31"/>
      <c r="D25" s="56">
        <v>155.1034</v>
      </c>
      <c r="E25" s="57">
        <f>D25/D24-1</f>
      </c>
      <c r="F25" s="32"/>
      <c r="G25" s="31" t="s">
        <v>115</v>
      </c>
    </row>
    <row r="26" spans="1:7" x14ac:dyDescent="0.25">
      <c r="A26" s="34" t="s">
        <v>147</v>
      </c>
      <c r="B26" s="34"/>
      <c r="C26" s="34"/>
      <c r="D26" s="58">
        <v>165.2383</v>
      </c>
      <c r="E26" s="59">
        <f>D26/D25-1</f>
      </c>
      <c r="F26" s="32"/>
      <c r="G26" s="34" t="s">
        <v>115</v>
      </c>
    </row>
    <row r="27" spans="1:7" x14ac:dyDescent="0.25">
      <c r="A27" s="31" t="s">
        <v>148</v>
      </c>
      <c r="B27" s="31"/>
      <c r="C27" s="31"/>
      <c r="D27" s="56">
        <v>174.1473</v>
      </c>
      <c r="E27" s="57">
        <f>D27/D26-1</f>
      </c>
      <c r="F27" s="32"/>
      <c r="G27" s="31" t="s">
        <v>115</v>
      </c>
    </row>
    <row r="28" spans="1:7" x14ac:dyDescent="0.25">
      <c r="A28" s="34" t="s">
        <v>149</v>
      </c>
      <c r="B28" s="34"/>
      <c r="C28" s="34"/>
      <c r="D28" s="58">
        <v>179.6388</v>
      </c>
      <c r="E28" s="59">
        <f>D28/D27-1</f>
      </c>
      <c r="F28" s="32"/>
      <c r="G28" s="34" t="s">
        <v>115</v>
      </c>
    </row>
    <row r="29" spans="1:7" x14ac:dyDescent="0.25">
      <c r="A29" s="31" t="s">
        <v>150</v>
      </c>
      <c r="B29" s="31"/>
      <c r="C29" s="31"/>
      <c r="D29" s="56">
        <v>184.2552</v>
      </c>
      <c r="E29" s="57">
        <f>D29/D28-1</f>
      </c>
      <c r="F29" s="32"/>
      <c r="G29" s="31" t="s">
        <v>115</v>
      </c>
    </row>
    <row r="30" spans="1:7" x14ac:dyDescent="0.25">
      <c r="A30" s="34" t="s">
        <v>151</v>
      </c>
      <c r="B30" s="34"/>
      <c r="C30" s="34"/>
      <c r="D30" s="58">
        <v>189.6101</v>
      </c>
      <c r="E30" s="59">
        <f>D30/D29-1</f>
      </c>
      <c r="F30" s="32"/>
      <c r="G30" s="34" t="s">
        <v>115</v>
      </c>
    </row>
    <row r="31" spans="1:7" x14ac:dyDescent="0.25">
      <c r="A31" s="31" t="s">
        <v>152</v>
      </c>
      <c r="B31" s="31"/>
      <c r="C31" s="31"/>
      <c r="D31" s="56">
        <v>196.7501</v>
      </c>
      <c r="E31" s="57">
        <f>D31/D30-1</f>
      </c>
      <c r="F31" s="32"/>
      <c r="G31" s="31" t="s">
        <v>115</v>
      </c>
    </row>
    <row r="32" spans="1:7" x14ac:dyDescent="0.25">
      <c r="A32" s="34" t="s">
        <v>153</v>
      </c>
      <c r="B32" s="34"/>
      <c r="C32" s="34"/>
      <c r="D32" s="58">
        <v>205.9571</v>
      </c>
      <c r="E32" s="59">
        <f>D32/D31-1</f>
      </c>
      <c r="F32" s="32"/>
      <c r="G32" s="34" t="s">
        <v>115</v>
      </c>
    </row>
    <row r="33" spans="1:7" x14ac:dyDescent="0.25">
      <c r="A33" s="31" t="s">
        <v>154</v>
      </c>
      <c r="B33" s="31"/>
      <c r="C33" s="31"/>
      <c r="D33" s="56">
        <v>212.9596414</v>
      </c>
      <c r="E33" s="57">
        <f>D33/D32-1</f>
      </c>
      <c r="F33" s="32"/>
      <c r="G33" s="31" t="s">
        <v>115</v>
      </c>
    </row>
    <row r="34" spans="1:7" x14ac:dyDescent="0.25">
      <c r="A34" s="34" t="s">
        <v>155</v>
      </c>
      <c r="B34" s="34"/>
      <c r="C34" s="34"/>
      <c r="D34" s="58">
        <v>219.5691</v>
      </c>
      <c r="E34" s="59">
        <f>D34/D33-1</f>
      </c>
      <c r="F34" s="32"/>
      <c r="G34" s="34" t="s">
        <v>115</v>
      </c>
    </row>
    <row r="35" spans="1:7" x14ac:dyDescent="0.25">
      <c r="A35" s="31" t="s">
        <v>156</v>
      </c>
      <c r="B35" s="31"/>
      <c r="C35" s="31"/>
      <c r="D35" s="56">
        <v>225.537</v>
      </c>
      <c r="E35" s="57">
        <f>D35/D34-1</f>
      </c>
      <c r="F35" s="32"/>
      <c r="G35" s="31" t="s">
        <v>115</v>
      </c>
    </row>
    <row r="36" spans="1:7" x14ac:dyDescent="0.25">
      <c r="A36" s="34" t="s">
        <v>157</v>
      </c>
      <c r="B36" s="34"/>
      <c r="C36" s="34"/>
      <c r="D36" s="58">
        <v>230.494</v>
      </c>
      <c r="E36" s="59">
        <f>D36/D35-1</f>
      </c>
      <c r="F36" s="32"/>
      <c r="G36" s="34" t="s">
        <v>115</v>
      </c>
    </row>
    <row r="37" spans="1:7" x14ac:dyDescent="0.25">
      <c r="A37" s="31" t="s">
        <v>158</v>
      </c>
      <c r="B37" s="31"/>
      <c r="C37" s="31"/>
      <c r="D37" s="56">
        <v>239.6077</v>
      </c>
      <c r="E37" s="57">
        <f>D37/D36-1</f>
      </c>
      <c r="F37" s="32"/>
      <c r="G37" s="31" t="s">
        <v>115</v>
      </c>
    </row>
    <row r="38" spans="1:7" x14ac:dyDescent="0.25">
      <c r="A38" s="34" t="s">
        <v>159</v>
      </c>
      <c r="B38" s="34"/>
      <c r="C38" s="34"/>
      <c r="D38" s="58">
        <v>253.7102</v>
      </c>
      <c r="E38" s="59">
        <f>D38/D37-1</f>
      </c>
      <c r="F38" s="32"/>
      <c r="G38" s="34" t="s">
        <v>115</v>
      </c>
    </row>
    <row r="39" spans="1:7" x14ac:dyDescent="0.25">
      <c r="A39" s="31" t="s">
        <v>160</v>
      </c>
      <c r="B39" s="31"/>
      <c r="C39" s="31"/>
      <c r="D39" s="56">
        <v>262.0661</v>
      </c>
      <c r="E39" s="57">
        <f>D39/D38-1</f>
      </c>
      <c r="F39" s="32"/>
      <c r="G39" s="31" t="s">
        <v>115</v>
      </c>
    </row>
    <row r="40" spans="1:7" x14ac:dyDescent="0.25">
      <c r="A40" s="34" t="s">
        <v>161</v>
      </c>
      <c r="B40" s="34"/>
      <c r="C40" s="34"/>
      <c r="D40" s="58">
        <v>273.2158</v>
      </c>
      <c r="E40" s="59">
        <f>D40/D39-1</f>
      </c>
      <c r="F40" s="32"/>
      <c r="G40" s="34" t="s">
        <v>115</v>
      </c>
    </row>
    <row r="41" spans="1:7" x14ac:dyDescent="0.25">
      <c r="A41" s="31" t="s">
        <v>162</v>
      </c>
      <c r="B41" s="31"/>
      <c r="C41" s="31"/>
      <c r="D41" s="56">
        <v>283.4442</v>
      </c>
      <c r="E41" s="57">
        <f>D41/D40-1</f>
      </c>
      <c r="F41" s="32"/>
      <c r="G41" s="31" t="s">
        <v>115</v>
      </c>
    </row>
    <row r="42" spans="1:7" x14ac:dyDescent="0.25">
      <c r="A42" s="34" t="s">
        <v>163</v>
      </c>
      <c r="B42" s="34"/>
      <c r="C42" s="34"/>
      <c r="D42" s="58">
        <v>289.8299</v>
      </c>
      <c r="E42" s="59">
        <f>D42/D41-1</f>
      </c>
      <c r="F42" s="32"/>
      <c r="G42" s="34" t="s">
        <v>115</v>
      </c>
    </row>
    <row r="43" spans="1:7" x14ac:dyDescent="0.25">
      <c r="A43" s="31" t="s">
        <v>164</v>
      </c>
      <c r="B43" s="31"/>
      <c r="C43" s="31"/>
      <c r="D43" s="56">
        <v>295.666</v>
      </c>
      <c r="E43" s="57">
        <f>D43/D42-1</f>
      </c>
      <c r="F43" s="32"/>
      <c r="G43" s="31" t="s">
        <v>115</v>
      </c>
    </row>
    <row r="44" spans="1:7" x14ac:dyDescent="0.25">
      <c r="A44" s="34" t="s">
        <v>165</v>
      </c>
      <c r="B44" s="34"/>
      <c r="C44" s="34"/>
      <c r="D44" s="58">
        <v>305.5515</v>
      </c>
      <c r="E44" s="59">
        <f>D44/D43-1</f>
      </c>
      <c r="F44" s="32"/>
      <c r="G44" s="34" t="s">
        <v>115</v>
      </c>
    </row>
    <row r="45" spans="1:7" x14ac:dyDescent="0.25">
      <c r="A45" s="31" t="s">
        <v>166</v>
      </c>
      <c r="B45" s="31"/>
      <c r="C45" s="31"/>
      <c r="D45" s="56">
        <v>310.1243</v>
      </c>
      <c r="E45" s="57">
        <f>D45/D44-1</f>
      </c>
      <c r="F45" s="32"/>
      <c r="G45" s="31" t="s">
        <v>115</v>
      </c>
    </row>
    <row r="46" spans="1:7" x14ac:dyDescent="0.25">
      <c r="A46" s="34" t="s">
        <v>167</v>
      </c>
      <c r="B46" s="34"/>
      <c r="C46" s="34"/>
      <c r="D46" s="58">
        <v>314.9087</v>
      </c>
      <c r="E46" s="59">
        <f>D46/D45-1</f>
      </c>
      <c r="F46" s="32"/>
      <c r="G46" s="34" t="s">
        <v>115</v>
      </c>
    </row>
    <row r="47" spans="1:7" x14ac:dyDescent="0.25">
      <c r="A47" s="31" t="s">
        <v>168</v>
      </c>
      <c r="B47" s="31"/>
      <c r="C47" s="31"/>
      <c r="D47" s="56">
        <v>321.9738</v>
      </c>
      <c r="E47" s="57">
        <f>D47/D46-1</f>
      </c>
      <c r="F47" s="32"/>
      <c r="G47" s="31" t="s">
        <v>115</v>
      </c>
    </row>
    <row r="48" spans="1:7" x14ac:dyDescent="0.25">
      <c r="A48" s="34" t="s">
        <v>169</v>
      </c>
      <c r="B48" s="34"/>
      <c r="C48" s="34"/>
      <c r="D48" s="58">
        <v>328.2014</v>
      </c>
      <c r="E48" s="59">
        <f>D48/D47-1</f>
      </c>
      <c r="F48" s="32"/>
      <c r="G48" s="34" t="s">
        <v>115</v>
      </c>
    </row>
    <row r="49" spans="1:7" x14ac:dyDescent="0.25">
      <c r="A49" s="31" t="s">
        <v>170</v>
      </c>
      <c r="B49" s="31"/>
      <c r="C49" s="31"/>
      <c r="D49" s="56">
        <v>337.0632</v>
      </c>
      <c r="E49" s="57">
        <f>D49/D48-1</f>
      </c>
      <c r="F49" s="32"/>
      <c r="G49" s="31" t="s">
        <v>115</v>
      </c>
    </row>
    <row r="50" spans="1:7" x14ac:dyDescent="0.25">
      <c r="A50" s="34" t="s">
        <v>171</v>
      </c>
      <c r="B50" s="34"/>
      <c r="C50" s="34"/>
      <c r="D50" s="58">
        <v>346.6207</v>
      </c>
      <c r="E50" s="59">
        <f>D50/D49-1</f>
      </c>
      <c r="F50" s="32"/>
      <c r="G50" s="34" t="s">
        <v>115</v>
      </c>
    </row>
    <row r="51" spans="1:7" x14ac:dyDescent="0.25">
      <c r="A51" s="31" t="s">
        <v>172</v>
      </c>
      <c r="B51" s="31"/>
      <c r="C51" s="31"/>
      <c r="D51" s="56">
        <v>359.657</v>
      </c>
      <c r="E51" s="57">
        <f>D51/D50-1</f>
      </c>
      <c r="F51" s="32"/>
      <c r="G51" s="31" t="s">
        <v>115</v>
      </c>
    </row>
    <row r="52" spans="1:7" x14ac:dyDescent="0.25">
      <c r="A52" s="34" t="s">
        <v>173</v>
      </c>
      <c r="B52" s="34"/>
      <c r="C52" s="34"/>
      <c r="D52" s="58">
        <v>371.0211</v>
      </c>
      <c r="E52" s="59">
        <f>D52/D51-1</f>
      </c>
      <c r="F52" s="32"/>
      <c r="G52" s="34" t="s">
        <v>115</v>
      </c>
    </row>
    <row r="53" spans="1:7" x14ac:dyDescent="0.25">
      <c r="A53" s="31" t="s">
        <v>174</v>
      </c>
      <c r="B53" s="31"/>
      <c r="C53" s="31"/>
      <c r="D53" s="56">
        <v>385.8826</v>
      </c>
      <c r="E53" s="57">
        <f>D53/D52-1</f>
      </c>
      <c r="F53" s="32"/>
      <c r="G53" s="31" t="s">
        <v>115</v>
      </c>
    </row>
    <row r="54" spans="1:7" x14ac:dyDescent="0.25">
      <c r="A54" s="34" t="s">
        <v>175</v>
      </c>
      <c r="B54" s="34"/>
      <c r="C54" s="34"/>
      <c r="D54" s="58">
        <v>401.5071</v>
      </c>
      <c r="E54" s="59">
        <f>D54/D53-1</f>
      </c>
      <c r="F54" s="32"/>
      <c r="G54" s="34" t="s">
        <v>115</v>
      </c>
    </row>
    <row r="55" spans="1:7" x14ac:dyDescent="0.25">
      <c r="A55" s="31" t="s">
        <v>176</v>
      </c>
      <c r="B55" s="31"/>
      <c r="C55" s="31"/>
      <c r="D55" s="56">
        <v>415.8595</v>
      </c>
      <c r="E55" s="57">
        <f>D55/D54-1</f>
      </c>
      <c r="F55" s="32"/>
      <c r="G55" s="31" t="s">
        <v>115</v>
      </c>
    </row>
    <row r="56" spans="1:7" x14ac:dyDescent="0.25">
      <c r="A56" s="34" t="s">
        <v>177</v>
      </c>
      <c r="B56" s="34"/>
      <c r="C56" s="34"/>
      <c r="D56" s="58">
        <v>435.8657</v>
      </c>
      <c r="E56" s="59">
        <f>D56/D55-1</f>
      </c>
      <c r="F56" s="32"/>
      <c r="G56" s="34" t="s">
        <v>115</v>
      </c>
    </row>
    <row r="57" spans="1:7" x14ac:dyDescent="0.25">
      <c r="A57" s="31" t="s">
        <v>178</v>
      </c>
      <c r="B57" s="31"/>
      <c r="C57" s="31"/>
      <c r="D57" s="56">
        <v>453.6503</v>
      </c>
      <c r="E57" s="57">
        <f>D57/D56-1</f>
      </c>
      <c r="F57" s="32"/>
      <c r="G57" s="31" t="s">
        <v>115</v>
      </c>
    </row>
    <row r="58" spans="1:7" x14ac:dyDescent="0.25">
      <c r="A58" s="34" t="s">
        <v>179</v>
      </c>
      <c r="B58" s="34"/>
      <c r="C58" s="34"/>
      <c r="D58" s="58">
        <v>468.725</v>
      </c>
      <c r="E58" s="59">
        <f>D58/D57-1</f>
      </c>
      <c r="F58" s="32"/>
      <c r="G58" s="34" t="s">
        <v>115</v>
      </c>
    </row>
    <row r="59" spans="1:7" x14ac:dyDescent="0.25">
      <c r="A59" s="31" t="s">
        <v>180</v>
      </c>
      <c r="B59" s="31"/>
      <c r="C59" s="31"/>
      <c r="D59" s="56">
        <v>483.6049</v>
      </c>
      <c r="E59" s="57">
        <f>D59/D58-1</f>
      </c>
      <c r="F59" s="32"/>
      <c r="G59" s="31" t="s">
        <v>115</v>
      </c>
    </row>
    <row r="60" spans="1:7" x14ac:dyDescent="0.25">
      <c r="A60" s="34" t="s">
        <v>181</v>
      </c>
      <c r="B60" s="34"/>
      <c r="C60" s="34"/>
      <c r="D60" s="58">
        <v>498.0987</v>
      </c>
      <c r="E60" s="59">
        <f>D60/D59-1</f>
      </c>
      <c r="F60" s="32"/>
      <c r="G60" s="34" t="s">
        <v>115</v>
      </c>
    </row>
    <row r="61" spans="1:7" x14ac:dyDescent="0.25">
      <c r="A61" s="31" t="s">
        <v>182</v>
      </c>
      <c r="B61" s="31"/>
      <c r="C61" s="31"/>
      <c r="D61" s="56">
        <v>510.3942</v>
      </c>
      <c r="E61" s="57">
        <f>D61/D60-1</f>
      </c>
      <c r="F61" s="32"/>
      <c r="G61" s="31" t="s">
        <v>115</v>
      </c>
    </row>
    <row r="62" spans="1:7" x14ac:dyDescent="0.25">
      <c r="A62" s="34" t="s">
        <v>183</v>
      </c>
      <c r="B62" s="34"/>
      <c r="C62" s="34"/>
      <c r="D62" s="58">
        <v>528.4968</v>
      </c>
      <c r="E62" s="59">
        <f>D62/D61-1</f>
      </c>
      <c r="F62" s="32"/>
      <c r="G62" s="34" t="s">
        <v>115</v>
      </c>
    </row>
    <row r="63" spans="1:7" x14ac:dyDescent="0.25">
      <c r="A63" s="31" t="s">
        <v>184</v>
      </c>
      <c r="B63" s="31"/>
      <c r="C63" s="31"/>
      <c r="D63" s="56">
        <v>547.0802</v>
      </c>
      <c r="E63" s="57">
        <f>D63/D62-1</f>
      </c>
      <c r="F63" s="32"/>
      <c r="G63" s="31" t="s">
        <v>115</v>
      </c>
    </row>
    <row r="64" spans="1:7" x14ac:dyDescent="0.25">
      <c r="A64" s="34" t="s">
        <v>185</v>
      </c>
      <c r="B64" s="34"/>
      <c r="C64" s="34"/>
      <c r="D64" s="58">
        <v>560.9184</v>
      </c>
      <c r="E64" s="59">
        <f>D64/D63-1</f>
      </c>
      <c r="F64" s="32"/>
      <c r="G64" s="34" t="s">
        <v>115</v>
      </c>
    </row>
    <row r="65" spans="1:7" x14ac:dyDescent="0.25">
      <c r="A65" s="31" t="s">
        <v>186</v>
      </c>
      <c r="B65" s="31"/>
      <c r="C65" s="31"/>
      <c r="D65" s="56">
        <v>582.4575</v>
      </c>
      <c r="E65" s="57">
        <f>D65/D64-1</f>
      </c>
      <c r="F65" s="32"/>
      <c r="G65" s="31" t="s">
        <v>115</v>
      </c>
    </row>
    <row r="66" spans="1:7" x14ac:dyDescent="0.25">
      <c r="A66" s="34" t="s">
        <v>187</v>
      </c>
      <c r="B66" s="34"/>
      <c r="C66" s="34"/>
      <c r="D66" s="58">
        <v>605.0317</v>
      </c>
      <c r="E66" s="59">
        <f>D66/D65-1</f>
      </c>
      <c r="F66" s="32"/>
      <c r="G66" s="34" t="s">
        <v>115</v>
      </c>
    </row>
    <row r="67" spans="1:7" x14ac:dyDescent="0.25">
      <c r="A67" s="31" t="s">
        <v>188</v>
      </c>
      <c r="B67" s="31"/>
      <c r="C67" s="31"/>
      <c r="D67" s="56">
        <v>633.4341</v>
      </c>
      <c r="E67" s="57">
        <f>D67/D66-1</f>
      </c>
      <c r="F67" s="32"/>
      <c r="G67" s="31" t="s">
        <v>115</v>
      </c>
    </row>
    <row r="68" spans="1:7" x14ac:dyDescent="0.25">
      <c r="A68" s="34" t="s">
        <v>189</v>
      </c>
      <c r="B68" s="34"/>
      <c r="C68" s="34"/>
      <c r="D68" s="58">
        <v>676.0566</v>
      </c>
      <c r="E68" s="59">
        <f>D68/D67-1</f>
      </c>
      <c r="F68" s="32"/>
      <c r="G68" s="34" t="s">
        <v>115</v>
      </c>
    </row>
    <row r="69" spans="1:7" x14ac:dyDescent="0.25">
      <c r="A69" s="31" t="s">
        <v>190</v>
      </c>
      <c r="B69" s="31"/>
      <c r="C69" s="31"/>
      <c r="D69" s="56">
        <v>716.9399</v>
      </c>
      <c r="E69" s="57">
        <f>D69/D68-1</f>
      </c>
      <c r="F69" s="32"/>
      <c r="G69" s="31" t="s">
        <v>115</v>
      </c>
    </row>
    <row r="70" spans="1:7" x14ac:dyDescent="0.25">
      <c r="A70" s="34" t="s">
        <v>191</v>
      </c>
      <c r="B70" s="34"/>
      <c r="C70" s="34"/>
      <c r="D70" s="58">
        <v>753.147</v>
      </c>
      <c r="E70" s="59">
        <f>D70/D69-1</f>
      </c>
      <c r="F70" s="32"/>
      <c r="G70" s="34" t="s">
        <v>115</v>
      </c>
    </row>
    <row r="71" spans="1:7" x14ac:dyDescent="0.25">
      <c r="A71" s="31" t="s">
        <v>192</v>
      </c>
      <c r="B71" s="31"/>
      <c r="C71" s="31"/>
      <c r="D71" s="56">
        <v>793.0278</v>
      </c>
      <c r="E71" s="57">
        <f>D71/D70-1</f>
      </c>
      <c r="F71" s="32"/>
      <c r="G71" s="31" t="s">
        <v>115</v>
      </c>
    </row>
    <row r="72" spans="1:7" x14ac:dyDescent="0.25">
      <c r="A72" s="34" t="s">
        <v>193</v>
      </c>
      <c r="B72" s="34"/>
      <c r="C72" s="34"/>
      <c r="D72" s="58">
        <v>851.761</v>
      </c>
      <c r="E72" s="59">
        <f>D72/D71-1</f>
      </c>
      <c r="F72" s="32"/>
      <c r="G72" s="34" t="s">
        <v>115</v>
      </c>
    </row>
    <row r="73" spans="1:7" x14ac:dyDescent="0.25">
      <c r="A73" s="31" t="s">
        <v>194</v>
      </c>
      <c r="B73" s="31"/>
      <c r="C73" s="31"/>
      <c r="D73" s="56">
        <v>911.1316</v>
      </c>
      <c r="E73" s="57">
        <f>D73/D72-1</f>
      </c>
      <c r="F73" s="32"/>
      <c r="G73" s="31" t="s">
        <v>115</v>
      </c>
    </row>
    <row r="74" spans="1:7" x14ac:dyDescent="0.25">
      <c r="A74" s="34" t="s">
        <v>195</v>
      </c>
      <c r="B74" s="34"/>
      <c r="C74" s="34"/>
      <c r="D74" s="58">
        <v>967.3076</v>
      </c>
      <c r="E74" s="59">
        <f>D74/D73-1</f>
      </c>
      <c r="F74" s="32"/>
      <c r="G74" s="34" t="s">
        <v>115</v>
      </c>
    </row>
    <row r="75" spans="1:7" x14ac:dyDescent="0.25">
      <c r="A75" s="31" t="s">
        <v>196</v>
      </c>
      <c r="B75" s="31"/>
      <c r="C75" s="31"/>
      <c r="D75" s="56">
        <v>1028.706</v>
      </c>
      <c r="E75" s="57">
        <f>D75/D74-1</f>
      </c>
      <c r="F75" s="32"/>
      <c r="G75" s="31" t="s">
        <v>115</v>
      </c>
    </row>
    <row r="76" spans="1:7" x14ac:dyDescent="0.25">
      <c r="A76" s="34" t="s">
        <v>197</v>
      </c>
      <c r="B76" s="34"/>
      <c r="C76" s="34"/>
      <c r="D76" s="58">
        <v>1079.2787</v>
      </c>
      <c r="E76" s="59">
        <f>D76/D75-1</f>
      </c>
      <c r="F76" s="32"/>
      <c r="G76" s="34" t="s">
        <v>115</v>
      </c>
    </row>
    <row r="77" spans="1:7" x14ac:dyDescent="0.25">
      <c r="A77" s="31" t="s">
        <v>198</v>
      </c>
      <c r="B77" s="31"/>
      <c r="C77" s="31"/>
      <c r="D77" s="56">
        <v>1134.5875</v>
      </c>
      <c r="E77" s="57">
        <f>D77/D76-1</f>
      </c>
      <c r="F77" s="32"/>
      <c r="G77" s="31" t="s">
        <v>115</v>
      </c>
    </row>
    <row r="78" spans="1:7" x14ac:dyDescent="0.25">
      <c r="A78" s="34" t="s">
        <v>199</v>
      </c>
      <c r="B78" s="34"/>
      <c r="C78" s="34"/>
      <c r="D78" s="58">
        <v>1202.979</v>
      </c>
      <c r="E78" s="59">
        <f>D78/D77-1</f>
      </c>
      <c r="F78" s="32"/>
      <c r="G78" s="34" t="s">
        <v>115</v>
      </c>
    </row>
    <row r="79" spans="1:7" x14ac:dyDescent="0.25">
      <c r="A79" s="31" t="s">
        <v>200</v>
      </c>
      <c r="B79" s="31"/>
      <c r="C79" s="31"/>
      <c r="D79" s="56">
        <v>1282.7091</v>
      </c>
      <c r="E79" s="57">
        <f>D79/D78-1</f>
      </c>
      <c r="F79" s="32"/>
      <c r="G79" s="31" t="s">
        <v>115</v>
      </c>
    </row>
    <row r="80" spans="1:7" x14ac:dyDescent="0.25">
      <c r="A80" s="34" t="s">
        <v>201</v>
      </c>
      <c r="B80" s="34"/>
      <c r="C80" s="34"/>
      <c r="D80" s="58">
        <v>1381.1601</v>
      </c>
      <c r="E80" s="59">
        <f>D80/D79-1</f>
      </c>
      <c r="F80" s="32"/>
      <c r="G80" s="34" t="s">
        <v>115</v>
      </c>
    </row>
    <row r="81" spans="1:7" x14ac:dyDescent="0.25">
      <c r="A81" s="31" t="s">
        <v>202</v>
      </c>
      <c r="B81" s="31"/>
      <c r="C81" s="31"/>
      <c r="D81" s="56">
        <v>1497.2147</v>
      </c>
      <c r="E81" s="57">
        <f>D81/D80-1</f>
      </c>
      <c r="F81" s="32"/>
      <c r="G81" s="31" t="s">
        <v>115</v>
      </c>
    </row>
    <row r="82" spans="1:7" x14ac:dyDescent="0.25">
      <c r="A82" s="34" t="s">
        <v>203</v>
      </c>
      <c r="B82" s="34"/>
      <c r="C82" s="34"/>
      <c r="D82" s="58">
        <v>1613.5895</v>
      </c>
      <c r="E82" s="59">
        <f>D82/D81-1</f>
      </c>
      <c r="F82" s="32"/>
      <c r="G82" s="34" t="s">
        <v>115</v>
      </c>
    </row>
    <row r="83" spans="1:7" x14ac:dyDescent="0.25">
      <c r="A83" s="31" t="s">
        <v>204</v>
      </c>
      <c r="B83" s="31"/>
      <c r="C83" s="31"/>
      <c r="D83" s="56">
        <v>1709.6115</v>
      </c>
      <c r="E83" s="57">
        <f>D83/D82-1</f>
      </c>
      <c r="F83" s="32"/>
      <c r="G83" s="31" t="s">
        <v>115</v>
      </c>
    </row>
    <row r="84" spans="1:7" x14ac:dyDescent="0.25">
      <c r="A84" s="34" t="s">
        <v>205</v>
      </c>
      <c r="B84" s="34"/>
      <c r="C84" s="34"/>
      <c r="D84" s="58">
        <v>1818.0838</v>
      </c>
      <c r="E84" s="59">
        <f>D84/D83-1</f>
      </c>
      <c r="F84" s="32"/>
      <c r="G84" s="34" t="s">
        <v>115</v>
      </c>
    </row>
    <row r="85" spans="1:7" x14ac:dyDescent="0.25">
      <c r="A85" s="31" t="s">
        <v>206</v>
      </c>
      <c r="B85" s="31"/>
      <c r="C85" s="31"/>
      <c r="D85" s="56">
        <v>2044.2832</v>
      </c>
      <c r="E85" s="57">
        <f>D85/D84-1</f>
      </c>
      <c r="F85" s="32"/>
      <c r="G85" s="31" t="s">
        <v>115</v>
      </c>
    </row>
    <row r="86" spans="1:7" x14ac:dyDescent="0.25">
      <c r="A86" s="34" t="s">
        <v>207</v>
      </c>
      <c r="B86" s="34"/>
      <c r="C86" s="34"/>
      <c r="D86" s="58">
        <v>2304.9242</v>
      </c>
      <c r="E86" s="59">
        <f>D86/D85-1</f>
      </c>
      <c r="F86" s="32"/>
      <c r="G86" s="34" t="s">
        <v>115</v>
      </c>
    </row>
    <row r="87" spans="1:7" x14ac:dyDescent="0.25">
      <c r="A87" s="31" t="s">
        <v>208</v>
      </c>
      <c r="B87" s="31"/>
      <c r="C87" s="31"/>
      <c r="D87" s="56">
        <v>2496.273</v>
      </c>
      <c r="E87" s="57">
        <f>D87/D86-1</f>
      </c>
      <c r="F87" s="32"/>
      <c r="G87" s="31" t="s">
        <v>115</v>
      </c>
    </row>
    <row r="88" spans="1:7" x14ac:dyDescent="0.25">
      <c r="A88" s="34" t="s">
        <v>209</v>
      </c>
      <c r="B88" s="34"/>
      <c r="C88" s="34"/>
      <c r="D88" s="58">
        <v>2816.0628</v>
      </c>
      <c r="E88" s="59">
        <f>D88/D87-1</f>
      </c>
      <c r="F88" s="32"/>
      <c r="G88" s="34" t="s">
        <v>115</v>
      </c>
    </row>
    <row r="89" spans="1:7" x14ac:dyDescent="0.25">
      <c r="A89" s="31" t="s">
        <v>210</v>
      </c>
      <c r="B89" s="31"/>
      <c r="C89" s="31"/>
      <c r="D89" s="56">
        <v>3533.1922</v>
      </c>
      <c r="E89" s="57">
        <f>D89/D88-1</f>
      </c>
      <c r="F89" s="32"/>
      <c r="G89" s="31" t="s">
        <v>115</v>
      </c>
    </row>
    <row r="90" spans="1:7" x14ac:dyDescent="0.25">
      <c r="A90" s="34" t="s">
        <v>211</v>
      </c>
      <c r="B90" s="34"/>
      <c r="C90" s="34"/>
      <c r="D90" s="58">
        <v>4261.5324</v>
      </c>
      <c r="E90" s="59">
        <f>D90/D89-1</f>
      </c>
      <c r="F90" s="32"/>
      <c r="G90" s="34" t="s">
        <v>115</v>
      </c>
    </row>
    <row r="91" spans="1:7" x14ac:dyDescent="0.25">
      <c r="A91" s="31" t="s">
        <v>212</v>
      </c>
      <c r="B91" s="31"/>
      <c r="C91" s="31"/>
      <c r="D91" s="56">
        <v>4825.7881</v>
      </c>
      <c r="E91" s="57">
        <f>D91/D90-1</f>
      </c>
      <c r="F91" s="32"/>
      <c r="G91" s="31" t="s">
        <v>115</v>
      </c>
    </row>
    <row r="92" spans="1:7" x14ac:dyDescent="0.25">
      <c r="A92" s="34" t="s">
        <v>213</v>
      </c>
      <c r="B92" s="34"/>
      <c r="C92" s="34"/>
      <c r="D92" s="58">
        <v>5357.0929</v>
      </c>
      <c r="E92" s="59">
        <f>D92/D91-1</f>
      </c>
      <c r="F92" s="32"/>
      <c r="G92" s="34" t="s">
        <v>115</v>
      </c>
    </row>
    <row r="93" spans="1:7" x14ac:dyDescent="0.25">
      <c r="A93" s="31" t="s">
        <v>214</v>
      </c>
      <c r="B93" s="31"/>
      <c r="C93" s="31"/>
      <c r="D93" s="56">
        <v>5830.2271</v>
      </c>
      <c r="E93" s="57">
        <f>D93/D92-1</f>
      </c>
      <c r="F93" s="32"/>
      <c r="G93" s="31" t="s">
        <v>115</v>
      </c>
    </row>
    <row r="94" spans="1:7" x14ac:dyDescent="0.25">
      <c r="A94" s="34" t="s">
        <v>215</v>
      </c>
      <c r="B94" s="34"/>
      <c r="C94" s="34"/>
      <c r="D94" s="58">
        <v>6073.7</v>
      </c>
      <c r="E94" s="59">
        <f>D94/D93-1</f>
      </c>
      <c r="F94" s="32"/>
      <c r="G94" s="34" t="s">
        <v>115</v>
      </c>
    </row>
    <row r="95" spans="1:7" x14ac:dyDescent="0.25">
      <c r="A95" s="31" t="s">
        <v>216</v>
      </c>
      <c r="B95" s="31"/>
      <c r="C95" s="31"/>
      <c r="D95" s="56">
        <v>6351.7145</v>
      </c>
      <c r="E95" s="57">
        <f>D95/D94-1</f>
      </c>
      <c r="F95" s="32"/>
      <c r="G95" s="31" t="s">
        <v>115</v>
      </c>
    </row>
    <row r="96" spans="1:7" x14ac:dyDescent="0.25">
      <c r="A96" s="34" t="s">
        <v>217</v>
      </c>
      <c r="B96" s="34"/>
      <c r="C96" s="34"/>
      <c r="D96" s="58">
        <v>6607.7479</v>
      </c>
      <c r="E96" s="59">
        <f>D96/D95-1</f>
      </c>
      <c r="F96" s="32"/>
      <c r="G96" s="34" t="s">
        <v>115</v>
      </c>
    </row>
    <row r="97" spans="1:7" x14ac:dyDescent="0.25">
      <c r="A97" s="31" t="s">
        <v>218</v>
      </c>
      <c r="B97" s="31"/>
      <c r="C97" s="31"/>
      <c r="D97" s="56">
        <v>6883.4412</v>
      </c>
      <c r="E97" s="57">
        <f>D97/D96-1</f>
      </c>
      <c r="F97" s="32"/>
      <c r="G97" s="31" t="s">
        <v>115</v>
      </c>
    </row>
    <row r="98" spans="1:7" x14ac:dyDescent="0.25">
      <c r="A98" s="34" t="s">
        <v>219</v>
      </c>
      <c r="B98" s="34"/>
      <c r="C98" s="34"/>
      <c r="D98" s="58">
        <v>7122.2421</v>
      </c>
      <c r="E98" s="59">
        <f>D98/D97-1</f>
      </c>
      <c r="F98" s="32"/>
      <c r="G98" s="34" t="s">
        <v>115</v>
      </c>
    </row>
    <row r="99" spans="1:7" x14ac:dyDescent="0.25">
      <c r="A99" s="31" t="s">
        <v>220</v>
      </c>
      <c r="B99" s="31"/>
      <c r="C99" s="31"/>
      <c r="D99" s="56">
        <v>7313.9542</v>
      </c>
      <c r="E99" s="57">
        <f>D99/D98-1</f>
      </c>
      <c r="F99" s="32"/>
      <c r="G99" s="31" t="s">
        <v>115</v>
      </c>
    </row>
    <row r="100" spans="1:7" x14ac:dyDescent="0.25">
      <c r="A100" s="34" t="s">
        <v>221</v>
      </c>
      <c r="B100" s="34"/>
      <c r="C100" s="34"/>
      <c r="D100" s="58">
        <v>7491.4314</v>
      </c>
      <c r="E100" s="59">
        <f>D100/D99-1</f>
      </c>
      <c r="F100" s="32"/>
      <c r="G100" s="34" t="s">
        <v>115</v>
      </c>
    </row>
    <row r="101" spans="1:7" x14ac:dyDescent="0.25">
      <c r="A101" s="31" t="s">
        <v>222</v>
      </c>
      <c r="B101" s="31"/>
      <c r="C101" s="31"/>
      <c r="D101" s="56">
        <v>7694.0075</v>
      </c>
      <c r="E101" s="57">
        <f>D101/D100-1</f>
      </c>
      <c r="F101" s="32"/>
      <c r="G101" s="31" t="s">
        <v>115</v>
      </c>
    </row>
    <row r="102" spans="1:7" x14ac:dyDescent="0.25">
      <c r="A102" s="34" t="s">
        <v>223</v>
      </c>
      <c r="B102" s="34"/>
      <c r="C102" s="34"/>
      <c r="D102" s="58">
        <v>7864.1257</v>
      </c>
      <c r="E102" s="59">
        <f>D102/D101-1</f>
      </c>
      <c r="F102" s="32"/>
      <c r="G102" s="34" t="s">
        <v>115</v>
      </c>
    </row>
    <row r="103" spans="1:7" x14ac:dyDescent="0.25">
      <c r="A103" s="31" t="s">
        <v>224</v>
      </c>
      <c r="B103" s="31"/>
      <c r="C103" s="31"/>
      <c r="D103" s="56">
        <v>8052.9927</v>
      </c>
      <c r="E103" s="57">
        <f>D103/D102-1</f>
      </c>
      <c r="F103" s="32"/>
      <c r="G103" s="31" t="s">
        <v>115</v>
      </c>
    </row>
    <row r="104" spans="1:7" x14ac:dyDescent="0.25">
      <c r="A104" s="34" t="s">
        <v>225</v>
      </c>
      <c r="B104" s="34"/>
      <c r="C104" s="34"/>
      <c r="D104" s="58">
        <v>8353.3158</v>
      </c>
      <c r="E104" s="59">
        <f>D104/D103-1</f>
      </c>
      <c r="F104" s="32"/>
      <c r="G104" s="34" t="s">
        <v>115</v>
      </c>
    </row>
    <row r="105" spans="1:7" x14ac:dyDescent="0.25">
      <c r="A105" s="31" t="s">
        <v>226</v>
      </c>
      <c r="B105" s="31"/>
      <c r="C105" s="31"/>
      <c r="D105" s="56">
        <v>8585.6078</v>
      </c>
      <c r="E105" s="57">
        <f>D105/D104-1</f>
      </c>
      <c r="F105" s="32"/>
      <c r="G105" s="31" t="s">
        <v>115</v>
      </c>
    </row>
    <row r="106" spans="1:7" x14ac:dyDescent="0.25">
      <c r="A106" s="34" t="s">
        <v>227</v>
      </c>
      <c r="B106" s="34"/>
      <c r="C106" s="34"/>
      <c r="D106" s="58">
        <v>8714.4871</v>
      </c>
      <c r="E106" s="59">
        <f>D106/D105-1</f>
      </c>
      <c r="F106" s="32"/>
      <c r="G106" s="34" t="s">
        <v>115</v>
      </c>
    </row>
    <row r="107" spans="1:7" x14ac:dyDescent="0.25">
      <c r="A107" s="31" t="s">
        <v>228</v>
      </c>
      <c r="B107" s="31"/>
      <c r="C107" s="31"/>
      <c r="D107" s="56">
        <v>8855.5681</v>
      </c>
      <c r="E107" s="57">
        <f>D107/D106-1</f>
      </c>
      <c r="F107" s="32"/>
      <c r="G107" s="31" t="s">
        <v>115</v>
      </c>
    </row>
    <row r="108" spans="1:7" x14ac:dyDescent="0.25">
      <c r="A108" s="34" t="s">
        <v>229</v>
      </c>
      <c r="B108" s="34"/>
      <c r="C108" s="34"/>
      <c r="D108" s="58">
        <v>9023.973</v>
      </c>
      <c r="E108" s="59">
        <f>D108/D107-1</f>
      </c>
      <c r="F108" s="32"/>
      <c r="G108" s="34" t="s">
        <v>115</v>
      </c>
    </row>
    <row r="109" spans="1:7" x14ac:dyDescent="0.25">
      <c r="A109" s="31" t="s">
        <v>230</v>
      </c>
      <c r="B109" s="31"/>
      <c r="C109" s="31"/>
      <c r="D109" s="56">
        <v>9193.2441</v>
      </c>
      <c r="E109" s="57">
        <f>D109/D108-1</f>
      </c>
      <c r="F109" s="32"/>
      <c r="G109" s="31" t="s">
        <v>115</v>
      </c>
    </row>
    <row r="110" spans="1:7" x14ac:dyDescent="0.25">
      <c r="A110" s="34" t="s">
        <v>231</v>
      </c>
      <c r="B110" s="34"/>
      <c r="C110" s="34"/>
      <c r="D110" s="58">
        <v>9384.0922</v>
      </c>
      <c r="E110" s="59">
        <f>D110/D109-1</f>
      </c>
      <c r="F110" s="32"/>
      <c r="G110" s="34" t="s">
        <v>115</v>
      </c>
    </row>
    <row r="111" spans="1:7" x14ac:dyDescent="0.25">
      <c r="A111" s="31" t="s">
        <v>232</v>
      </c>
      <c r="B111" s="31"/>
      <c r="C111" s="31"/>
      <c r="D111" s="56">
        <v>9603.8623</v>
      </c>
      <c r="E111" s="57">
        <f>D111/D110-1</f>
      </c>
      <c r="F111" s="32"/>
      <c r="G111" s="31" t="s">
        <v>115</v>
      </c>
    </row>
    <row r="112" spans="1:7" x14ac:dyDescent="0.25">
      <c r="A112" s="34" t="s">
        <v>233</v>
      </c>
      <c r="B112" s="34"/>
      <c r="C112" s="34"/>
      <c r="D112" s="58">
        <v>9841.3581</v>
      </c>
      <c r="E112" s="59">
        <f>D112/D111-1</f>
      </c>
      <c r="F112" s="32"/>
      <c r="G112" s="34" t="s">
        <v>115</v>
      </c>
    </row>
    <row r="113" spans="1:7" x14ac:dyDescent="0.25">
      <c r="A113" s="31" t="s">
        <v>234</v>
      </c>
      <c r="B113" s="31"/>
      <c r="C113" s="31"/>
      <c r="D113" s="56">
        <v>10121.3715</v>
      </c>
      <c r="E113" s="57">
        <f>D113/D112-1</f>
      </c>
      <c r="F113" s="32"/>
      <c r="G113" s="31" t="s">
        <v>115</v>
      </c>
    </row>
    <row r="114" spans="1:7" x14ac:dyDescent="0.25">
      <c r="A114" s="34" t="s">
        <v>235</v>
      </c>
      <c r="B114" s="34"/>
      <c r="C114" s="34"/>
      <c r="D114" s="58">
        <v>10413.0309</v>
      </c>
      <c r="E114" s="59">
        <f>D114/D113-1</f>
      </c>
      <c r="F114" s="32"/>
      <c r="G114" s="34" t="s">
        <v>115</v>
      </c>
    </row>
    <row r="115" spans="1:7" x14ac:dyDescent="0.25">
      <c r="A115" s="31" t="s">
        <v>236</v>
      </c>
      <c r="B115" s="31"/>
      <c r="C115" s="31"/>
      <c r="D115" s="56">
        <v>10714.6255</v>
      </c>
      <c r="E115" s="57">
        <f>D115/D114-1</f>
      </c>
      <c r="F115" s="32"/>
      <c r="G115" s="31" t="s">
        <v>115</v>
      </c>
    </row>
    <row r="116" spans="1:7" x14ac:dyDescent="0.25">
      <c r="A116" s="34" t="s">
        <v>237</v>
      </c>
      <c r="B116" s="34"/>
      <c r="C116" s="34"/>
      <c r="D116" s="58">
        <v>11077.0608</v>
      </c>
      <c r="E116" s="59">
        <f>D116/D115-1</f>
      </c>
      <c r="F116" s="32"/>
      <c r="G116" s="34" t="s">
        <v>115</v>
      </c>
    </row>
    <row r="117" spans="1:7" x14ac:dyDescent="0.25">
      <c r="A117" s="31" t="s">
        <v>238</v>
      </c>
      <c r="B117" s="31"/>
      <c r="C117" s="31"/>
      <c r="D117" s="56">
        <v>11363.0904</v>
      </c>
      <c r="E117" s="57">
        <f>D117/D116-1</f>
      </c>
      <c r="F117" s="32"/>
      <c r="G117" s="31" t="s">
        <v>115</v>
      </c>
    </row>
    <row r="118" spans="1:7" x14ac:dyDescent="0.25">
      <c r="A118" s="34" t="s">
        <v>239</v>
      </c>
      <c r="B118" s="34"/>
      <c r="C118" s="34"/>
      <c r="D118" s="58">
        <v>11607.3937</v>
      </c>
      <c r="E118" s="59">
        <f>D118/D117-1</f>
      </c>
      <c r="F118" s="32"/>
      <c r="G118" s="34" t="s">
        <v>115</v>
      </c>
    </row>
    <row r="119" spans="1:7" x14ac:dyDescent="0.25">
      <c r="A119" s="31" t="s">
        <v>240</v>
      </c>
      <c r="B119" s="31"/>
      <c r="C119" s="31"/>
      <c r="D119" s="56">
        <v>11826.4103</v>
      </c>
      <c r="E119" s="57">
        <f>D119/D118-1</f>
      </c>
      <c r="F119" s="32"/>
      <c r="G119" s="31" t="s">
        <v>115</v>
      </c>
    </row>
    <row r="120" spans="1:7" x14ac:dyDescent="0.25">
      <c r="A120" s="34" t="s">
        <v>241</v>
      </c>
      <c r="B120" s="34"/>
      <c r="C120" s="34"/>
      <c r="D120" s="58">
        <v>12076.3937</v>
      </c>
      <c r="E120" s="59">
        <f>D120/D119-1</f>
      </c>
      <c r="F120" s="32"/>
      <c r="G120" s="34" t="s">
        <v>115</v>
      </c>
    </row>
    <row r="121" spans="1:7" x14ac:dyDescent="0.25">
      <c r="A121" s="31" t="s">
        <v>242</v>
      </c>
      <c r="B121" s="31"/>
      <c r="C121" s="31"/>
      <c r="D121" s="56">
        <v>12276.766</v>
      </c>
      <c r="E121" s="57">
        <f>D121/D120-1</f>
      </c>
      <c r="F121" s="32"/>
      <c r="G121" s="31" t="s">
        <v>115</v>
      </c>
    </row>
    <row r="122" spans="1:7" x14ac:dyDescent="0.25">
      <c r="A122" s="34" t="s">
        <v>243</v>
      </c>
      <c r="B122" s="34"/>
      <c r="C122" s="34"/>
      <c r="D122" s="58">
        <f>IF(OR(F122="",D121=""),"",D121*(1+F122/100))</f>
      </c>
      <c r="E122" s="59">
        <f>IF(D122="","",D122/D121-1)</f>
      </c>
      <c r="F122" s="60"/>
      <c r="G122" s="34">
        <f>IF(F122="","","Cargado por vos")</f>
      </c>
    </row>
    <row r="123" spans="1:7" x14ac:dyDescent="0.25">
      <c r="A123" s="31" t="s">
        <v>244</v>
      </c>
      <c r="B123" s="31"/>
      <c r="C123" s="31"/>
      <c r="D123" s="56">
        <f>IF(OR(F123="",D122=""),"",D122*(1+F123/100))</f>
      </c>
      <c r="E123" s="57">
        <f>IF(D123="","",D123/D122-1)</f>
      </c>
      <c r="F123" s="60"/>
      <c r="G123" s="31">
        <f>IF(F123="","","Cargado por vos")</f>
      </c>
    </row>
    <row r="124" spans="1:7" x14ac:dyDescent="0.25">
      <c r="A124" s="34" t="s">
        <v>245</v>
      </c>
      <c r="B124" s="34"/>
      <c r="C124" s="34"/>
      <c r="D124" s="58">
        <f>IF(OR(F124="",D123=""),"",D123*(1+F124/100))</f>
      </c>
      <c r="E124" s="59">
        <f>IF(D124="","",D124/D123-1)</f>
      </c>
      <c r="F124" s="60"/>
      <c r="G124" s="34">
        <f>IF(F124="","","Cargado por vos")</f>
      </c>
    </row>
    <row r="125" spans="1:7" x14ac:dyDescent="0.25">
      <c r="A125" s="31" t="s">
        <v>246</v>
      </c>
      <c r="B125" s="31"/>
      <c r="C125" s="31"/>
      <c r="D125" s="56">
        <f>IF(OR(F125="",D124=""),"",D124*(1+F125/100))</f>
      </c>
      <c r="E125" s="57">
        <f>IF(D125="","",D125/D124-1)</f>
      </c>
      <c r="F125" s="60"/>
      <c r="G125" s="31">
        <f>IF(F125="","","Cargado por vos")</f>
      </c>
    </row>
    <row r="126" spans="1:7" x14ac:dyDescent="0.25">
      <c r="A126" s="34" t="s">
        <v>247</v>
      </c>
      <c r="B126" s="34"/>
      <c r="C126" s="34"/>
      <c r="D126" s="58">
        <f>IF(OR(F126="",D125=""),"",D125*(1+F126/100))</f>
      </c>
      <c r="E126" s="59">
        <f>IF(D126="","",D126/D125-1)</f>
      </c>
      <c r="F126" s="60"/>
      <c r="G126" s="34">
        <f>IF(F126="","","Cargado por vos")</f>
      </c>
    </row>
    <row r="127" spans="1:7" x14ac:dyDescent="0.25">
      <c r="A127" s="31" t="s">
        <v>248</v>
      </c>
      <c r="B127" s="31"/>
      <c r="C127" s="31"/>
      <c r="D127" s="56">
        <f>IF(OR(F127="",D126=""),"",D126*(1+F127/100))</f>
      </c>
      <c r="E127" s="57">
        <f>IF(D127="","",D127/D126-1)</f>
      </c>
      <c r="F127" s="60"/>
      <c r="G127" s="31">
        <f>IF(F127="","","Cargado por vos")</f>
      </c>
    </row>
    <row r="128" spans="1:7" x14ac:dyDescent="0.25">
      <c r="A128" s="34" t="s">
        <v>249</v>
      </c>
      <c r="B128" s="34"/>
      <c r="C128" s="34"/>
      <c r="D128" s="58">
        <f>IF(OR(F128="",D127=""),"",D127*(1+F128/100))</f>
      </c>
      <c r="E128" s="59">
        <f>IF(D128="","",D128/D127-1)</f>
      </c>
      <c r="F128" s="60"/>
      <c r="G128" s="34">
        <f>IF(F128="","","Cargado por vos")</f>
      </c>
    </row>
    <row r="129" spans="1:7" x14ac:dyDescent="0.25">
      <c r="A129" s="31" t="s">
        <v>250</v>
      </c>
      <c r="B129" s="31"/>
      <c r="C129" s="31"/>
      <c r="D129" s="56">
        <f>IF(OR(F129="",D128=""),"",D128*(1+F129/100))</f>
      </c>
      <c r="E129" s="57">
        <f>IF(D129="","",D129/D128-1)</f>
      </c>
      <c r="F129" s="60"/>
      <c r="G129" s="31">
        <f>IF(F129="","","Cargado por vos")</f>
      </c>
    </row>
    <row r="130" spans="1:7" x14ac:dyDescent="0.25">
      <c r="A130" s="34" t="s">
        <v>251</v>
      </c>
      <c r="B130" s="34"/>
      <c r="C130" s="34"/>
      <c r="D130" s="58">
        <f>IF(OR(F130="",D129=""),"",D129*(1+F130/100))</f>
      </c>
      <c r="E130" s="59">
        <f>IF(D130="","",D130/D129-1)</f>
      </c>
      <c r="F130" s="60"/>
      <c r="G130" s="34">
        <f>IF(F130="","","Cargado por vos")</f>
      </c>
    </row>
    <row r="131" spans="1:7" x14ac:dyDescent="0.25">
      <c r="A131" s="31" t="s">
        <v>252</v>
      </c>
      <c r="B131" s="31"/>
      <c r="C131" s="31"/>
      <c r="D131" s="56">
        <f>IF(OR(F131="",D130=""),"",D130*(1+F131/100))</f>
      </c>
      <c r="E131" s="57">
        <f>IF(D131="","",D131/D130-1)</f>
      </c>
      <c r="F131" s="60"/>
      <c r="G131" s="31">
        <f>IF(F131="","","Cargado por vos")</f>
      </c>
    </row>
    <row r="132" spans="1:7" x14ac:dyDescent="0.25">
      <c r="A132" s="34" t="s">
        <v>253</v>
      </c>
      <c r="B132" s="34"/>
      <c r="C132" s="34"/>
      <c r="D132" s="58">
        <f>IF(OR(F132="",D131=""),"",D131*(1+F132/100))</f>
      </c>
      <c r="E132" s="59">
        <f>IF(D132="","",D132/D131-1)</f>
      </c>
      <c r="F132" s="60"/>
      <c r="G132" s="34">
        <f>IF(F132="","","Cargado por vos")</f>
      </c>
    </row>
    <row r="133" spans="1:7" x14ac:dyDescent="0.25">
      <c r="A133" s="31" t="s">
        <v>254</v>
      </c>
      <c r="B133" s="31"/>
      <c r="C133" s="31"/>
      <c r="D133" s="56">
        <f>IF(OR(F133="",D132=""),"",D132*(1+F133/100))</f>
      </c>
      <c r="E133" s="57">
        <f>IF(D133="","",D133/D132-1)</f>
      </c>
      <c r="F133" s="60"/>
      <c r="G133" s="31">
        <f>IF(F133="","","Cargado por vos")</f>
      </c>
    </row>
    <row r="134" spans="1:7" x14ac:dyDescent="0.25">
      <c r="A134" s="34" t="s">
        <v>255</v>
      </c>
      <c r="B134" s="34"/>
      <c r="C134" s="34"/>
      <c r="D134" s="58">
        <f>IF(OR(F134="",D133=""),"",D133*(1+F134/100))</f>
      </c>
      <c r="E134" s="59">
        <f>IF(D134="","",D134/D133-1)</f>
      </c>
      <c r="F134" s="60"/>
      <c r="G134" s="34">
        <f>IF(F134="","","Cargado por vos")</f>
      </c>
    </row>
    <row r="135" spans="1:7" x14ac:dyDescent="0.25">
      <c r="A135" s="31" t="s">
        <v>256</v>
      </c>
      <c r="B135" s="31"/>
      <c r="C135" s="31"/>
      <c r="D135" s="56">
        <f>IF(OR(F135="",D134=""),"",D134*(1+F135/100))</f>
      </c>
      <c r="E135" s="57">
        <f>IF(D135="","",D135/D134-1)</f>
      </c>
      <c r="F135" s="60"/>
      <c r="G135" s="31">
        <f>IF(F135="","","Cargado por vos")</f>
      </c>
    </row>
    <row r="136" spans="1:7" x14ac:dyDescent="0.25">
      <c r="A136" s="34" t="s">
        <v>257</v>
      </c>
      <c r="B136" s="34"/>
      <c r="C136" s="34"/>
      <c r="D136" s="58">
        <f>IF(OR(F136="",D135=""),"",D135*(1+F136/100))</f>
      </c>
      <c r="E136" s="59">
        <f>IF(D136="","",D136/D135-1)</f>
      </c>
      <c r="F136" s="60"/>
      <c r="G136" s="34">
        <f>IF(F136="","","Cargado por vos")</f>
      </c>
    </row>
    <row r="137" spans="1:7" x14ac:dyDescent="0.25">
      <c r="A137" s="31" t="s">
        <v>258</v>
      </c>
      <c r="B137" s="31"/>
      <c r="C137" s="31"/>
      <c r="D137" s="56">
        <f>IF(OR(F137="",D136=""),"",D136*(1+F137/100))</f>
      </c>
      <c r="E137" s="57">
        <f>IF(D137="","",D137/D136-1)</f>
      </c>
      <c r="F137" s="60"/>
      <c r="G137" s="31">
        <f>IF(F137="","","Cargado por vos")</f>
      </c>
    </row>
    <row r="138" spans="1:7" x14ac:dyDescent="0.25">
      <c r="A138" s="34" t="s">
        <v>259</v>
      </c>
      <c r="B138" s="34"/>
      <c r="C138" s="34"/>
      <c r="D138" s="58">
        <f>IF(OR(F138="",D137=""),"",D137*(1+F138/100))</f>
      </c>
      <c r="E138" s="59">
        <f>IF(D138="","",D138/D137-1)</f>
      </c>
      <c r="F138" s="60"/>
      <c r="G138" s="34">
        <f>IF(F138="","","Cargado por vos")</f>
      </c>
    </row>
    <row r="139" spans="1:7" x14ac:dyDescent="0.25">
      <c r="A139" s="31" t="s">
        <v>260</v>
      </c>
      <c r="B139" s="31"/>
      <c r="C139" s="31"/>
      <c r="D139" s="56">
        <f>IF(OR(F139="",D138=""),"",D138*(1+F139/100))</f>
      </c>
      <c r="E139" s="57">
        <f>IF(D139="","",D139/D138-1)</f>
      </c>
      <c r="F139" s="60"/>
      <c r="G139" s="31">
        <f>IF(F139="","","Cargado por vos")</f>
      </c>
    </row>
    <row r="140" spans="1:7" x14ac:dyDescent="0.25">
      <c r="A140" s="34" t="s">
        <v>261</v>
      </c>
      <c r="B140" s="34"/>
      <c r="C140" s="34"/>
      <c r="D140" s="58">
        <f>IF(OR(F140="",D139=""),"",D139*(1+F140/100))</f>
      </c>
      <c r="E140" s="59">
        <f>IF(D140="","",D140/D139-1)</f>
      </c>
      <c r="F140" s="60"/>
      <c r="G140" s="34">
        <f>IF(F140="","","Cargado por vos")</f>
      </c>
    </row>
    <row r="141" spans="1:7" x14ac:dyDescent="0.25">
      <c r="A141" s="31" t="s">
        <v>262</v>
      </c>
      <c r="B141" s="31"/>
      <c r="C141" s="31"/>
      <c r="D141" s="56">
        <f>IF(OR(F141="",D140=""),"",D140*(1+F141/100))</f>
      </c>
      <c r="E141" s="57">
        <f>IF(D141="","",D141/D140-1)</f>
      </c>
      <c r="F141" s="60"/>
      <c r="G141" s="31">
        <f>IF(F141="","","Cargado por vos")</f>
      </c>
    </row>
    <row r="142" spans="1:7" x14ac:dyDescent="0.25">
      <c r="A142" s="34" t="s">
        <v>263</v>
      </c>
      <c r="B142" s="34"/>
      <c r="C142" s="34"/>
      <c r="D142" s="58">
        <f>IF(OR(F142="",D141=""),"",D141*(1+F142/100))</f>
      </c>
      <c r="E142" s="59">
        <f>IF(D142="","",D142/D141-1)</f>
      </c>
      <c r="F142" s="60"/>
      <c r="G142" s="34">
        <f>IF(F142="","","Cargado por vos")</f>
      </c>
    </row>
    <row r="143" spans="1:7" x14ac:dyDescent="0.25">
      <c r="A143" s="31" t="s">
        <v>264</v>
      </c>
      <c r="B143" s="31"/>
      <c r="C143" s="31"/>
      <c r="D143" s="56">
        <f>IF(OR(F143="",D142=""),"",D142*(1+F143/100))</f>
      </c>
      <c r="E143" s="57">
        <f>IF(D143="","",D143/D142-1)</f>
      </c>
      <c r="F143" s="60"/>
      <c r="G143" s="31">
        <f>IF(F143="","","Cargado por vos")</f>
      </c>
    </row>
    <row r="144" spans="1:7" x14ac:dyDescent="0.25">
      <c r="A144" s="34" t="s">
        <v>265</v>
      </c>
      <c r="B144" s="34"/>
      <c r="C144" s="34"/>
      <c r="D144" s="58">
        <f>IF(OR(F144="",D143=""),"",D143*(1+F144/100))</f>
      </c>
      <c r="E144" s="59">
        <f>IF(D144="","",D144/D143-1)</f>
      </c>
      <c r="F144" s="60"/>
      <c r="G144" s="34">
        <f>IF(F144="","","Cargado por vos")</f>
      </c>
    </row>
    <row r="145" spans="1:7" x14ac:dyDescent="0.25">
      <c r="A145" s="31" t="s">
        <v>266</v>
      </c>
      <c r="B145" s="31"/>
      <c r="C145" s="31"/>
      <c r="D145" s="56">
        <f>IF(OR(F145="",D144=""),"",D144*(1+F145/100))</f>
      </c>
      <c r="E145" s="57">
        <f>IF(D145="","",D145/D144-1)</f>
      </c>
      <c r="F145" s="60"/>
      <c r="G145" s="31">
        <f>IF(F145="","","Cargado por vos")</f>
      </c>
    </row>
    <row r="146" spans="1:7" x14ac:dyDescent="0.25">
      <c r="A146" s="34" t="s">
        <v>267</v>
      </c>
      <c r="B146" s="34"/>
      <c r="C146" s="34"/>
      <c r="D146" s="58">
        <f>IF(OR(F146="",D145=""),"",D145*(1+F146/100))</f>
      </c>
      <c r="E146" s="59">
        <f>IF(D146="","",D146/D145-1)</f>
      </c>
      <c r="F146" s="60"/>
      <c r="G146" s="34">
        <f>IF(F146="","","Cargado por vos")</f>
      </c>
    </row>
    <row r="147" spans="1:7" x14ac:dyDescent="0.25">
      <c r="A147" s="31" t="s">
        <v>268</v>
      </c>
      <c r="B147" s="31"/>
      <c r="C147" s="31"/>
      <c r="D147" s="56">
        <f>IF(OR(F147="",D146=""),"",D146*(1+F147/100))</f>
      </c>
      <c r="E147" s="57">
        <f>IF(D147="","",D147/D146-1)</f>
      </c>
      <c r="F147" s="60"/>
      <c r="G147" s="31">
        <f>IF(F147="","","Cargado por vos")</f>
      </c>
    </row>
    <row r="148" spans="1:7" x14ac:dyDescent="0.25">
      <c r="A148" s="34" t="s">
        <v>269</v>
      </c>
      <c r="B148" s="34"/>
      <c r="C148" s="34"/>
      <c r="D148" s="58">
        <f>IF(OR(F148="",D147=""),"",D147*(1+F148/100))</f>
      </c>
      <c r="E148" s="59">
        <f>IF(D148="","",D148/D147-1)</f>
      </c>
      <c r="F148" s="60"/>
      <c r="G148" s="34">
        <f>IF(F148="","","Cargado por vos")</f>
      </c>
    </row>
    <row r="149" spans="1:7" x14ac:dyDescent="0.25">
      <c r="A149" s="31" t="s">
        <v>270</v>
      </c>
      <c r="B149" s="31"/>
      <c r="C149" s="31"/>
      <c r="D149" s="56">
        <f>IF(OR(F149="",D148=""),"",D148*(1+F149/100))</f>
      </c>
      <c r="E149" s="57">
        <f>IF(D149="","",D149/D148-1)</f>
      </c>
      <c r="F149" s="60"/>
      <c r="G149" s="31">
        <f>IF(F149="","","Cargado por vos")</f>
      </c>
    </row>
    <row r="150" spans="1:7" x14ac:dyDescent="0.25">
      <c r="A150" s="34" t="s">
        <v>271</v>
      </c>
      <c r="B150" s="34"/>
      <c r="C150" s="34"/>
      <c r="D150" s="58">
        <f>IF(OR(F150="",D149=""),"",D149*(1+F150/100))</f>
      </c>
      <c r="E150" s="59">
        <f>IF(D150="","",D150/D149-1)</f>
      </c>
      <c r="F150" s="60"/>
      <c r="G150" s="34">
        <f>IF(F150="","","Cargado por vos")</f>
      </c>
    </row>
    <row r="151" spans="1:7" x14ac:dyDescent="0.25">
      <c r="A151" s="31" t="s">
        <v>272</v>
      </c>
      <c r="B151" s="31"/>
      <c r="C151" s="31"/>
      <c r="D151" s="56">
        <f>IF(OR(F151="",D150=""),"",D150*(1+F151/100))</f>
      </c>
      <c r="E151" s="57">
        <f>IF(D151="","",D151/D150-1)</f>
      </c>
      <c r="F151" s="60"/>
      <c r="G151" s="31">
        <f>IF(F151="","","Cargado por vos")</f>
      </c>
    </row>
    <row r="152" spans="1:7" x14ac:dyDescent="0.25">
      <c r="A152" s="34" t="s">
        <v>273</v>
      </c>
      <c r="B152" s="34"/>
      <c r="C152" s="34"/>
      <c r="D152" s="58">
        <f>IF(OR(F152="",D151=""),"",D151*(1+F152/100))</f>
      </c>
      <c r="E152" s="59">
        <f>IF(D152="","",D152/D151-1)</f>
      </c>
      <c r="F152" s="60"/>
      <c r="G152" s="34">
        <f>IF(F152="","","Cargado por vos")</f>
      </c>
    </row>
    <row r="153" spans="1:7" x14ac:dyDescent="0.25">
      <c r="A153" s="31" t="s">
        <v>274</v>
      </c>
      <c r="B153" s="31"/>
      <c r="C153" s="31"/>
      <c r="D153" s="56">
        <f>IF(OR(F153="",D152=""),"",D152*(1+F153/100))</f>
      </c>
      <c r="E153" s="57">
        <f>IF(D153="","",D153/D152-1)</f>
      </c>
      <c r="F153" s="60"/>
      <c r="G153" s="31">
        <f>IF(F153="","","Cargado por vos")</f>
      </c>
    </row>
    <row r="154" spans="1:7" x14ac:dyDescent="0.25">
      <c r="A154" s="34" t="s">
        <v>275</v>
      </c>
      <c r="B154" s="34"/>
      <c r="C154" s="34"/>
      <c r="D154" s="58">
        <f>IF(OR(F154="",D153=""),"",D153*(1+F154/100))</f>
      </c>
      <c r="E154" s="59">
        <f>IF(D154="","",D154/D153-1)</f>
      </c>
      <c r="F154" s="60"/>
      <c r="G154" s="34">
        <f>IF(F154="","","Cargado por vos")</f>
      </c>
    </row>
    <row r="155" spans="1:7" x14ac:dyDescent="0.25">
      <c r="A155" s="31" t="s">
        <v>276</v>
      </c>
      <c r="B155" s="31"/>
      <c r="C155" s="31"/>
      <c r="D155" s="56">
        <f>IF(OR(F155="",D154=""),"",D154*(1+F155/100))</f>
      </c>
      <c r="E155" s="57">
        <f>IF(D155="","",D155/D154-1)</f>
      </c>
      <c r="F155" s="60"/>
      <c r="G155" s="31">
        <f>IF(F155="","","Cargado por vos")</f>
      </c>
    </row>
    <row r="156" spans="1:7" x14ac:dyDescent="0.25">
      <c r="A156" s="34" t="s">
        <v>277</v>
      </c>
      <c r="B156" s="34"/>
      <c r="C156" s="34"/>
      <c r="D156" s="58">
        <f>IF(OR(F156="",D155=""),"",D155*(1+F156/100))</f>
      </c>
      <c r="E156" s="59">
        <f>IF(D156="","",D156/D155-1)</f>
      </c>
      <c r="F156" s="60"/>
      <c r="G156" s="34">
        <f>IF(F156="","","Cargado por vos")</f>
      </c>
    </row>
    <row r="157" spans="1:7" x14ac:dyDescent="0.25">
      <c r="A157" s="31" t="s">
        <v>278</v>
      </c>
      <c r="B157" s="31"/>
      <c r="C157" s="31"/>
      <c r="D157" s="56">
        <f>IF(OR(F157="",D156=""),"",D156*(1+F157/100))</f>
      </c>
      <c r="E157" s="57">
        <f>IF(D157="","",D157/D156-1)</f>
      </c>
      <c r="F157" s="60"/>
      <c r="G157" s="31">
        <f>IF(F157="","","Cargado por vos")</f>
      </c>
    </row>
    <row r="158" spans="1:7" x14ac:dyDescent="0.25">
      <c r="A158" s="34" t="s">
        <v>279</v>
      </c>
      <c r="B158" s="34"/>
      <c r="C158" s="34"/>
      <c r="D158" s="58">
        <f>IF(OR(F158="",D157=""),"",D157*(1+F158/100))</f>
      </c>
      <c r="E158" s="59">
        <f>IF(D158="","",D158/D157-1)</f>
      </c>
      <c r="F158" s="60"/>
      <c r="G158" s="34">
        <f>IF(F158="","","Cargado por vos")</f>
      </c>
    </row>
    <row r="159" spans="1:7" x14ac:dyDescent="0.25">
      <c r="A159" s="31" t="s">
        <v>280</v>
      </c>
      <c r="B159" s="31"/>
      <c r="C159" s="31"/>
      <c r="D159" s="56">
        <f>IF(OR(F159="",D158=""),"",D158*(1+F159/100))</f>
      </c>
      <c r="E159" s="57">
        <f>IF(D159="","",D159/D158-1)</f>
      </c>
      <c r="F159" s="60"/>
      <c r="G159" s="31">
        <f>IF(F159="","","Cargado por vos")</f>
      </c>
    </row>
    <row r="160" spans="1:7" x14ac:dyDescent="0.25">
      <c r="A160" s="34" t="s">
        <v>281</v>
      </c>
      <c r="B160" s="34"/>
      <c r="C160" s="34"/>
      <c r="D160" s="58">
        <f>IF(OR(F160="",D159=""),"",D159*(1+F160/100))</f>
      </c>
      <c r="E160" s="59">
        <f>IF(D160="","",D160/D159-1)</f>
      </c>
      <c r="F160" s="60"/>
      <c r="G160" s="34">
        <f>IF(F160="","","Cargado por vos")</f>
      </c>
    </row>
    <row r="161" spans="1:7" x14ac:dyDescent="0.25">
      <c r="A161" s="31" t="s">
        <v>282</v>
      </c>
      <c r="B161" s="31"/>
      <c r="C161" s="31"/>
      <c r="D161" s="56">
        <f>IF(OR(F161="",D160=""),"",D160*(1+F161/100))</f>
      </c>
      <c r="E161" s="57">
        <f>IF(D161="","",D161/D160-1)</f>
      </c>
      <c r="F161" s="60"/>
      <c r="G161" s="31">
        <f>IF(F161="","","Cargado por vos")</f>
      </c>
    </row>
    <row r="162" spans="1:7" x14ac:dyDescent="0.25">
      <c r="A162" s="34" t="s">
        <v>283</v>
      </c>
      <c r="B162" s="34"/>
      <c r="C162" s="34"/>
      <c r="D162" s="58">
        <f>IF(OR(F162="",D161=""),"",D161*(1+F162/100))</f>
      </c>
      <c r="E162" s="59">
        <f>IF(D162="","",D162/D161-1)</f>
      </c>
      <c r="F162" s="60"/>
      <c r="G162" s="34">
        <f>IF(F162="","","Cargado por vos")</f>
      </c>
    </row>
    <row r="163" spans="1:7" x14ac:dyDescent="0.25">
      <c r="A163" s="31" t="s">
        <v>284</v>
      </c>
      <c r="B163" s="31"/>
      <c r="C163" s="31"/>
      <c r="D163" s="56">
        <f>IF(OR(F163="",D162=""),"",D162*(1+F163/100))</f>
      </c>
      <c r="E163" s="57">
        <f>IF(D163="","",D163/D162-1)</f>
      </c>
      <c r="F163" s="60"/>
      <c r="G163" s="31">
        <f>IF(F163="","","Cargado por vos")</f>
      </c>
    </row>
    <row r="164" spans="1:7" x14ac:dyDescent="0.25">
      <c r="A164" s="34" t="s">
        <v>285</v>
      </c>
      <c r="B164" s="34"/>
      <c r="C164" s="34"/>
      <c r="D164" s="58">
        <f>IF(OR(F164="",D163=""),"",D163*(1+F164/100))</f>
      </c>
      <c r="E164" s="59">
        <f>IF(D164="","",D164/D163-1)</f>
      </c>
      <c r="F164" s="60"/>
      <c r="G164" s="34">
        <f>IF(F164="","","Cargado por vos")</f>
      </c>
    </row>
    <row r="165" spans="1:7" x14ac:dyDescent="0.25">
      <c r="A165" s="31" t="s">
        <v>286</v>
      </c>
      <c r="B165" s="31"/>
      <c r="C165" s="31"/>
      <c r="D165" s="56">
        <f>IF(OR(F165="",D164=""),"",D164*(1+F165/100))</f>
      </c>
      <c r="E165" s="57">
        <f>IF(D165="","",D165/D164-1)</f>
      </c>
      <c r="F165" s="60"/>
      <c r="G165" s="31">
        <f>IF(F165="","","Cargado por vos")</f>
      </c>
    </row>
    <row r="166" spans="1:7" x14ac:dyDescent="0.25">
      <c r="A166" s="34" t="s">
        <v>287</v>
      </c>
      <c r="B166" s="34"/>
      <c r="C166" s="34"/>
      <c r="D166" s="58">
        <f>IF(OR(F166="",D165=""),"",D165*(1+F166/100))</f>
      </c>
      <c r="E166" s="59">
        <f>IF(D166="","",D166/D165-1)</f>
      </c>
      <c r="F166" s="60"/>
      <c r="G166" s="34">
        <f>IF(F166="","","Cargado por vos")</f>
      </c>
    </row>
    <row r="167" spans="1:7" x14ac:dyDescent="0.25">
      <c r="A167" s="31" t="s">
        <v>288</v>
      </c>
      <c r="B167" s="31"/>
      <c r="C167" s="31"/>
      <c r="D167" s="56">
        <f>IF(OR(F167="",D166=""),"",D166*(1+F167/100))</f>
      </c>
      <c r="E167" s="57">
        <f>IF(D167="","",D167/D166-1)</f>
      </c>
      <c r="F167" s="60"/>
      <c r="G167" s="31">
        <f>IF(F167="","","Cargado por vos")</f>
      </c>
    </row>
    <row r="168" spans="1:7" x14ac:dyDescent="0.25">
      <c r="A168" s="34" t="s">
        <v>289</v>
      </c>
      <c r="B168" s="34"/>
      <c r="C168" s="34"/>
      <c r="D168" s="58">
        <f>IF(OR(F168="",D167=""),"",D167*(1+F168/100))</f>
      </c>
      <c r="E168" s="59">
        <f>IF(D168="","",D168/D167-1)</f>
      </c>
      <c r="F168" s="60"/>
      <c r="G168" s="34">
        <f>IF(F168="","","Cargado por vos")</f>
      </c>
    </row>
    <row r="169" spans="1:7" x14ac:dyDescent="0.25">
      <c r="A169" s="31" t="s">
        <v>290</v>
      </c>
      <c r="B169" s="31"/>
      <c r="C169" s="31"/>
      <c r="D169" s="56">
        <f>IF(OR(F169="",D168=""),"",D168*(1+F169/100))</f>
      </c>
      <c r="E169" s="57">
        <f>IF(D169="","",D169/D168-1)</f>
      </c>
      <c r="F169" s="60"/>
      <c r="G169" s="31">
        <f>IF(F169="","","Cargado por vos")</f>
      </c>
    </row>
    <row r="170" spans="1:7" x14ac:dyDescent="0.25">
      <c r="A170" s="34" t="s">
        <v>291</v>
      </c>
      <c r="B170" s="34"/>
      <c r="C170" s="34"/>
      <c r="D170" s="58">
        <f>IF(OR(F170="",D169=""),"",D169*(1+F170/100))</f>
      </c>
      <c r="E170" s="59">
        <f>IF(D170="","",D170/D169-1)</f>
      </c>
      <c r="F170" s="60"/>
      <c r="G170" s="34">
        <f>IF(F170="","","Cargado por vos")</f>
      </c>
    </row>
    <row r="171" spans="1:7" x14ac:dyDescent="0.25">
      <c r="A171" s="31" t="s">
        <v>292</v>
      </c>
      <c r="B171" s="31"/>
      <c r="C171" s="31"/>
      <c r="D171" s="56">
        <f>IF(OR(F171="",D170=""),"",D170*(1+F171/100))</f>
      </c>
      <c r="E171" s="57">
        <f>IF(D171="","",D171/D170-1)</f>
      </c>
      <c r="F171" s="60"/>
      <c r="G171" s="31">
        <f>IF(F171="","","Cargado por vos")</f>
      </c>
    </row>
    <row r="172" spans="1:7" x14ac:dyDescent="0.25">
      <c r="A172" s="34" t="s">
        <v>293</v>
      </c>
      <c r="B172" s="34"/>
      <c r="C172" s="34"/>
      <c r="D172" s="58">
        <f>IF(OR(F172="",D171=""),"",D171*(1+F172/100))</f>
      </c>
      <c r="E172" s="59">
        <f>IF(D172="","",D172/D171-1)</f>
      </c>
      <c r="F172" s="60"/>
      <c r="G172" s="34">
        <f>IF(F172="","","Cargado por vos")</f>
      </c>
    </row>
    <row r="173" spans="1:7" x14ac:dyDescent="0.25">
      <c r="A173" s="31" t="s">
        <v>294</v>
      </c>
      <c r="B173" s="31"/>
      <c r="C173" s="31"/>
      <c r="D173" s="56">
        <f>IF(OR(F173="",D172=""),"",D172*(1+F173/100))</f>
      </c>
      <c r="E173" s="57">
        <f>IF(D173="","",D173/D172-1)</f>
      </c>
      <c r="F173" s="60"/>
      <c r="G173" s="31">
        <f>IF(F173="","","Cargado por vos")</f>
      </c>
    </row>
  </sheetData>
  <sheetProtection sheet="1" formatColumns="0" formatRows="0"/>
  <mergeCells count="172">
    <mergeCell ref="A1:G1"/>
    <mergeCell ref="A2:G2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</mergeCells>
  <dataValidations count="1">
    <dataValidation type="decimal" allowBlank="1" showErrorMessage="1" error="Cargá el % del mes como número: por ejemplo 2,1 para 2,1%." sqref="F122:F173">
      <formula1>-50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B10"/>
  <sheetFormatPr defaultRowHeight="15" outlineLevelRow="0" outlineLevelCol="0" x14ac:dyDescent="55"/>
  <cols>
    <col min="1" max="1" width="62" customWidth="1"/>
    <col min="2" max="2" width="76" customWidth="1"/>
  </cols>
  <sheetData>
    <row r="1" ht="28" customHeight="1" spans="1:2" x14ac:dyDescent="0.25">
      <c r="A1" s="40" t="s">
        <v>295</v>
      </c>
      <c r="B1" s="40"/>
    </row>
    <row r="2" ht="30" customHeight="1" spans="1:2" x14ac:dyDescent="0.25">
      <c r="A2" s="61" t="s">
        <v>296</v>
      </c>
      <c r="B2" s="61"/>
    </row>
    <row r="4" spans="1:2" x14ac:dyDescent="0.25">
      <c r="A4" s="62" t="s">
        <v>297</v>
      </c>
      <c r="B4" s="62" t="s">
        <v>298</v>
      </c>
    </row>
    <row r="5" ht="32" customHeight="1" spans="1:2" x14ac:dyDescent="0.25">
      <c r="A5" s="63" t="s">
        <v>299</v>
      </c>
      <c r="B5" s="64" t="s">
        <v>300</v>
      </c>
    </row>
    <row r="6" ht="32" customHeight="1" spans="1:2" x14ac:dyDescent="0.25">
      <c r="A6" s="65" t="s">
        <v>301</v>
      </c>
      <c r="B6" s="66" t="s">
        <v>302</v>
      </c>
    </row>
    <row r="7" ht="32" customHeight="1" spans="1:2" x14ac:dyDescent="0.25">
      <c r="A7" s="63" t="s">
        <v>303</v>
      </c>
      <c r="B7" s="64" t="s">
        <v>304</v>
      </c>
    </row>
    <row r="8" ht="32" customHeight="1" spans="1:2" x14ac:dyDescent="0.25">
      <c r="A8" s="65" t="s">
        <v>305</v>
      </c>
      <c r="B8" s="66" t="s">
        <v>306</v>
      </c>
    </row>
    <row r="10" spans="1:2" x14ac:dyDescent="0.25">
      <c r="A10" s="9" t="s">
        <v>307</v>
      </c>
      <c r="B10" s="9"/>
    </row>
  </sheetData>
  <mergeCells count="3">
    <mergeCell ref="A1:B1"/>
    <mergeCell ref="A2:B2"/>
    <mergeCell ref="A10:B10"/>
  </mergeCells>
  <hyperlinks>
    <hyperlink ref="B5" r:id="rId1"/>
    <hyperlink ref="B6" r:id="rId2"/>
    <hyperlink ref="B7" r:id="rId3"/>
    <hyperlink ref="B8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Cómo usarla</vt:lpstr>
      <vt:lpstr>Mis contratos</vt:lpstr>
      <vt:lpstr>Contrato 1</vt:lpstr>
      <vt:lpstr>Contrato 2</vt:lpstr>
      <vt:lpstr>Contrato 3</vt:lpstr>
      <vt:lpstr>Contrato 4</vt:lpstr>
      <vt:lpstr>Contrato 5</vt:lpstr>
      <vt:lpstr>Contrato 6</vt:lpstr>
      <vt:lpstr>Recibo</vt:lpstr>
      <vt:lpstr>Aviso de aumento</vt:lpstr>
      <vt:lpstr>IPC</vt:lpstr>
      <vt:lpstr>Fuentes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 (calcular.ar)</dc:creator>
  <dc:title>Planilla de alquileres 2026</dc:title>
  <dc:subject>Contratos de alquiler con ajuste por IPC del INDEC: cronograma, recibo y aviso de aumento</dc:subject>
  <dc:description/>
  <cp:keywords>alquiler, ajuste, ipc, indec, recibo, contrato, planilla, propietario</cp:keywords>
  <cp:category/>
  <cp:lastModifiedBy>Unknown</cp:lastModifiedBy>
  <dcterms:created xsi:type="dcterms:W3CDTF">2026-10-14T02:06:42Z</dcterms:created>
  <dcterms:modified xsi:type="dcterms:W3CDTF">2026-10-14T02:06:42Z</dcterms:modified>
</cp:coreProperties>
</file>