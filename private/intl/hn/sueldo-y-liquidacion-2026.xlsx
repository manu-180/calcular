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ISR de su salario" state="visible" r:id="rId5"/>
    <sheet sheetId="3" name="Décimo cuarto mes" state="visible" r:id="rId6"/>
    <sheet sheetId="4" name="Prestaciones laborales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<sst xmlns="http://schemas.openxmlformats.org/spreadsheetml/2006/main" count="182" uniqueCount="111">
  <si>
    <t>Planilla de salario y prestaciones Honduras 2026</t>
  </si>
  <si>
    <t>Las celdas amarillas son para sus datos. Las verdes se calculan solas, con las fórmulas de la ley. A la derecha de cada hoja está el paso a paso de la cuenta.</t>
  </si>
  <si>
    <t>«ISR de su salario»: pone su salario mensual y le dice el ISR del año, la retención de cada mes y su tasa efectiva.</t>
  </si>
  <si>
    <t>«Décimo cuarto mes»: calcula el décimo cuarto mes de junio, completo o proporcional si dejó de trabajar.</t>
  </si>
  <si>
    <t>«Prestaciones laborales»: pone sus fechas, su salario promedio y cómo terminó el trabajo, y le dice el preaviso y el auxilio de cesantía.</t>
  </si>
  <si>
    <t>«Tablas oficiales» tiene cada valor oficial que usan las fórmulas, con el enlace a su fuente y la fecha en que lo verificamos. Los valores son los vigentes al 14/10/2026.</t>
  </si>
  <si>
    <t>Cuando cambia un valor oficial, actualizamos la planilla y el mismo enlace de descarga le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</si>
  <si>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</si>
  <si>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asesoría legal. Su contrato o su empresa pueden darle más que el mínimo de ley.</t>
  </si>
  <si>
    <t>Las fechas van como dd/mm/aaaa. Si su Excel está en inglés y las lee al revés, escríbalas como aaaa-mm-dd.</t>
  </si>
  <si>
    <t>Impuesto sobre la renta del salario</t>
  </si>
  <si>
    <t>Paso a paso</t>
  </si>
  <si>
    <t>SUS DATOS</t>
  </si>
  <si>
    <t>Renta bruta del año</t>
  </si>
  <si>
    <t>Salario mensual</t>
  </si>
  <si>
    <t>Deducción por gastos médicos</t>
  </si>
  <si>
    <t>Otros ingresos del año que pagan ISR (opcional)</t>
  </si>
  <si>
    <t>Comisiones, bonos u otros pagos gravados que no estén en el salario mensual.</t>
  </si>
  <si>
    <t>Renta gravable</t>
  </si>
  <si>
    <t>Impuesto del tramo 1</t>
  </si>
  <si>
    <t>SU ISR</t>
  </si>
  <si>
    <t>Impuesto del tramo 2</t>
  </si>
  <si>
    <t>Impuesto del tramo 3</t>
  </si>
  <si>
    <t>Impuesto del tramo 4</t>
  </si>
  <si>
    <t>ISR del año</t>
  </si>
  <si>
    <t>Tasa del último tramo</t>
  </si>
  <si>
    <t>Retención de cada mes</t>
  </si>
  <si>
    <t>Tasa efectiva</t>
  </si>
  <si>
    <t>Se calcula con 12 salarios y la deducción por gastos médicos que el SAR resta en su tabla del año.</t>
  </si>
  <si>
    <t>Décimo cuarto mes</t>
  </si>
  <si>
    <t>Cierre del período</t>
  </si>
  <si>
    <t>Salario ordinario mensual promedio</t>
  </si>
  <si>
    <t>El promedio de lo que ganó cada mes desde el 1 de julio (o desde que entró), sin horas extra.</t>
  </si>
  <si>
    <t>Días del período</t>
  </si>
  <si>
    <t>Fecha en que empezó a trabajar</t>
  </si>
  <si>
    <t>Qué quiere calcular</t>
  </si>
  <si>
    <t>El décimo cuarto mes que se paga en junio</t>
  </si>
  <si>
    <t>Último día de trabajo (opcional)</t>
  </si>
  <si>
    <t>Solo si dejó de trabajar.</t>
  </si>
  <si>
    <t>Fecha de hoy</t>
  </si>
  <si>
    <t>Se llena sola. Sirve para saber qué período se paga.</t>
  </si>
  <si>
    <t>SU DÉCIMO CUARTO</t>
  </si>
  <si>
    <t>Días que cuentan</t>
  </si>
  <si>
    <t>Es un salario por año, del 1 de julio al 30 de junio, y se paga en junio. Si renuncia o lo despiden, le pagan la parte proporcional.</t>
  </si>
  <si>
    <t>Preaviso y auxilio de cesantía</t>
  </si>
  <si>
    <t>Tiempo trabajado: años completos</t>
  </si>
  <si>
    <t>Salario promedio mensual de los últimos seis meses</t>
  </si>
  <si>
    <t>Todo lo que ganó: salario, horas extra y comisiones.</t>
  </si>
  <si>
    <t>Tiempo trabajado: último aniversario</t>
  </si>
  <si>
    <t>Fecha de ingreso</t>
  </si>
  <si>
    <t>Tiempo trabajado: meses</t>
  </si>
  <si>
    <t>Último día de trabajo</t>
  </si>
  <si>
    <t>Tiempo trabajado: días</t>
  </si>
  <si>
    <t>Cómo terminó el trabajo</t>
  </si>
  <si>
    <t>Me despidieron sin causa justificada</t>
  </si>
  <si>
    <t>Meses trabajados</t>
  </si>
  <si>
    <t>El patrono le dio el preaviso por escrito y lo trabajó</t>
  </si>
  <si>
    <t>No</t>
  </si>
  <si>
    <t>Salario diario (entre 30)</t>
  </si>
  <si>
    <t>La empresa tiene 10 empleados o menos</t>
  </si>
  <si>
    <t>Preaviso</t>
  </si>
  <si>
    <t>SUS PRESTACIONES</t>
  </si>
  <si>
    <t>Días de preaviso</t>
  </si>
  <si>
    <t>Tiempo trabajado</t>
  </si>
  <si>
    <t>Auxilio de cesantía</t>
  </si>
  <si>
    <t>Salario diario</t>
  </si>
  <si>
    <t>Tope en meses de salario</t>
  </si>
  <si>
    <t>Meses de salario de cesantía</t>
  </si>
  <si>
    <t>Total</t>
  </si>
  <si>
    <t>Si renuncia, el preaviso lo da usted y no se le paga. Al renunciar, la cesantía solo corresponde con 15 años o más (el 35 %) y nunca en una microempresa. Aparte le corresponden las vacaciones y los décimos proporcionales.</t>
  </si>
  <si>
    <t>Tablas oficiales de Honduras</t>
  </si>
  <si>
    <t>Son los valores que usan las fórmulas de esta planilla, vigentes al 14/10/2026.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</si>
  <si>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</si>
  <si>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</si>
  <si>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</si>
  <si>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</si>
  <si>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</si>
  <si>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</si>
  <si>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</si>
  <si>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Tabla progresiva del ISR para personas naturales 2026 (renta neta gravable anual)</t>
  </si>
  <si>
    <t>HNL</t>
  </si>
  <si>
    <t>1/1/2026</t>
  </si>
  <si>
    <t>https://www.sar.gob.hn/2026/01/actualizacion-de-la-tabla-progresiva-2026/</t>
  </si>
  <si>
    <t>7/10/2026</t>
  </si>
  <si>
    <t>Desde</t>
  </si>
  <si>
    <t>Hasta</t>
  </si>
  <si>
    <t>Tasa %</t>
  </si>
  <si>
    <t>Cuota fija</t>
  </si>
  <si>
    <t>Deducción anual por gastos médicos sin comprobantes</t>
  </si>
  <si>
    <t/>
  </si>
  <si>
    <t>Décimo cuarto mes por año completo trabajado al 30 de junio</t>
  </si>
  <si>
    <t>%</t>
  </si>
  <si>
    <t>https://www.trabajo.gob.hn/wp-content/uploads/2022/09/Codigo-del-Trabajo-y-sus-Reformas.pdf</t>
  </si>
  <si>
    <t>Días de salario del preaviso según el tiempo trabajado</t>
  </si>
  <si>
    <t>Menos de 3 meses</t>
  </si>
  <si>
    <t>días</t>
  </si>
  <si>
    <t>De 3 a 6 meses</t>
  </si>
  <si>
    <t>De 6 meses a 1 año</t>
  </si>
  <si>
    <t>De 1 a 2 años</t>
  </si>
  <si>
    <t>Más de 2 años</t>
  </si>
  <si>
    <t>Días de auxilio de cesantía con menos de un año trabajado</t>
  </si>
  <si>
    <t>3-a-6-meses</t>
  </si>
  <si>
    <t>6-a-12-meses</t>
  </si>
  <si>
    <t>Tope del auxilio de cesantía en meses de salario</t>
  </si>
  <si>
    <t>Empresa de más de 10 empleados</t>
  </si>
  <si>
    <t>meses</t>
  </si>
  <si>
    <t>https://www.trabajo.gob.hn/wp-content/uploads/2016/07/Gaceta-31753-Decreto-No.-150-2008.pdf</t>
  </si>
  <si>
    <t>Microempresa (hasta 10 empleados)</t>
  </si>
  <si>
    <t>Años de trabajo continuo para cobrar cesantía al renunciar</t>
  </si>
  <si>
    <t>años</t>
  </si>
  <si>
    <t>Parte de la cesantía que cobra quien renuncia con 15 años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</si>
</sst>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L &quot;#,##0.00"/>
    <numFmt numFmtId="165" formatCode="0.00##&quot; %&quot;"/>
    <numFmt numFmtId="166" formatCode="dd/mm/yyyy"/>
    <numFmt numFmtId="167" formatCode="#,##0.##"/>
    <numFmt numFmtId="168" formatCode="0.000000"/>
    <numFmt numFmtId="169" formatCode="[&gt;=100000000000000]&quot;en adelante&quot;;&quot;L &quot;#,##0.00"/>
    <numFmt numFmtId="170" formatCode="0.00##"/>
    <numFmt numFmtId="171" formatCode="#,##0.00##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sz val="10"/>
    </font>
    <font>
      <b/>
    </font>
    <font>
      <b/>
      <color rgb="FFB71C1C"/>
    </font>
    <font>
      <b/>
      <color rgb="FF1B5E20"/>
      <sz val="10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5" fillId="4" borderId="1" xfId="0" applyFont="1" applyFill="1" applyBorder="1" applyAlignment="1">
      <alignment horizontal="left" wrapText="1" indent="1"/>
    </xf>
    <xf numFmtId="164" fontId="5" fillId="5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 vertical="center" wrapText="1" indent="1"/>
    </xf>
    <xf numFmtId="164" fontId="6" fillId="6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165" fontId="0" fillId="7" borderId="1" xfId="0" applyNumberFormat="1" applyFill="1" applyBorder="1" applyAlignment="1">
      <alignment horizontal="right"/>
    </xf>
    <xf numFmtId="0" fontId="6" fillId="8" borderId="1" xfId="0" applyFont="1" applyFill="1" applyBorder="1" applyAlignment="1">
      <alignment horizontal="left" wrapText="1" indent="1"/>
    </xf>
    <xf numFmtId="164" fontId="6" fillId="8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 indent="1"/>
    </xf>
    <xf numFmtId="0" fontId="7" fillId="0" borderId="0" xfId="0" applyFont="1" applyAlignment="1">
      <alignment wrapText="1"/>
    </xf>
    <xf numFmtId="167" fontId="0" fillId="7" borderId="1" xfId="0" applyNumberFormat="1" applyFill="1" applyBorder="1" applyAlignment="1">
      <alignment horizontal="right"/>
    </xf>
    <xf numFmtId="0" fontId="8" fillId="0" borderId="0" xfId="0" applyFont="1"/>
    <xf numFmtId="0" fontId="0" fillId="7" borderId="1" xfId="0" applyFill="1" applyBorder="1" applyAlignment="1">
      <alignment horizontal="right"/>
    </xf>
    <xf numFmtId="168" fontId="5" fillId="5" borderId="1" xfId="0" applyNumberFormat="1" applyFont="1" applyFill="1" applyBorder="1" applyAlignment="1">
      <alignment horizontal="right"/>
    </xf>
    <xf numFmtId="168" fontId="0" fillId="7" borderId="1" xfId="0" applyNumberForma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6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4" borderId="1" xfId="0" applyFont="1" applyFill="1" applyBorder="1"/>
    <xf numFmtId="164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71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171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r.gob.hn/2026/01/actualizacion-de-la-tabla-progresiva-2026/" TargetMode="External"/><Relationship Id="rId2" Type="http://schemas.openxmlformats.org/officeDocument/2006/relationships/hyperlink" Target="https://www.sar.gob.hn/2026/01/actualizacion-de-la-tabla-progresiva-2026/" TargetMode="External"/><Relationship Id="rId3" Type="http://schemas.openxmlformats.org/officeDocument/2006/relationships/hyperlink" Target="https://www.trabajo.gob.hn/wp-content/uploads/2022/09/Codigo-del-Trabajo-y-sus-Reformas.pdf" TargetMode="External"/><Relationship Id="rId4" Type="http://schemas.openxmlformats.org/officeDocument/2006/relationships/hyperlink" Target="https://www.trabajo.gob.hn/wp-content/uploads/2022/09/Codigo-del-Trabajo-y-sus-Reformas.pdf" TargetMode="External"/><Relationship Id="rId5" Type="http://schemas.openxmlformats.org/officeDocument/2006/relationships/hyperlink" Target="https://www.trabajo.gob.hn/wp-content/uploads/2022/09/Codigo-del-Trabajo-y-sus-Reformas.pdf" TargetMode="External"/><Relationship Id="rId6" Type="http://schemas.openxmlformats.org/officeDocument/2006/relationships/hyperlink" Target="https://www.trabajo.gob.hn/wp-content/uploads/2022/09/Codigo-del-Trabajo-y-sus-Reformas.pdf" TargetMode="External"/><Relationship Id="rId7" Type="http://schemas.openxmlformats.org/officeDocument/2006/relationships/hyperlink" Target="https://www.trabajo.gob.hn/wp-content/uploads/2022/09/Codigo-del-Trabajo-y-sus-Reformas.pdf" TargetMode="External"/><Relationship Id="rId8" Type="http://schemas.openxmlformats.org/officeDocument/2006/relationships/hyperlink" Target="https://www.trabajo.gob.hn/wp-content/uploads/2022/09/Codigo-del-Trabajo-y-sus-Reformas.pdf" TargetMode="External"/><Relationship Id="rId9" Type="http://schemas.openxmlformats.org/officeDocument/2006/relationships/hyperlink" Target="https://www.trabajo.gob.hn/wp-content/uploads/2022/09/Codigo-del-Trabajo-y-sus-Reformas.pdf" TargetMode="External"/><Relationship Id="rId10" Type="http://schemas.openxmlformats.org/officeDocument/2006/relationships/hyperlink" Target="https://www.trabajo.gob.hn/wp-content/uploads/2022/09/Codigo-del-Trabajo-y-sus-Reformas.pdf" TargetMode="External"/><Relationship Id="rId11" Type="http://schemas.openxmlformats.org/officeDocument/2006/relationships/hyperlink" Target="https://www.trabajo.gob.hn/wp-content/uploads/2016/07/Gaceta-31753-Decreto-No.-150-2008.pdf" TargetMode="External"/><Relationship Id="rId12" Type="http://schemas.openxmlformats.org/officeDocument/2006/relationships/hyperlink" Target="https://www.trabajo.gob.hn/wp-content/uploads/2016/07/Gaceta-31753-Decreto-No.-150-2008.pdf" TargetMode="External"/><Relationship Id="rId13" Type="http://schemas.openxmlformats.org/officeDocument/2006/relationships/hyperlink" Target="https://www.trabajo.gob.hn/wp-content/uploads/2016/07/Gaceta-31753-Decreto-No.-150-2008.pdf" TargetMode="External"/><Relationship Id="rId14" Type="http://schemas.openxmlformats.org/officeDocument/2006/relationships/hyperlink" Target="https://www.trabajo.gob.hn/wp-content/uploads/2016/07/Gaceta-31753-Decreto-No.-150-20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34" customHeight="1" spans="1:2" x14ac:dyDescent="0.25">
      <c r="A4" s="2">
        <v>2</v>
      </c>
      <c r="B4" s="3" t="s">
        <v>2</v>
      </c>
    </row>
    <row r="5" ht="20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7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13</v>
      </c>
      <c r="F4" s="8">
        <f>ROUND(B5*12+IF(ISNUMBER(B6),B6,0),2)</f>
      </c>
    </row>
    <row r="5" spans="1:6" x14ac:dyDescent="0.25">
      <c r="A5" s="9" t="s">
        <v>14</v>
      </c>
      <c r="B5" s="10">
        <v>30000</v>
      </c>
      <c r="E5" s="7" t="s">
        <v>15</v>
      </c>
      <c r="F5" s="8">
        <f>MIN(F4,'Tablas oficiales'!$C$11)</f>
      </c>
    </row>
    <row r="6" ht="30" customHeight="1" spans="1:6" x14ac:dyDescent="0.25">
      <c r="A6" s="9" t="s">
        <v>16</v>
      </c>
      <c r="B6" s="10"/>
      <c r="C6" s="11" t="s">
        <v>17</v>
      </c>
      <c r="E6" s="7" t="s">
        <v>18</v>
      </c>
      <c r="F6" s="8">
        <f>ROUND(F4-F5,2)</f>
      </c>
    </row>
    <row r="7" spans="5:6" x14ac:dyDescent="0.25">
      <c r="E7" s="7" t="s">
        <v>19</v>
      </c>
      <c r="F7" s="8">
        <f>MAX(0,MIN(F6,'Tablas oficiales'!$C$6)-0)*'Tablas oficiales'!$D$6/100</f>
      </c>
    </row>
    <row r="8" spans="1:6" x14ac:dyDescent="0.25">
      <c r="A8" s="6" t="s">
        <v>20</v>
      </c>
      <c r="B8" s="6"/>
      <c r="C8" s="6"/>
      <c r="E8" s="7" t="s">
        <v>21</v>
      </c>
      <c r="F8" s="8">
        <f>MAX(0,MIN(F6,'Tablas oficiales'!$C$7)-'Tablas oficiales'!$C$6)*'Tablas oficiales'!$D$7/100</f>
      </c>
    </row>
    <row r="9" spans="1:6" x14ac:dyDescent="0.25">
      <c r="A9" s="12" t="s">
        <v>13</v>
      </c>
      <c r="B9" s="13">
        <f>F4</f>
      </c>
      <c r="E9" s="7" t="s">
        <v>22</v>
      </c>
      <c r="F9" s="8">
        <f>MAX(0,MIN(F6,'Tablas oficiales'!$C$8)-'Tablas oficiales'!$C$7)*'Tablas oficiales'!$D$8/100</f>
      </c>
    </row>
    <row r="10" spans="1:6" x14ac:dyDescent="0.25">
      <c r="A10" s="12" t="s">
        <v>15</v>
      </c>
      <c r="B10" s="13">
        <f>F5</f>
      </c>
      <c r="E10" s="7" t="s">
        <v>23</v>
      </c>
      <c r="F10" s="8">
        <f>MAX(0,MIN(F6,'Tablas oficiales'!$C$9)-'Tablas oficiales'!$C$8)*'Tablas oficiales'!$D$9/100</f>
      </c>
    </row>
    <row r="11" spans="1:6" x14ac:dyDescent="0.25">
      <c r="A11" s="12" t="s">
        <v>18</v>
      </c>
      <c r="B11" s="13">
        <f>F6</f>
      </c>
      <c r="E11" s="7" t="s">
        <v>24</v>
      </c>
      <c r="F11" s="8">
        <f>ROUND(SUM(F7,F8,F9,F10),2)</f>
      </c>
    </row>
    <row r="12" spans="1:2" x14ac:dyDescent="0.25">
      <c r="A12" s="12" t="s">
        <v>25</v>
      </c>
      <c r="B12" s="14">
        <f>IF((IF(F6&gt;0,1,0)+COUNTIF('Tablas oficiales'!$C$6:$C$9,"&lt;"&amp;F6))=0,0,INDEX('Tablas oficiales'!$D$6:$D$9,(IF(F6&gt;0,1,0)+COUNTIF('Tablas oficiales'!$C$6:$C$9,"&lt;"&amp;F6))))</f>
      </c>
    </row>
    <row r="13" spans="1:2" x14ac:dyDescent="0.25">
      <c r="A13" s="12" t="s">
        <v>24</v>
      </c>
      <c r="B13" s="13">
        <f>F11</f>
      </c>
    </row>
    <row r="14" spans="1:2" x14ac:dyDescent="0.25">
      <c r="A14" s="15" t="s">
        <v>26</v>
      </c>
      <c r="B14" s="16">
        <f>ROUND(F11/12,2)</f>
      </c>
    </row>
    <row r="15" spans="1:2" x14ac:dyDescent="0.25">
      <c r="A15" s="12" t="s">
        <v>27</v>
      </c>
      <c r="B15" s="14">
        <f>IF(F4&gt;0,ROUND(F11/F4*100,2),0)</f>
      </c>
    </row>
    <row r="17" ht="21" customHeight="1" spans="1:3" x14ac:dyDescent="0.25">
      <c r="A17" s="4" t="s">
        <v>28</v>
      </c>
      <c r="B17" s="4"/>
      <c r="C17" s="4"/>
    </row>
  </sheetData>
  <mergeCells count="5">
    <mergeCell ref="A1:C1"/>
    <mergeCell ref="E3:F3"/>
    <mergeCell ref="A4:C4"/>
    <mergeCell ref="A8:C8"/>
    <mergeCell ref="A17:C17"/>
  </mergeCells>
  <dataValidations count="1">
    <dataValidation type="decimal" allowBlank="1" showErrorMessage="1" error="Escribe un número mayor o igual a 0." sqref="B5:B6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6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29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30</v>
      </c>
      <c r="F4" s="17">
        <f>IF(B7="La parte que le toca porque dejó de trabajar",B8,DATE(IF(MONTH(B9)&lt;=6,YEAR(B9),YEAR(B9)+1),6,30))</f>
      </c>
    </row>
    <row r="5" ht="30" customHeight="1" spans="1:6" x14ac:dyDescent="0.25">
      <c r="A5" s="9" t="s">
        <v>31</v>
      </c>
      <c r="B5" s="10">
        <v>15000</v>
      </c>
      <c r="C5" s="11" t="s">
        <v>32</v>
      </c>
      <c r="E5" s="7" t="s">
        <v>33</v>
      </c>
      <c r="F5" s="18">
        <f>MIN(365,F4-MAX(B6,DATE(IF(MONTH(F4)&gt;=7,YEAR(F4),YEAR(F4)-1),7,1))+1)</f>
      </c>
    </row>
    <row r="6" spans="1:2" x14ac:dyDescent="0.25">
      <c r="A6" s="9" t="s">
        <v>34</v>
      </c>
      <c r="B6" s="19">
        <v>45323</v>
      </c>
    </row>
    <row r="7" spans="1:2" x14ac:dyDescent="0.25">
      <c r="A7" s="9" t="s">
        <v>35</v>
      </c>
      <c r="B7" s="20" t="s">
        <v>36</v>
      </c>
    </row>
    <row r="8" spans="1:3" x14ac:dyDescent="0.25">
      <c r="A8" s="9" t="s">
        <v>37</v>
      </c>
      <c r="B8" s="19"/>
      <c r="C8" s="11" t="s">
        <v>38</v>
      </c>
    </row>
    <row r="9" spans="1:3" x14ac:dyDescent="0.25">
      <c r="A9" s="9" t="s">
        <v>39</v>
      </c>
      <c r="B9" s="19">
        <f>TODAY()</f>
      </c>
      <c r="C9" s="11" t="s">
        <v>40</v>
      </c>
    </row>
    <row r="11" spans="1:3" x14ac:dyDescent="0.25">
      <c r="A11" s="6" t="s">
        <v>41</v>
      </c>
      <c r="B11" s="6"/>
      <c r="C11" s="6"/>
    </row>
    <row r="12" spans="1:3" x14ac:dyDescent="0.25">
      <c r="A12" s="21">
        <f>IF(AND(B7="La parte que le toca porque dejó de trabajar",NOT(ISNUMBER(B8))),"Indique su último día de trabajo.",IF(B6&gt;F4,"La fecha de ingreso no puede ser posterior al cierre del período.",""))</f>
      </c>
      <c r="B12" s="21"/>
      <c r="C12" s="21"/>
    </row>
    <row r="13" spans="1:2" x14ac:dyDescent="0.25">
      <c r="A13" s="12" t="s">
        <v>42</v>
      </c>
      <c r="B13" s="22">
        <f>F5</f>
      </c>
    </row>
    <row r="14" spans="1:2" x14ac:dyDescent="0.25">
      <c r="A14" s="15" t="s">
        <v>29</v>
      </c>
      <c r="B14" s="16">
        <f>ROUND(B5*'Tablas oficiales'!$C$12/100*F5/365,2)</f>
      </c>
    </row>
    <row r="16" ht="36" customHeight="1" spans="1:3" x14ac:dyDescent="0.25">
      <c r="A16" s="4" t="s">
        <v>43</v>
      </c>
      <c r="B16" s="4"/>
      <c r="C16" s="4"/>
    </row>
  </sheetData>
  <mergeCells count="6">
    <mergeCell ref="A1:C1"/>
    <mergeCell ref="E3:F3"/>
    <mergeCell ref="A4:C4"/>
    <mergeCell ref="A11:C11"/>
    <mergeCell ref="A12:C12"/>
    <mergeCell ref="A16:C16"/>
  </mergeCells>
  <dataValidations count="4">
    <dataValidation type="decimal" allowBlank="1" showErrorMessage="1" error="Escribe un número mayor o igual a 0." sqref="B5">
      <formula1>0</formula1>
      <formula2>1000000000000</formula2>
    </dataValidation>
    <dataValidation type="date" operator="greaterThan" allowBlank="1" showErrorMessage="1" error="Escribe una fecha como dd/mm/aaaa." sqref="B6">
      <formula1>18264</formula1>
    </dataValidation>
    <dataValidation type="list" showErrorMessage="1" error="Elige una opción de la lista." sqref="B7">
      <formula1>"El décimo cuarto mes que se paga en junio,La parte que le toca porque dejó de trabajar"</formula1>
    </dataValidation>
    <dataValidation type="date" operator="greaterThan" allowBlank="1" showErrorMessage="1" error="Escribe una fecha como dd/mm/aaaa." sqref="B8">
      <formula1>18264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2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44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45</v>
      </c>
      <c r="F4" s="18">
        <f>IF(EDATE(B6,12*(YEAR((B7+1))-YEAR(B6)))&gt;(B7+1),(YEAR((B7+1))-YEAR(B6))-1,(YEAR((B7+1))-YEAR(B6)))</f>
      </c>
    </row>
    <row r="5" spans="1:6" x14ac:dyDescent="0.25">
      <c r="A5" s="9" t="s">
        <v>46</v>
      </c>
      <c r="B5" s="10">
        <v>15000</v>
      </c>
      <c r="C5" s="11" t="s">
        <v>47</v>
      </c>
      <c r="E5" s="7" t="s">
        <v>48</v>
      </c>
      <c r="F5" s="17">
        <f>EDATE(B6,12*F4)</f>
      </c>
    </row>
    <row r="6" spans="1:6" x14ac:dyDescent="0.25">
      <c r="A6" s="9" t="s">
        <v>49</v>
      </c>
      <c r="B6" s="19">
        <v>44256</v>
      </c>
      <c r="E6" s="7" t="s">
        <v>50</v>
      </c>
      <c r="F6" s="18">
        <f>MIN(12,IF(EDATE(F5,((YEAR((B7+1))-YEAR(F5))*12+MONTH((B7+1))-MONTH(F5)))&gt;(B7+1),((YEAR((B7+1))-YEAR(F5))*12+MONTH((B7+1))-MONTH(F5))-1,((YEAR((B7+1))-YEAR(F5))*12+MONTH((B7+1))-MONTH(F5))))</f>
      </c>
    </row>
    <row r="7" spans="1:6" x14ac:dyDescent="0.25">
      <c r="A7" s="9" t="s">
        <v>51</v>
      </c>
      <c r="B7" s="19">
        <v>46309</v>
      </c>
      <c r="E7" s="7" t="s">
        <v>52</v>
      </c>
      <c r="F7" s="18">
        <f>(B7+1)-EDATE(F5,F6)</f>
      </c>
    </row>
    <row r="8" spans="1:6" x14ac:dyDescent="0.25">
      <c r="A8" s="9" t="s">
        <v>53</v>
      </c>
      <c r="B8" s="20" t="s">
        <v>54</v>
      </c>
      <c r="E8" s="7" t="s">
        <v>55</v>
      </c>
      <c r="F8" s="18">
        <f>F4*12+F6</f>
      </c>
    </row>
    <row r="9" spans="1:6" x14ac:dyDescent="0.25">
      <c r="A9" s="9" t="s">
        <v>56</v>
      </c>
      <c r="B9" s="20" t="s">
        <v>57</v>
      </c>
      <c r="E9" s="7" t="s">
        <v>58</v>
      </c>
      <c r="F9" s="8">
        <f>B5/30</f>
      </c>
    </row>
    <row r="10" spans="1:2" x14ac:dyDescent="0.25">
      <c r="A10" s="9" t="s">
        <v>59</v>
      </c>
      <c r="B10" s="20" t="s">
        <v>57</v>
      </c>
    </row>
    <row r="11" spans="5:5" x14ac:dyDescent="0.25">
      <c r="E11" s="23" t="s">
        <v>60</v>
      </c>
    </row>
    <row r="12" spans="1:6" x14ac:dyDescent="0.25">
      <c r="A12" s="6" t="s">
        <v>61</v>
      </c>
      <c r="B12" s="6"/>
      <c r="C12" s="6"/>
      <c r="E12" s="7" t="s">
        <v>62</v>
      </c>
      <c r="F12" s="18">
        <f>IF(AND(B8="Me despidieron sin causa justificada",B9="No"),IF(F8&lt;3,'Tablas oficiales'!$C$13,IF(OR(F8&lt;6,AND(F8=6,F7=0)),'Tablas oficiales'!$C$14,IF(OR(F8&lt;12,AND(F8=12,F7=0)),'Tablas oficiales'!$C$15,IF(OR(F8&lt;24,AND(F8=24,F7=0)),'Tablas oficiales'!$C$16,'Tablas oficiales'!$C$17)))),0)</f>
      </c>
    </row>
    <row r="13" spans="1:3" x14ac:dyDescent="0.25">
      <c r="A13" s="21">
        <f>IF(B7&lt;B6,"La fecha de salida tiene que ser igual o posterior a la de ingreso.","")</f>
      </c>
      <c r="B13" s="21"/>
      <c r="C13" s="21"/>
    </row>
    <row r="14" spans="1:5" x14ac:dyDescent="0.25">
      <c r="A14" s="12" t="s">
        <v>63</v>
      </c>
      <c r="B14" s="24">
        <f>F4&amp;" años, "&amp;F6&amp;" meses y "&amp;F7&amp;" días"</f>
      </c>
      <c r="E14" s="23" t="s">
        <v>64</v>
      </c>
    </row>
    <row r="15" spans="1:6" x14ac:dyDescent="0.25">
      <c r="A15" s="12" t="s">
        <v>65</v>
      </c>
      <c r="B15" s="13">
        <f>ROUND(F9,2)</f>
      </c>
      <c r="E15" s="7" t="s">
        <v>66</v>
      </c>
      <c r="F15" s="18">
        <f>IF(B10="Sí",'Tablas oficiales'!$C$21,'Tablas oficiales'!$C$20)</f>
      </c>
    </row>
    <row r="16" spans="1:6" x14ac:dyDescent="0.25">
      <c r="A16" s="12" t="s">
        <v>62</v>
      </c>
      <c r="B16" s="22">
        <f>F12</f>
      </c>
      <c r="E16" s="7" t="s">
        <v>67</v>
      </c>
      <c r="F16" s="25">
        <f>IF(F8&lt;3,0,IF(F4=0,IF(OR(F8&lt;6,AND(F8=6,F7=0)),'Tablas oficiales'!$C$18,'Tablas oficiales'!$C$19)/30,MIN(F4+(F6*30+F7)/360,F15)))</f>
      </c>
    </row>
    <row r="17" spans="1:6" x14ac:dyDescent="0.25">
      <c r="A17" s="12" t="s">
        <v>60</v>
      </c>
      <c r="B17" s="13">
        <f>F18</f>
      </c>
      <c r="E17" s="7" t="s">
        <v>64</v>
      </c>
      <c r="F17" s="8">
        <f>IF(B8="Me despidieron sin causa justificada",ROUND(B5*F16,2),IF(OR(B10="Sí",F4&lt;'Tablas oficiales'!$C$22),0,ROUND(B5*F16*'Tablas oficiales'!$C$23/100,2)))</f>
      </c>
    </row>
    <row r="18" spans="1:6" x14ac:dyDescent="0.25">
      <c r="A18" s="12" t="s">
        <v>67</v>
      </c>
      <c r="B18" s="26">
        <f>IF(F17&gt;0,F16,"")</f>
      </c>
      <c r="E18" s="7" t="s">
        <v>60</v>
      </c>
      <c r="F18" s="8">
        <f>ROUND(F9*F12,2)</f>
      </c>
    </row>
    <row r="19" spans="1:2" x14ac:dyDescent="0.25">
      <c r="A19" s="12" t="s">
        <v>64</v>
      </c>
      <c r="B19" s="13">
        <f>F17</f>
      </c>
    </row>
    <row r="20" spans="1:2" x14ac:dyDescent="0.25">
      <c r="A20" s="15" t="s">
        <v>68</v>
      </c>
      <c r="B20" s="16">
        <f>ROUND(F18+F17,2)</f>
      </c>
    </row>
    <row r="22" ht="51" customHeight="1" spans="1:3" x14ac:dyDescent="0.25">
      <c r="A22" s="4" t="s">
        <v>69</v>
      </c>
      <c r="B22" s="4"/>
      <c r="C22" s="4"/>
    </row>
  </sheetData>
  <mergeCells count="6">
    <mergeCell ref="A1:C1"/>
    <mergeCell ref="E3:F3"/>
    <mergeCell ref="A4:C4"/>
    <mergeCell ref="A12:C12"/>
    <mergeCell ref="A13:C13"/>
    <mergeCell ref="A22:C22"/>
  </mergeCells>
  <dataValidations count="5">
    <dataValidation type="list" showErrorMessage="1" error="Elige una opción de la lista." sqref="B10">
      <formula1>"Sí,No"</formula1>
    </dataValidation>
    <dataValidation type="decimal" allowBlank="1" showErrorMessage="1" error="Escribe un número mayor o igual a 0." sqref="B5">
      <formula1>0</formula1>
      <formula2>1000000000000</formula2>
    </dataValidation>
    <dataValidation type="date" operator="greaterThan" allowBlank="1" showErrorMessage="1" error="Escribe una fecha como dd/mm/aaaa." sqref="B6:B7">
      <formula1>18264</formula1>
    </dataValidation>
    <dataValidation type="list" showErrorMessage="1" error="Elige una opción de la lista." sqref="B8">
      <formula1>"Me despidieron sin causa justificada,Renuncié"</formula1>
    </dataValidation>
    <dataValidation type="list" showErrorMessage="1" error="Elige una opción de la lista." sqref="B9:B1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7" t="s">
        <v>70</v>
      </c>
      <c r="B1" s="27"/>
      <c r="C1" s="27"/>
      <c r="D1" s="27"/>
      <c r="E1" s="27"/>
      <c r="F1" s="27"/>
      <c r="G1" s="27"/>
    </row>
    <row r="2" ht="30" customHeight="1" spans="1:7" x14ac:dyDescent="0.25">
      <c r="A2" s="4" t="s">
        <v>71</v>
      </c>
      <c r="B2" s="4"/>
      <c r="C2" s="4"/>
      <c r="D2" s="4"/>
      <c r="E2" s="4"/>
      <c r="F2" s="4"/>
      <c r="G2" s="4"/>
    </row>
    <row r="3" spans="1:7" x14ac:dyDescent="0.25">
      <c r="A3" s="28" t="s">
        <v>72</v>
      </c>
      <c r="B3" s="28" t="s">
        <v>73</v>
      </c>
      <c r="C3" s="28" t="s">
        <v>74</v>
      </c>
      <c r="D3" s="28" t="s">
        <v>75</v>
      </c>
      <c r="E3" s="28" t="s">
        <v>76</v>
      </c>
      <c r="F3" s="28" t="s">
        <v>77</v>
      </c>
      <c r="G3" s="28" t="s">
        <v>78</v>
      </c>
    </row>
    <row r="4" spans="1:7" x14ac:dyDescent="0.25">
      <c r="A4" s="29" t="s">
        <v>79</v>
      </c>
      <c r="B4" s="30"/>
      <c r="C4" s="30"/>
      <c r="D4" s="30" t="s">
        <v>80</v>
      </c>
      <c r="E4" s="30" t="s">
        <v>81</v>
      </c>
      <c r="F4" s="31" t="s">
        <v>82</v>
      </c>
      <c r="G4" s="30" t="s">
        <v>83</v>
      </c>
    </row>
    <row r="5" spans="2:5" x14ac:dyDescent="0.25">
      <c r="B5" s="32" t="s">
        <v>84</v>
      </c>
      <c r="C5" s="32" t="s">
        <v>85</v>
      </c>
      <c r="D5" s="32" t="s">
        <v>86</v>
      </c>
      <c r="E5" s="32" t="s">
        <v>87</v>
      </c>
    </row>
    <row r="6" spans="2:5" x14ac:dyDescent="0.25">
      <c r="B6" s="33">
        <v>0.01</v>
      </c>
      <c r="C6" s="34">
        <v>228324.32</v>
      </c>
      <c r="D6" s="35">
        <v>0</v>
      </c>
      <c r="E6" s="33">
        <v>0</v>
      </c>
    </row>
    <row r="7" spans="2:5" x14ac:dyDescent="0.25">
      <c r="B7" s="33">
        <v>228324.33</v>
      </c>
      <c r="C7" s="34">
        <v>348154.1</v>
      </c>
      <c r="D7" s="35">
        <v>15</v>
      </c>
      <c r="E7" s="33">
        <v>0</v>
      </c>
    </row>
    <row r="8" spans="2:5" x14ac:dyDescent="0.25">
      <c r="B8" s="33">
        <v>348154.11</v>
      </c>
      <c r="C8" s="34">
        <v>809660.75</v>
      </c>
      <c r="D8" s="35">
        <v>20</v>
      </c>
      <c r="E8" s="33">
        <v>0</v>
      </c>
    </row>
    <row r="9" spans="2:5" x14ac:dyDescent="0.25">
      <c r="B9" s="33">
        <v>809660.76</v>
      </c>
      <c r="C9" s="34">
        <v>1000000000000000</v>
      </c>
      <c r="D9" s="35">
        <v>25</v>
      </c>
      <c r="E9" s="33">
        <v>0</v>
      </c>
    </row>
    <row r="11" spans="1:7" x14ac:dyDescent="0.25">
      <c r="A11" s="36" t="s">
        <v>88</v>
      </c>
      <c r="B11" s="36" t="s">
        <v>89</v>
      </c>
      <c r="C11" s="37">
        <v>40000</v>
      </c>
      <c r="D11" s="36" t="s">
        <v>80</v>
      </c>
      <c r="E11" s="36" t="s">
        <v>81</v>
      </c>
      <c r="F11" s="38" t="s">
        <v>82</v>
      </c>
      <c r="G11" s="36" t="s">
        <v>83</v>
      </c>
    </row>
    <row r="12" spans="1:7" x14ac:dyDescent="0.25">
      <c r="A12" s="39" t="s">
        <v>90</v>
      </c>
      <c r="B12" s="39" t="s">
        <v>89</v>
      </c>
      <c r="C12" s="40">
        <v>100</v>
      </c>
      <c r="D12" s="39" t="s">
        <v>91</v>
      </c>
      <c r="E12" s="39" t="s">
        <v>81</v>
      </c>
      <c r="F12" s="41" t="s">
        <v>92</v>
      </c>
      <c r="G12" s="39" t="s">
        <v>83</v>
      </c>
    </row>
    <row r="13" spans="1:7" x14ac:dyDescent="0.25">
      <c r="A13" s="36" t="s">
        <v>93</v>
      </c>
      <c r="B13" s="36" t="s">
        <v>94</v>
      </c>
      <c r="C13" s="42">
        <v>1</v>
      </c>
      <c r="D13" s="36" t="s">
        <v>95</v>
      </c>
      <c r="E13" s="36" t="s">
        <v>81</v>
      </c>
      <c r="F13" s="38" t="s">
        <v>92</v>
      </c>
      <c r="G13" s="36" t="s">
        <v>83</v>
      </c>
    </row>
    <row r="14" spans="1:7" x14ac:dyDescent="0.25">
      <c r="A14" s="39" t="s">
        <v>93</v>
      </c>
      <c r="B14" s="39" t="s">
        <v>96</v>
      </c>
      <c r="C14" s="40">
        <v>7</v>
      </c>
      <c r="D14" s="39" t="s">
        <v>95</v>
      </c>
      <c r="E14" s="39" t="s">
        <v>81</v>
      </c>
      <c r="F14" s="41" t="s">
        <v>92</v>
      </c>
      <c r="G14" s="39" t="s">
        <v>83</v>
      </c>
    </row>
    <row r="15" spans="1:7" x14ac:dyDescent="0.25">
      <c r="A15" s="36" t="s">
        <v>93</v>
      </c>
      <c r="B15" s="36" t="s">
        <v>97</v>
      </c>
      <c r="C15" s="42">
        <v>14</v>
      </c>
      <c r="D15" s="36" t="s">
        <v>95</v>
      </c>
      <c r="E15" s="36" t="s">
        <v>81</v>
      </c>
      <c r="F15" s="38" t="s">
        <v>92</v>
      </c>
      <c r="G15" s="36" t="s">
        <v>83</v>
      </c>
    </row>
    <row r="16" spans="1:7" x14ac:dyDescent="0.25">
      <c r="A16" s="39" t="s">
        <v>93</v>
      </c>
      <c r="B16" s="39" t="s">
        <v>98</v>
      </c>
      <c r="C16" s="40">
        <v>30</v>
      </c>
      <c r="D16" s="39" t="s">
        <v>95</v>
      </c>
      <c r="E16" s="39" t="s">
        <v>81</v>
      </c>
      <c r="F16" s="41" t="s">
        <v>92</v>
      </c>
      <c r="G16" s="39" t="s">
        <v>83</v>
      </c>
    </row>
    <row r="17" spans="1:7" x14ac:dyDescent="0.25">
      <c r="A17" s="36" t="s">
        <v>93</v>
      </c>
      <c r="B17" s="36" t="s">
        <v>99</v>
      </c>
      <c r="C17" s="42">
        <v>60</v>
      </c>
      <c r="D17" s="36" t="s">
        <v>95</v>
      </c>
      <c r="E17" s="36" t="s">
        <v>81</v>
      </c>
      <c r="F17" s="38" t="s">
        <v>92</v>
      </c>
      <c r="G17" s="36" t="s">
        <v>83</v>
      </c>
    </row>
    <row r="18" spans="1:7" x14ac:dyDescent="0.25">
      <c r="A18" s="39" t="s">
        <v>100</v>
      </c>
      <c r="B18" s="39" t="s">
        <v>101</v>
      </c>
      <c r="C18" s="40">
        <v>10</v>
      </c>
      <c r="D18" s="39" t="s">
        <v>95</v>
      </c>
      <c r="E18" s="39" t="s">
        <v>81</v>
      </c>
      <c r="F18" s="41" t="s">
        <v>92</v>
      </c>
      <c r="G18" s="39" t="s">
        <v>83</v>
      </c>
    </row>
    <row r="19" spans="1:7" x14ac:dyDescent="0.25">
      <c r="A19" s="36" t="s">
        <v>100</v>
      </c>
      <c r="B19" s="36" t="s">
        <v>102</v>
      </c>
      <c r="C19" s="42">
        <v>20</v>
      </c>
      <c r="D19" s="36" t="s">
        <v>95</v>
      </c>
      <c r="E19" s="36" t="s">
        <v>81</v>
      </c>
      <c r="F19" s="38" t="s">
        <v>92</v>
      </c>
      <c r="G19" s="36" t="s">
        <v>83</v>
      </c>
    </row>
    <row r="20" spans="1:7" x14ac:dyDescent="0.25">
      <c r="A20" s="39" t="s">
        <v>103</v>
      </c>
      <c r="B20" s="39" t="s">
        <v>104</v>
      </c>
      <c r="C20" s="40">
        <v>25</v>
      </c>
      <c r="D20" s="39" t="s">
        <v>105</v>
      </c>
      <c r="E20" s="39" t="s">
        <v>81</v>
      </c>
      <c r="F20" s="41" t="s">
        <v>106</v>
      </c>
      <c r="G20" s="39" t="s">
        <v>83</v>
      </c>
    </row>
    <row r="21" spans="1:7" x14ac:dyDescent="0.25">
      <c r="A21" s="36" t="s">
        <v>103</v>
      </c>
      <c r="B21" s="36" t="s">
        <v>107</v>
      </c>
      <c r="C21" s="42">
        <v>15</v>
      </c>
      <c r="D21" s="36" t="s">
        <v>105</v>
      </c>
      <c r="E21" s="36" t="s">
        <v>81</v>
      </c>
      <c r="F21" s="38" t="s">
        <v>106</v>
      </c>
      <c r="G21" s="36" t="s">
        <v>83</v>
      </c>
    </row>
    <row r="22" spans="1:7" x14ac:dyDescent="0.25">
      <c r="A22" s="39" t="s">
        <v>108</v>
      </c>
      <c r="B22" s="39" t="s">
        <v>89</v>
      </c>
      <c r="C22" s="40">
        <v>15</v>
      </c>
      <c r="D22" s="39" t="s">
        <v>109</v>
      </c>
      <c r="E22" s="39" t="s">
        <v>81</v>
      </c>
      <c r="F22" s="41" t="s">
        <v>106</v>
      </c>
      <c r="G22" s="39" t="s">
        <v>83</v>
      </c>
    </row>
    <row r="23" spans="1:7" x14ac:dyDescent="0.25">
      <c r="A23" s="36" t="s">
        <v>110</v>
      </c>
      <c r="B23" s="36" t="s">
        <v>89</v>
      </c>
      <c r="C23" s="42">
        <v>35</v>
      </c>
      <c r="D23" s="36" t="s">
        <v>91</v>
      </c>
      <c r="E23" s="36" t="s">
        <v>81</v>
      </c>
      <c r="F23" s="38" t="s">
        <v>106</v>
      </c>
      <c r="G23" s="36" t="s">
        <v>83</v>
      </c>
    </row>
  </sheetData>
  <mergeCells count="2">
    <mergeCell ref="A1:G1"/>
    <mergeCell ref="A2:G2"/>
  </mergeCells>
  <hyperlinks>
    <hyperlink ref="F4" r:id="rId1"/>
    <hyperlink ref="F11" r:id="rId2"/>
    <hyperlink ref="F12" r:id="rId3"/>
    <hyperlink ref="F13" r:id="rId4"/>
    <hyperlink ref="F14" r:id="rId5"/>
    <hyperlink ref="F15" r:id="rId6"/>
    <hyperlink ref="F16" r:id="rId7"/>
    <hyperlink ref="F17" r:id="rId8"/>
    <hyperlink ref="F18" r:id="rId9"/>
    <hyperlink ref="F19" r:id="rId10"/>
    <hyperlink ref="F20" r:id="rId11"/>
    <hyperlink ref="F21" r:id="rId12"/>
    <hyperlink ref="F22" r:id="rId13"/>
    <hyperlink ref="F23" r:id="rId1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ISR de su salario</vt:lpstr>
      <vt:lpstr>Décimo cuarto mes</vt:lpstr>
      <vt:lpstr>Prestaciones laborales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salario y prestaciones Honduras 2026</dc:title>
  <dc:subject/>
  <dc:description/>
  <cp:keywords/>
  <cp:category/>
  <cp:lastModifiedBy>Unknown</cp:lastModifiedBy>
  <dcterms:created xsi:type="dcterms:W3CDTF">2026-10-14T12:00:00Z</dcterms:created>
  <dcterms:modified xsi:type="dcterms:W3CDTF">2026-10-14T12:00:00Z</dcterms:modified>
</cp:coreProperties>
</file>