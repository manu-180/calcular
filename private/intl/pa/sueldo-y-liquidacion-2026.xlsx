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Salario neto" state="visible" r:id="rId5"/>
    <sheet sheetId="3" name="Décimo tercer mes" state="visible" r:id="rId6"/>
    <sheet sheetId="4" name="Liquidación" state="visible" r:id="rId7"/>
    <sheet sheetId="5" name="Tablas oficiales" state="visible" r:id="rId8"/>
  </sheets>
  <calcPr calcId="171027"/>
</workbook>
</file>

<file path=xl/sharedStrings.xml><?xml version="1.0" encoding="utf-8"?>
<sst xmlns="http://schemas.openxmlformats.org/spreadsheetml/2006/main" count="145" uniqueCount="110">
  <si>
    <t>Planilla de salario y liquidación Panamá 2026</t>
  </si>
  <si>
    <t>Las celdas amarillas son para tus datos. Las verdes se calculan solas, con las fórmulas de la ley. A la derecha de cada hoja está el paso a paso de la cuenta.</t>
  </si>
  <si>
    <t>«Salario neto»: pones tu salario bruto y te dice la cuota del Seguro Social, el seguro educativo, el ISR estimado y lo que recibes por quincena.</t>
  </si>
  <si>
    <t>«Décimo tercer mes»: calcula cada partida del décimo tercer mes (abril, agosto y diciembre) y su descuento del Seguro Social.</t>
  </si>
  <si>
    <t>«Liquidación»: pones tus fechas, tu salario y cómo terminó la relación, y te dice la prima de antigüedad, la indemnización, las vacaciones y el décimo proporcional.</t>
  </si>
  <si>
    <t>«Tablas oficiales» tiene cada valor oficial que usan las fórmulas, con el enlace a su fuente y la fecha en que lo verificamos. Los valores son los vigentes al 19/10/2026.</t>
  </si>
  <si>
    <t>Cuando cambia un valor oficial, actualizamos la planilla y el mismo enlace de descarga te baja la versión nueva.</t>
  </si>
  <si>
    <t>Da los mismos números que las calculadoras gratuitas de calcularya.com. Antes de publicar cada versión, una verificación automática recalcula este archivo y lo compara con ellas.</t>
  </si>
  <si>
    <t>Es una referencia de cálculo con sus fuentes, no asesoría legal. Tu contrato o tu empresa pueden darte más que el mínimo de ley.</t>
  </si>
  <si>
    <t>Las fechas van como dd/mm/aaaa. Si tu Excel está en inglés y las lee al revés, escríbelas como aaaa-mm-dd.</t>
  </si>
  <si>
    <t>Salario neto: Seguro Social, seguro educativo e ISR</t>
  </si>
  <si>
    <t>Paso a paso</t>
  </si>
  <si>
    <t>TUS DATOS</t>
  </si>
  <si>
    <t>Caja de Seguro Social</t>
  </si>
  <si>
    <t>Salario bruto mensual</t>
  </si>
  <si>
    <t>Seguro educativo</t>
  </si>
  <si>
    <t>ISR del mes (impuesto de 13 pagos entre 13)</t>
  </si>
  <si>
    <t>TU SALARIO NETO</t>
  </si>
  <si>
    <t>Salario neto</t>
  </si>
  <si>
    <t>Impuesto sobre la renta estimado</t>
  </si>
  <si>
    <t>Salario neto del mes</t>
  </si>
  <si>
    <t>Lo que recibes por quincena</t>
  </si>
  <si>
    <t>El ISR es una estimación sin deducciones: el año son 13 pagos (12 salarios y el décimo). Si tienes gastos deducibles, la retención real puede ser menor.</t>
  </si>
  <si>
    <t>Décimo tercer mes</t>
  </si>
  <si>
    <t>Partida bruta</t>
  </si>
  <si>
    <t>Qué partida quieres calcular</t>
  </si>
  <si>
    <t>Tercera partida (15 de diciembre)</t>
  </si>
  <si>
    <t>Seguro Social del décimo</t>
  </si>
  <si>
    <t>Total ganado en esos cuatro meses</t>
  </si>
  <si>
    <t>Salario, horas extra, comisiones y vacaciones del período. Con salario fijo y el período completo, son cuatro salarios.</t>
  </si>
  <si>
    <t>TU DÉCIMO</t>
  </si>
  <si>
    <t>Seguro Social</t>
  </si>
  <si>
    <t>Partida neta</t>
  </si>
  <si>
    <t>Los períodos van del 16 de diciembre al 15 de abril, del 16 de abril al 15 de agosto y del 16 de agosto al 15 de diciembre. No lleva seguro educativo.</t>
  </si>
  <si>
    <t>Liquidación: prima de antigüedad, indemnización, vacaciones y décimo</t>
  </si>
  <si>
    <t>Tiempo trabajado: años completos</t>
  </si>
  <si>
    <t>Salario mensual</t>
  </si>
  <si>
    <t>Tu salario de los últimos meses, con horas extra y comisiones.</t>
  </si>
  <si>
    <t>Tiempo trabajado: último aniversario</t>
  </si>
  <si>
    <t>Fecha de ingreso</t>
  </si>
  <si>
    <t>Tiempo trabajado: meses</t>
  </si>
  <si>
    <t>Último día de trabajo</t>
  </si>
  <si>
    <t>Tiempo trabajado: días</t>
  </si>
  <si>
    <t>Cómo terminó la relación de trabajo</t>
  </si>
  <si>
    <t>Despido injustificado</t>
  </si>
  <si>
    <t>Años con fracción</t>
  </si>
  <si>
    <t>Tu contrato era por tiempo indefinido</t>
  </si>
  <si>
    <t>Sí</t>
  </si>
  <si>
    <t>Si era por obra o por un plazo fijo, marca que no.</t>
  </si>
  <si>
    <t>Salario semanal (12 meses entre 52 semanas)</t>
  </si>
  <si>
    <t>Meses trabajados desde tus últimas vacaciones</t>
  </si>
  <si>
    <t>Si no tomaste vacaciones en un período completo, súmalo también.</t>
  </si>
  <si>
    <t>Prima e indemnización</t>
  </si>
  <si>
    <t>TU LIQUIDACIÓN</t>
  </si>
  <si>
    <t>Prima de antigüedad</t>
  </si>
  <si>
    <t>Semanas de indemnización</t>
  </si>
  <si>
    <t>Tiempo trabajado</t>
  </si>
  <si>
    <t>Indemnización</t>
  </si>
  <si>
    <t>Indemnización por despido injustificado</t>
  </si>
  <si>
    <t>Vacaciones y décimo</t>
  </si>
  <si>
    <t>Vacaciones</t>
  </si>
  <si>
    <t>Décimo tercer mes proporcional</t>
  </si>
  <si>
    <t>Período del décimo: años completos</t>
  </si>
  <si>
    <t>Total</t>
  </si>
  <si>
    <t>Período del décimo: último aniversario</t>
  </si>
  <si>
    <t>Período del décimo: meses</t>
  </si>
  <si>
    <t>En un contrato por obra o plazo fijo no hay prima de antigüedad. La indemnización es de 3,4 semanas por año los primeros diez años y una semana por año después. Las vacaciones y el décimo llevan descuentos del Seguro Social.</t>
  </si>
  <si>
    <t>Período del décimo: días</t>
  </si>
  <si>
    <t>Meses del período del décimo</t>
  </si>
  <si>
    <t>Décimo proporcional (con las vacaciones)</t>
  </si>
  <si>
    <t>Tablas oficiales de Panamá</t>
  </si>
  <si>
    <t>Son los valores que usan las fórmulas de esta planilla, vigentes al 19/10/2026. Cada uno trae el enlace a la norma o al organismo que lo publica y la fecha en que lo verificamos.</t>
  </si>
  <si>
    <t>Dato</t>
  </si>
  <si>
    <t>Detalle</t>
  </si>
  <si>
    <t>Valor</t>
  </si>
  <si>
    <t>Unidad</t>
  </si>
  <si>
    <t>Vigente desde</t>
  </si>
  <si>
    <t>Fuente oficial</t>
  </si>
  <si>
    <t>Verificado el</t>
  </si>
  <si>
    <t>Cuota del empleado a la Caja de Seguro Social</t>
  </si>
  <si>
    <t/>
  </si>
  <si>
    <t>%</t>
  </si>
  <si>
    <t>18/3/2025</t>
  </si>
  <si>
    <t>https://s3-legispan.asamblea.gob.pa/legispan/GACETAS/2020/2025/30238_2025.pdf</t>
  </si>
  <si>
    <t>7/10/2026</t>
  </si>
  <si>
    <t>Seguro educativo a cargo del empleado</t>
  </si>
  <si>
    <t>5/8/1987</t>
  </si>
  <si>
    <t>https://s3-legispan.asamblea.gob.pa/legispan/GACETAS/1980/1987/20858_1987.pdf</t>
  </si>
  <si>
    <t>Tarifa anual del impuesto sobre la renta de personas naturales</t>
  </si>
  <si>
    <t>USD</t>
  </si>
  <si>
    <t>15/3/2010</t>
  </si>
  <si>
    <t>https://www.organojudicial.gob.pa/uploads/wp_repo/blogs.dir/cendoj/novedades_normativas/ley_8_2010.pdf</t>
  </si>
  <si>
    <t>Desde</t>
  </si>
  <si>
    <t>Hasta</t>
  </si>
  <si>
    <t>Tasa %</t>
  </si>
  <si>
    <t>Cuota fija</t>
  </si>
  <si>
    <t>Divisor del décimo tercer mes (total ganado en el período entre este número)</t>
  </si>
  <si>
    <t>20/9/1973</t>
  </si>
  <si>
    <t>https://mitradel.gob.pa/wp-content/uploads/2019/12/Bolet%C3%ADn.pdf</t>
  </si>
  <si>
    <t>Contribución especial del empleado sobre cada partida del décimo tercer mes</t>
  </si>
  <si>
    <t>Semanas de salario de prima de antigüedad por año laborado</t>
  </si>
  <si>
    <t>14/8/1995</t>
  </si>
  <si>
    <t>https://www.defensoria.gob.pa/wp-content/uploads/Ley-No.-44-de1995-12-agosto.pdf</t>
  </si>
  <si>
    <t>Semanas de salario de indemnización por año (relaciones iniciadas desde la Ley 44 de 1995)</t>
  </si>
  <si>
    <t>Por cada uno de los diez primeros años</t>
  </si>
  <si>
    <t>Por cada año posterior a los diez</t>
  </si>
  <si>
    <t>Meses continuos de trabajo que dan derecho a las vacaciones</t>
  </si>
  <si>
    <t>meses</t>
  </si>
  <si>
    <t>2/4/1972</t>
  </si>
  <si>
    <t>https://www.organojudicial.gob.pa/uploads/wp_repo/uploads/2016/11/c%C3%B3digo-detrabajo.pdf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</si>
</sst>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B/. &quot;#,##0.00"/>
    <numFmt numFmtId="165" formatCode="#,##0.##"/>
    <numFmt numFmtId="166" formatCode="dd/mm/yyyy"/>
    <numFmt numFmtId="167" formatCode="0.000000"/>
    <numFmt numFmtId="168" formatCode="#,##0.00##"/>
    <numFmt numFmtId="169" formatCode="[&gt;=100000000000000]&quot;en adelante&quot;;&quot;B/. &quot;#,##0.00"/>
    <numFmt numFmtId="170" formatCode="0.00##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i/>
      <color rgb="FF777777"/>
      <sz val="9"/>
    </font>
    <font>
      <b/>
      <color rgb="FFFFFFFF"/>
      <sz val="11"/>
    </font>
    <font>
      <sz val="10"/>
    </font>
    <font>
      <b/>
    </font>
    <font>
      <b/>
      <color rgb="FF1B5E20"/>
      <sz val="10"/>
    </font>
    <font>
      <b/>
      <color rgb="FFB71C1C"/>
    </font>
    <font>
      <u/>
      <color rgb="FF1565C0"/>
    </font>
    <font>
      <b/>
      <sz val="9"/>
    </font>
  </fonts>
  <fills count="12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3F8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5" fillId="4" borderId="1" xfId="0" applyFont="1" applyFill="1" applyBorder="1" applyAlignment="1">
      <alignment horizontal="left" wrapText="1" indent="1"/>
    </xf>
    <xf numFmtId="164" fontId="5" fillId="5" borderId="1" xfId="0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left" vertical="center" wrapText="1" indent="1"/>
    </xf>
    <xf numFmtId="164" fontId="6" fillId="6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left" wrapText="1" indent="1"/>
    </xf>
    <xf numFmtId="164" fontId="0" fillId="7" borderId="1" xfId="0" applyNumberFormat="1" applyFill="1" applyBorder="1" applyAlignment="1">
      <alignment horizontal="right"/>
    </xf>
    <xf numFmtId="0" fontId="6" fillId="8" borderId="1" xfId="0" applyFont="1" applyFill="1" applyBorder="1" applyAlignment="1">
      <alignment horizontal="left" wrapText="1" indent="1"/>
    </xf>
    <xf numFmtId="164" fontId="6" fillId="8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 indent="1"/>
    </xf>
    <xf numFmtId="0" fontId="3" fillId="0" borderId="0" xfId="0" applyFont="1" applyAlignment="1">
      <alignment vertical="center" wrapText="1"/>
    </xf>
    <xf numFmtId="165" fontId="5" fillId="5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 applyAlignment="1">
      <alignment horizontal="right"/>
    </xf>
    <xf numFmtId="0" fontId="7" fillId="0" borderId="0" xfId="0" applyFont="1"/>
    <xf numFmtId="0" fontId="8" fillId="0" borderId="0" xfId="0" applyFont="1" applyAlignment="1">
      <alignment wrapText="1"/>
    </xf>
    <xf numFmtId="168" fontId="5" fillId="5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1" fillId="9" borderId="0" xfId="0" applyFont="1" applyFill="1" applyAlignment="1">
      <alignment horizontal="center" vertical="center"/>
    </xf>
    <xf numFmtId="0" fontId="2" fillId="10" borderId="1" xfId="0" applyFont="1" applyFill="1" applyBorder="1"/>
    <xf numFmtId="0" fontId="0" fillId="5" borderId="1" xfId="0" applyFill="1" applyBorder="1" applyAlignment="1">
      <alignment vertical="top" wrapText="1"/>
    </xf>
    <xf numFmtId="168" fontId="0" fillId="5" borderId="1" xfId="0" applyNumberForma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68" fontId="0" fillId="4" borderId="1" xfId="0" applyNumberForma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9" fillId="11" borderId="1" xfId="0" applyFont="1" applyFill="1" applyBorder="1" applyAlignment="1">
      <alignment vertical="top" wrapText="1"/>
    </xf>
    <xf numFmtId="0" fontId="10" fillId="4" borderId="1" xfId="0" applyFont="1" applyFill="1" applyBorder="1"/>
    <xf numFmtId="164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3-legispan.asamblea.gob.pa/legispan/GACETAS/2020/2025/30238_2025.pdf" TargetMode="External"/><Relationship Id="rId2" Type="http://schemas.openxmlformats.org/officeDocument/2006/relationships/hyperlink" Target="https://s3-legispan.asamblea.gob.pa/legispan/GACETAS/1980/1987/20858_1987.pdf" TargetMode="External"/><Relationship Id="rId3" Type="http://schemas.openxmlformats.org/officeDocument/2006/relationships/hyperlink" Target="https://www.organojudicial.gob.pa/uploads/wp_repo/blogs.dir/cendoj/novedades_normativas/ley_8_2010.pdf" TargetMode="External"/><Relationship Id="rId4" Type="http://schemas.openxmlformats.org/officeDocument/2006/relationships/hyperlink" Target="https://mitradel.gob.pa/wp-content/uploads/2019/12/Bolet%C3%ADn.pdf" TargetMode="External"/><Relationship Id="rId5" Type="http://schemas.openxmlformats.org/officeDocument/2006/relationships/hyperlink" Target="https://s3-legispan.asamblea.gob.pa/legispan/GACETAS/2020/2025/30238_2025.pdf" TargetMode="External"/><Relationship Id="rId6" Type="http://schemas.openxmlformats.org/officeDocument/2006/relationships/hyperlink" Target="https://www.defensoria.gob.pa/wp-content/uploads/Ley-No.-44-de1995-12-agosto.pdf" TargetMode="External"/><Relationship Id="rId7" Type="http://schemas.openxmlformats.org/officeDocument/2006/relationships/hyperlink" Target="https://www.defensoria.gob.pa/wp-content/uploads/Ley-No.-44-de1995-12-agosto.pdf" TargetMode="External"/><Relationship Id="rId8" Type="http://schemas.openxmlformats.org/officeDocument/2006/relationships/hyperlink" Target="https://www.defensoria.gob.pa/wp-content/uploads/Ley-No.-44-de1995-12-agosto.pdf" TargetMode="External"/><Relationship Id="rId9" Type="http://schemas.openxmlformats.org/officeDocument/2006/relationships/hyperlink" Target="https://www.organojudicial.gob.pa/uploads/wp_repo/uploads/2016/11/c%C3%B3digo-detrabaj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B12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4" customHeight="1" spans="1:2" x14ac:dyDescent="0.25">
      <c r="A3" s="2">
        <v>1</v>
      </c>
      <c r="B3" s="3" t="s">
        <v>1</v>
      </c>
    </row>
    <row r="4" ht="34" customHeight="1" spans="1:2" x14ac:dyDescent="0.25">
      <c r="A4" s="2">
        <v>2</v>
      </c>
      <c r="B4" s="3" t="s">
        <v>2</v>
      </c>
    </row>
    <row r="5" ht="34" customHeight="1" spans="1:2" x14ac:dyDescent="0.25">
      <c r="A5" s="2">
        <v>3</v>
      </c>
      <c r="B5" s="3" t="s">
        <v>3</v>
      </c>
    </row>
    <row r="6" ht="34" customHeight="1" spans="1:2" x14ac:dyDescent="0.25">
      <c r="A6" s="2">
        <v>4</v>
      </c>
      <c r="B6" s="3" t="s">
        <v>4</v>
      </c>
    </row>
    <row r="7" ht="34" customHeight="1" spans="1:2" x14ac:dyDescent="0.25">
      <c r="A7" s="2">
        <v>5</v>
      </c>
      <c r="B7" s="3" t="s">
        <v>5</v>
      </c>
    </row>
    <row r="8" ht="34" customHeight="1" spans="1:2" x14ac:dyDescent="0.25">
      <c r="A8" s="2">
        <v>6</v>
      </c>
      <c r="B8" s="3" t="s">
        <v>6</v>
      </c>
    </row>
    <row r="10" ht="30" customHeight="1" spans="1:2" x14ac:dyDescent="0.25">
      <c r="A10" s="4" t="s">
        <v>7</v>
      </c>
      <c r="B10" s="4"/>
    </row>
    <row r="11" ht="30" customHeight="1" spans="1:2" x14ac:dyDescent="0.25">
      <c r="A11" s="4" t="s">
        <v>8</v>
      </c>
      <c r="B11" s="4"/>
    </row>
    <row r="12" ht="18" customHeight="1" spans="1:2" x14ac:dyDescent="0.25">
      <c r="A12" s="4" t="s">
        <v>9</v>
      </c>
      <c r="B12" s="4"/>
    </row>
  </sheetData>
  <mergeCells count="4">
    <mergeCell ref="A1:B1"/>
    <mergeCell ref="A10:B10"/>
    <mergeCell ref="A11:B1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4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10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13</v>
      </c>
      <c r="F4" s="8">
        <f>ROUND(B5*'Tablas oficiales'!$C$4/100,2)</f>
      </c>
    </row>
    <row r="5" spans="1:6" x14ac:dyDescent="0.25">
      <c r="A5" s="9" t="s">
        <v>14</v>
      </c>
      <c r="B5" s="10">
        <v>1500</v>
      </c>
      <c r="E5" s="7" t="s">
        <v>15</v>
      </c>
      <c r="F5" s="8">
        <f>ROUND(B5*'Tablas oficiales'!$C$5/100,2)</f>
      </c>
    </row>
    <row r="6" spans="5:6" x14ac:dyDescent="0.25">
      <c r="E6" s="7" t="s">
        <v>16</v>
      </c>
      <c r="F6" s="8">
        <f>ROUND(IF(B5*13&lt;=0,0,INDEX('Tablas oficiales'!$E$8:$E$10,IFERROR(MATCH(B5*13,'Tablas oficiales'!$B$8:$B$10,1),1))+(B5*13-INDEX('Tablas oficiales'!$B$8:$B$10,IFERROR(MATCH(B5*13,'Tablas oficiales'!$B$8:$B$10,1),1)))*INDEX('Tablas oficiales'!$D$8:$D$10,IFERROR(MATCH(B5*13,'Tablas oficiales'!$B$8:$B$10,1),1))/100)/13,2)</f>
      </c>
    </row>
    <row r="7" spans="1:6" x14ac:dyDescent="0.25">
      <c r="A7" s="6" t="s">
        <v>17</v>
      </c>
      <c r="B7" s="6"/>
      <c r="C7" s="6"/>
      <c r="E7" s="7" t="s">
        <v>18</v>
      </c>
      <c r="F7" s="8">
        <f>ROUND(B5-F4-F5-F6,2)</f>
      </c>
    </row>
    <row r="8" spans="1:2" x14ac:dyDescent="0.25">
      <c r="A8" s="11" t="s">
        <v>13</v>
      </c>
      <c r="B8" s="12">
        <f>F4</f>
      </c>
    </row>
    <row r="9" spans="1:2" x14ac:dyDescent="0.25">
      <c r="A9" s="11" t="s">
        <v>15</v>
      </c>
      <c r="B9" s="12">
        <f>F5</f>
      </c>
    </row>
    <row r="10" spans="1:2" x14ac:dyDescent="0.25">
      <c r="A10" s="11" t="s">
        <v>19</v>
      </c>
      <c r="B10" s="12">
        <f>F6</f>
      </c>
    </row>
    <row r="11" spans="1:2" x14ac:dyDescent="0.25">
      <c r="A11" s="13" t="s">
        <v>20</v>
      </c>
      <c r="B11" s="14">
        <f>F7</f>
      </c>
    </row>
    <row r="12" spans="1:2" x14ac:dyDescent="0.25">
      <c r="A12" s="11" t="s">
        <v>21</v>
      </c>
      <c r="B12" s="12">
        <f>ROUND(F7/2,2)</f>
      </c>
    </row>
    <row r="14" ht="36" customHeight="1" spans="1:3" x14ac:dyDescent="0.25">
      <c r="A14" s="4" t="s">
        <v>22</v>
      </c>
      <c r="B14" s="4"/>
      <c r="C14" s="4"/>
    </row>
  </sheetData>
  <mergeCells count="5">
    <mergeCell ref="A1:C1"/>
    <mergeCell ref="E3:F3"/>
    <mergeCell ref="A4:C4"/>
    <mergeCell ref="A7:C7"/>
    <mergeCell ref="A14:C14"/>
  </mergeCells>
  <dataValidations count="1">
    <dataValidation type="decimal" allowBlank="1" showErrorMessage="1" error="Escribe un número mayor o igual a 0." sqref="B5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1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23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24</v>
      </c>
      <c r="F4" s="8">
        <f>ROUND(B6/'Tablas oficiales'!$C$12,2)</f>
      </c>
    </row>
    <row r="5" spans="1:6" x14ac:dyDescent="0.25">
      <c r="A5" s="9" t="s">
        <v>25</v>
      </c>
      <c r="B5" s="15" t="s">
        <v>26</v>
      </c>
      <c r="E5" s="7" t="s">
        <v>27</v>
      </c>
      <c r="F5" s="8">
        <f>ROUND(F4*'Tablas oficiales'!$C$13/100,2)</f>
      </c>
    </row>
    <row r="6" ht="30" customHeight="1" spans="1:3" x14ac:dyDescent="0.25">
      <c r="A6" s="9" t="s">
        <v>28</v>
      </c>
      <c r="B6" s="10">
        <v>6000</v>
      </c>
      <c r="C6" s="16" t="s">
        <v>29</v>
      </c>
    </row>
    <row r="8" spans="1:3" x14ac:dyDescent="0.25">
      <c r="A8" s="6" t="s">
        <v>30</v>
      </c>
      <c r="B8" s="6"/>
      <c r="C8" s="6"/>
    </row>
    <row r="9" spans="1:2" x14ac:dyDescent="0.25">
      <c r="A9" s="11" t="s">
        <v>24</v>
      </c>
      <c r="B9" s="12">
        <f>F4</f>
      </c>
    </row>
    <row r="10" spans="1:2" x14ac:dyDescent="0.25">
      <c r="A10" s="11" t="s">
        <v>31</v>
      </c>
      <c r="B10" s="12">
        <f>F5</f>
      </c>
    </row>
    <row r="11" spans="1:2" x14ac:dyDescent="0.25">
      <c r="A11" s="13" t="s">
        <v>32</v>
      </c>
      <c r="B11" s="14">
        <f>ROUND(F4-F5,2)</f>
      </c>
    </row>
    <row r="13" ht="36" customHeight="1" spans="1:3" x14ac:dyDescent="0.25">
      <c r="A13" s="4" t="s">
        <v>33</v>
      </c>
      <c r="B13" s="4"/>
      <c r="C13" s="4"/>
    </row>
  </sheetData>
  <mergeCells count="5">
    <mergeCell ref="A1:C1"/>
    <mergeCell ref="E3:F3"/>
    <mergeCell ref="A4:C4"/>
    <mergeCell ref="A8:C8"/>
    <mergeCell ref="A13:C13"/>
  </mergeCells>
  <dataValidations count="2">
    <dataValidation type="list" showErrorMessage="1" error="Elige una opción de la lista." sqref="B5">
      <formula1>"Primera partida (15 de abril),Segunda partida (15 de agosto),Tercera partida (15 de diciembre)"</formula1>
    </dataValidation>
    <dataValidation type="decimal" allowBlank="1" showErrorMessage="1" error="Escribe un número mayor o igual a 0." sqref="B6">
      <formula1>0</formula1>
      <formula2>1000000000000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F23"/>
  <sheetFormatPr defaultRowHeight="15" outlineLevelRow="0" outlineLevelCol="0" x14ac:dyDescent="55"/>
  <cols>
    <col min="1" max="1" width="50" customWidth="1"/>
    <col min="2" max="2" width="18" customWidth="1"/>
    <col min="3" max="3" width="52" customWidth="1"/>
    <col min="4" max="4" width="3" customWidth="1"/>
    <col min="5" max="5" width="50" customWidth="1"/>
    <col min="6" max="6" width="18" customWidth="1"/>
  </cols>
  <sheetData>
    <row r="1" ht="28" customHeight="1" spans="1:3" x14ac:dyDescent="0.25">
      <c r="A1" s="5" t="s">
        <v>34</v>
      </c>
      <c r="B1" s="5"/>
      <c r="C1" s="5"/>
    </row>
    <row r="3" spans="5:6" x14ac:dyDescent="0.25">
      <c r="E3" s="6" t="s">
        <v>11</v>
      </c>
      <c r="F3" s="6"/>
    </row>
    <row r="4" spans="1:6" x14ac:dyDescent="0.25">
      <c r="A4" s="6" t="s">
        <v>12</v>
      </c>
      <c r="B4" s="6"/>
      <c r="C4" s="6"/>
      <c r="E4" s="7" t="s">
        <v>35</v>
      </c>
      <c r="F4" s="17">
        <f>IF(EDATE(B6,12*(YEAR((B7+1))-YEAR(B6)))&gt;(B7+1),(YEAR((B7+1))-YEAR(B6))-1,(YEAR((B7+1))-YEAR(B6)))</f>
      </c>
    </row>
    <row r="5" spans="1:6" x14ac:dyDescent="0.25">
      <c r="A5" s="9" t="s">
        <v>36</v>
      </c>
      <c r="B5" s="10">
        <v>1200</v>
      </c>
      <c r="C5" s="16" t="s">
        <v>37</v>
      </c>
      <c r="E5" s="7" t="s">
        <v>38</v>
      </c>
      <c r="F5" s="18">
        <f>EDATE(B6,12*F4)</f>
      </c>
    </row>
    <row r="6" spans="1:6" x14ac:dyDescent="0.25">
      <c r="A6" s="9" t="s">
        <v>39</v>
      </c>
      <c r="B6" s="19">
        <v>43862</v>
      </c>
      <c r="E6" s="7" t="s">
        <v>40</v>
      </c>
      <c r="F6" s="17">
        <f>MIN(12,IF(EDATE(F5,((YEAR((B7+1))-YEAR(F5))*12+MONTH((B7+1))-MONTH(F5)))&gt;(B7+1),((YEAR((B7+1))-YEAR(F5))*12+MONTH((B7+1))-MONTH(F5))-1,((YEAR((B7+1))-YEAR(F5))*12+MONTH((B7+1))-MONTH(F5))))</f>
      </c>
    </row>
    <row r="7" spans="1:6" x14ac:dyDescent="0.25">
      <c r="A7" s="9" t="s">
        <v>41</v>
      </c>
      <c r="B7" s="19">
        <v>46314</v>
      </c>
      <c r="E7" s="7" t="s">
        <v>42</v>
      </c>
      <c r="F7" s="17">
        <f>(B7+1)-EDATE(F5,F6)</f>
      </c>
    </row>
    <row r="8" spans="1:6" x14ac:dyDescent="0.25">
      <c r="A8" s="9" t="s">
        <v>43</v>
      </c>
      <c r="B8" s="15" t="s">
        <v>44</v>
      </c>
      <c r="E8" s="7" t="s">
        <v>45</v>
      </c>
      <c r="F8" s="20">
        <f>(F4*12+F6+F7/30)/12</f>
      </c>
    </row>
    <row r="9" spans="1:6" x14ac:dyDescent="0.25">
      <c r="A9" s="9" t="s">
        <v>46</v>
      </c>
      <c r="B9" s="15" t="s">
        <v>47</v>
      </c>
      <c r="C9" s="16" t="s">
        <v>48</v>
      </c>
      <c r="E9" s="7" t="s">
        <v>49</v>
      </c>
      <c r="F9" s="8">
        <f>B5*12/52</f>
      </c>
    </row>
    <row r="10" spans="1:3" x14ac:dyDescent="0.25">
      <c r="A10" s="9" t="s">
        <v>50</v>
      </c>
      <c r="B10" s="21">
        <v>0</v>
      </c>
      <c r="C10" s="16" t="s">
        <v>51</v>
      </c>
    </row>
    <row r="11" spans="5:5" x14ac:dyDescent="0.25">
      <c r="E11" s="22" t="s">
        <v>52</v>
      </c>
    </row>
    <row r="12" spans="1:6" x14ac:dyDescent="0.25">
      <c r="A12" s="6" t="s">
        <v>53</v>
      </c>
      <c r="B12" s="6"/>
      <c r="C12" s="6"/>
      <c r="E12" s="7" t="s">
        <v>54</v>
      </c>
      <c r="F12" s="8">
        <f>IF(B9="Sí",ROUND(F9*F8*'Tablas oficiales'!$C$14,2),0)</f>
      </c>
    </row>
    <row r="13" spans="1:6" x14ac:dyDescent="0.25">
      <c r="A13" s="23">
        <f>IF(B7&lt;B6,"La fecha de salida tiene que ser igual o posterior a la de ingreso.",IF(AND(AND(B9="Sí",B8="Despido injustificado"),B6&lt;DATE(1995,8,14)),"Si empezaste antes del 14 de agosto de 1995, la indemnización usa otras escalas del artículo 225 que esta planilla no cubre.",""))</f>
      </c>
      <c r="B13" s="23"/>
      <c r="C13" s="23"/>
      <c r="E13" s="7" t="s">
        <v>55</v>
      </c>
      <c r="F13" s="24">
        <f>IF(AND(B9="Sí",B8="Despido injustificado"),MIN(F8,10)*'Tablas oficiales'!$C$15+MAX(F8-10,0)*'Tablas oficiales'!$C$16,0)</f>
      </c>
    </row>
    <row r="14" spans="1:6" x14ac:dyDescent="0.25">
      <c r="A14" s="11" t="s">
        <v>56</v>
      </c>
      <c r="B14" s="25">
        <f>F4&amp;" años, "&amp;F6&amp;" meses y "&amp;F7&amp;" días"</f>
      </c>
      <c r="E14" s="7" t="s">
        <v>57</v>
      </c>
      <c r="F14" s="8">
        <f>ROUND(F9*F13,2)</f>
      </c>
    </row>
    <row r="15" spans="1:2" x14ac:dyDescent="0.25">
      <c r="A15" s="11" t="s">
        <v>54</v>
      </c>
      <c r="B15" s="12">
        <f>F12</f>
      </c>
    </row>
    <row r="16" spans="1:5" x14ac:dyDescent="0.25">
      <c r="A16" s="11" t="s">
        <v>58</v>
      </c>
      <c r="B16" s="12">
        <f>F14</f>
      </c>
      <c r="E16" s="22" t="s">
        <v>59</v>
      </c>
    </row>
    <row r="17" spans="1:6" x14ac:dyDescent="0.25">
      <c r="A17" s="11" t="s">
        <v>60</v>
      </c>
      <c r="B17" s="12">
        <f>F17</f>
      </c>
      <c r="E17" s="7" t="s">
        <v>60</v>
      </c>
      <c r="F17" s="8">
        <f>ROUND(B5*B10/'Tablas oficiales'!$C$17,2)</f>
      </c>
    </row>
    <row r="18" spans="1:6" x14ac:dyDescent="0.25">
      <c r="A18" s="11" t="s">
        <v>61</v>
      </c>
      <c r="B18" s="12">
        <f>F23</f>
      </c>
      <c r="E18" s="7" t="s">
        <v>62</v>
      </c>
      <c r="F18" s="17">
        <f>IF(EDATE(MAX(B6,IF(AND((MONTH(B7)*100+DAY(B7))&gt;=416,(MONTH(B7)*100+DAY(B7))&lt;=815),DATE(YEAR(B7),4,16),IF(AND((MONTH(B7)*100+DAY(B7))&gt;=816,(MONTH(B7)*100+DAY(B7))&lt;=1215),DATE(YEAR(B7),8,16),IF((MONTH(B7)*100+DAY(B7))&gt;=1216,DATE(YEAR(B7),12,16),DATE(YEAR(B7)-1,12,16))))),12*(YEAR((B7+1))-YEAR(MAX(B6,IF(AND((MONTH(B7)*100+DAY(B7))&gt;=416,(MONTH(B7)*100+DAY(B7))&lt;=815),DATE(YEAR(B7),4,16),IF(AND((MONTH(B7)*100+DAY(B7))&gt;=816,(MONTH(B7)*100+DAY(B7))&lt;=1215),DATE(YEAR(B7),8,16),IF((MONTH(B7)*100+DAY(B7))&gt;=1216,DATE(YEAR(B7),12,16),DATE(YEAR(B7)-1,12,16))))))))&gt;(B7+1),(YEAR((B7+1))-YEAR(MAX(B6,IF(AND((MONTH(B7)*100+DAY(B7))&gt;=416,(MONTH(B7)*100+DAY(B7))&lt;=815),DATE(YEAR(B7),4,16),IF(AND((MONTH(B7)*100+DAY(B7))&gt;=816,(MONTH(B7)*100+DAY(B7))&lt;=1215),DATE(YEAR(B7),8,16),IF((MONTH(B7)*100+DAY(B7))&gt;=1216,DATE(YEAR(B7),12,16),DATE(YEAR(B7)-1,12,16)))))))-1,(YEAR((B7+1))-YEAR(MAX(B6,IF(AND((MONTH(B7)*100+DAY(B7))&gt;=416,(MONTH(B7)*100+DAY(B7))&lt;=815),DATE(YEAR(B7),4,16),IF(AND((MONTH(B7)*100+DAY(B7))&gt;=816,(MONTH(B7)*100+DAY(B7))&lt;=1215),DATE(YEAR(B7),8,16),IF((MONTH(B7)*100+DAY(B7))&gt;=1216,DATE(YEAR(B7),12,16),DATE(YEAR(B7)-1,12,16))))))))</f>
      </c>
    </row>
    <row r="19" spans="1:6" x14ac:dyDescent="0.25">
      <c r="A19" s="13" t="s">
        <v>63</v>
      </c>
      <c r="B19" s="14">
        <f>ROUND(F12+F14+F17+F23,2)</f>
      </c>
      <c r="E19" s="7" t="s">
        <v>64</v>
      </c>
      <c r="F19" s="18">
        <f>EDATE(MAX(B6,IF(AND((MONTH(B7)*100+DAY(B7))&gt;=416,(MONTH(B7)*100+DAY(B7))&lt;=815),DATE(YEAR(B7),4,16),IF(AND((MONTH(B7)*100+DAY(B7))&gt;=816,(MONTH(B7)*100+DAY(B7))&lt;=1215),DATE(YEAR(B7),8,16),IF((MONTH(B7)*100+DAY(B7))&gt;=1216,DATE(YEAR(B7),12,16),DATE(YEAR(B7)-1,12,16))))),12*F18)</f>
      </c>
    </row>
    <row r="20" spans="5:6" x14ac:dyDescent="0.25">
      <c r="E20" s="7" t="s">
        <v>65</v>
      </c>
      <c r="F20" s="17">
        <f>MIN(12,IF(EDATE(F19,((YEAR((B7+1))-YEAR(F19))*12+MONTH((B7+1))-MONTH(F19)))&gt;(B7+1),((YEAR((B7+1))-YEAR(F19))*12+MONTH((B7+1))-MONTH(F19))-1,((YEAR((B7+1))-YEAR(F19))*12+MONTH((B7+1))-MONTH(F19))))</f>
      </c>
    </row>
    <row r="21" ht="51" customHeight="1" spans="1:6" x14ac:dyDescent="0.25">
      <c r="A21" s="4" t="s">
        <v>66</v>
      </c>
      <c r="B21" s="4"/>
      <c r="C21" s="4"/>
      <c r="E21" s="7" t="s">
        <v>67</v>
      </c>
      <c r="F21" s="17">
        <f>(B7+1)-EDATE(F19,F20)</f>
      </c>
    </row>
    <row r="22" spans="5:6" x14ac:dyDescent="0.25">
      <c r="E22" s="7" t="s">
        <v>68</v>
      </c>
      <c r="F22" s="24">
        <f>MIN(4,F18*12+F20+F21/30)</f>
      </c>
    </row>
    <row r="23" spans="5:6" x14ac:dyDescent="0.25">
      <c r="E23" s="7" t="s">
        <v>69</v>
      </c>
      <c r="F23" s="8">
        <f>ROUND((B5*F22+F17)/'Tablas oficiales'!$C$12,2)</f>
      </c>
    </row>
  </sheetData>
  <mergeCells count="6">
    <mergeCell ref="A1:C1"/>
    <mergeCell ref="E3:F3"/>
    <mergeCell ref="A4:C4"/>
    <mergeCell ref="A12:C12"/>
    <mergeCell ref="A13:C13"/>
    <mergeCell ref="A21:C21"/>
  </mergeCells>
  <dataValidations count="5">
    <dataValidation type="decimal" allowBlank="1" showErrorMessage="1" error="Escribe un número mayor o igual a 0." sqref="B10">
      <formula1>0</formula1>
      <formula2>1000000000000</formula2>
    </dataValidation>
    <dataValidation type="decimal" allowBlank="1" showErrorMessage="1" error="Escribe un número mayor o igual a 0." sqref="B5">
      <formula1>0</formula1>
      <formula2>1000000000000</formula2>
    </dataValidation>
    <dataValidation type="date" operator="greaterThan" allowBlank="1" showErrorMessage="1" error="Escribe una fecha como dd/mm/aaaa." sqref="B6:B7">
      <formula1>18264</formula1>
    </dataValidation>
    <dataValidation type="list" showErrorMessage="1" error="Elige una opción de la lista." sqref="B8">
      <formula1>"Despido injustificado,Renuncia,Despido con causa justificada,Mutuo acuerdo"</formula1>
    </dataValidation>
    <dataValidation type="list" showErrorMessage="1" error="Elige una opción de la lista." sqref="B9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G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0" customWidth="1"/>
    <col min="3" max="3" width="18" customWidth="1"/>
    <col min="4" max="4" width="12" customWidth="1"/>
    <col min="5" max="5" width="14" customWidth="1"/>
    <col min="6" max="6" width="58" customWidth="1"/>
    <col min="7" max="7" width="14" customWidth="1"/>
  </cols>
  <sheetData>
    <row r="1" ht="28" customHeight="1" spans="1:7" x14ac:dyDescent="0.25">
      <c r="A1" s="26" t="s">
        <v>70</v>
      </c>
      <c r="B1" s="26"/>
      <c r="C1" s="26"/>
      <c r="D1" s="26"/>
      <c r="E1" s="26"/>
      <c r="F1" s="26"/>
      <c r="G1" s="26"/>
    </row>
    <row r="2" ht="30" customHeight="1" spans="1:7" x14ac:dyDescent="0.25">
      <c r="A2" s="4" t="s">
        <v>71</v>
      </c>
      <c r="B2" s="4"/>
      <c r="C2" s="4"/>
      <c r="D2" s="4"/>
      <c r="E2" s="4"/>
      <c r="F2" s="4"/>
      <c r="G2" s="4"/>
    </row>
    <row r="3" spans="1:7" x14ac:dyDescent="0.25">
      <c r="A3" s="27" t="s">
        <v>72</v>
      </c>
      <c r="B3" s="27" t="s">
        <v>73</v>
      </c>
      <c r="C3" s="27" t="s">
        <v>74</v>
      </c>
      <c r="D3" s="27" t="s">
        <v>75</v>
      </c>
      <c r="E3" s="27" t="s">
        <v>76</v>
      </c>
      <c r="F3" s="27" t="s">
        <v>77</v>
      </c>
      <c r="G3" s="27" t="s">
        <v>78</v>
      </c>
    </row>
    <row r="4" spans="1:7" x14ac:dyDescent="0.25">
      <c r="A4" s="28" t="s">
        <v>79</v>
      </c>
      <c r="B4" s="28" t="s">
        <v>80</v>
      </c>
      <c r="C4" s="29">
        <v>9.75</v>
      </c>
      <c r="D4" s="28" t="s">
        <v>81</v>
      </c>
      <c r="E4" s="28" t="s">
        <v>82</v>
      </c>
      <c r="F4" s="30" t="s">
        <v>83</v>
      </c>
      <c r="G4" s="28" t="s">
        <v>84</v>
      </c>
    </row>
    <row r="5" spans="1:7" x14ac:dyDescent="0.25">
      <c r="A5" s="31" t="s">
        <v>85</v>
      </c>
      <c r="B5" s="31" t="s">
        <v>80</v>
      </c>
      <c r="C5" s="32">
        <v>1.25</v>
      </c>
      <c r="D5" s="31" t="s">
        <v>81</v>
      </c>
      <c r="E5" s="31" t="s">
        <v>86</v>
      </c>
      <c r="F5" s="33" t="s">
        <v>87</v>
      </c>
      <c r="G5" s="31" t="s">
        <v>84</v>
      </c>
    </row>
    <row r="6" spans="1:7" x14ac:dyDescent="0.25">
      <c r="A6" s="34" t="s">
        <v>88</v>
      </c>
      <c r="B6" s="35"/>
      <c r="C6" s="35"/>
      <c r="D6" s="35" t="s">
        <v>89</v>
      </c>
      <c r="E6" s="35" t="s">
        <v>90</v>
      </c>
      <c r="F6" s="36" t="s">
        <v>91</v>
      </c>
      <c r="G6" s="35" t="s">
        <v>84</v>
      </c>
    </row>
    <row r="7" spans="2:5" x14ac:dyDescent="0.25">
      <c r="B7" s="37" t="s">
        <v>92</v>
      </c>
      <c r="C7" s="37" t="s">
        <v>93</v>
      </c>
      <c r="D7" s="37" t="s">
        <v>94</v>
      </c>
      <c r="E7" s="37" t="s">
        <v>95</v>
      </c>
    </row>
    <row r="8" spans="2:5" x14ac:dyDescent="0.25">
      <c r="B8" s="38">
        <v>0</v>
      </c>
      <c r="C8" s="39">
        <v>11000</v>
      </c>
      <c r="D8" s="40">
        <v>0</v>
      </c>
      <c r="E8" s="38">
        <v>0</v>
      </c>
    </row>
    <row r="9" spans="2:5" x14ac:dyDescent="0.25">
      <c r="B9" s="38">
        <v>11000</v>
      </c>
      <c r="C9" s="39">
        <v>50000</v>
      </c>
      <c r="D9" s="40">
        <v>15</v>
      </c>
      <c r="E9" s="38">
        <v>0</v>
      </c>
    </row>
    <row r="10" spans="2:5" x14ac:dyDescent="0.25">
      <c r="B10" s="38">
        <v>50000</v>
      </c>
      <c r="C10" s="39">
        <v>1000000000000000</v>
      </c>
      <c r="D10" s="40">
        <v>25</v>
      </c>
      <c r="E10" s="38">
        <v>5850</v>
      </c>
    </row>
    <row r="12" spans="1:7" x14ac:dyDescent="0.25">
      <c r="A12" s="28" t="s">
        <v>96</v>
      </c>
      <c r="B12" s="28" t="s">
        <v>80</v>
      </c>
      <c r="C12" s="29">
        <v>12</v>
      </c>
      <c r="D12" s="28" t="s">
        <v>80</v>
      </c>
      <c r="E12" s="28" t="s">
        <v>97</v>
      </c>
      <c r="F12" s="30" t="s">
        <v>98</v>
      </c>
      <c r="G12" s="28" t="s">
        <v>84</v>
      </c>
    </row>
    <row r="13" spans="1:7" x14ac:dyDescent="0.25">
      <c r="A13" s="31" t="s">
        <v>99</v>
      </c>
      <c r="B13" s="31" t="s">
        <v>80</v>
      </c>
      <c r="C13" s="32">
        <v>7.25</v>
      </c>
      <c r="D13" s="31" t="s">
        <v>81</v>
      </c>
      <c r="E13" s="31" t="s">
        <v>82</v>
      </c>
      <c r="F13" s="33" t="s">
        <v>83</v>
      </c>
      <c r="G13" s="31" t="s">
        <v>84</v>
      </c>
    </row>
    <row r="14" spans="1:7" x14ac:dyDescent="0.25">
      <c r="A14" s="28" t="s">
        <v>100</v>
      </c>
      <c r="B14" s="28" t="s">
        <v>80</v>
      </c>
      <c r="C14" s="29">
        <v>1</v>
      </c>
      <c r="D14" s="28" t="s">
        <v>80</v>
      </c>
      <c r="E14" s="28" t="s">
        <v>101</v>
      </c>
      <c r="F14" s="30" t="s">
        <v>102</v>
      </c>
      <c r="G14" s="28" t="s">
        <v>84</v>
      </c>
    </row>
    <row r="15" spans="1:7" x14ac:dyDescent="0.25">
      <c r="A15" s="31" t="s">
        <v>103</v>
      </c>
      <c r="B15" s="31" t="s">
        <v>104</v>
      </c>
      <c r="C15" s="32">
        <v>3.4</v>
      </c>
      <c r="D15" s="31" t="s">
        <v>80</v>
      </c>
      <c r="E15" s="31" t="s">
        <v>101</v>
      </c>
      <c r="F15" s="33" t="s">
        <v>102</v>
      </c>
      <c r="G15" s="31" t="s">
        <v>84</v>
      </c>
    </row>
    <row r="16" spans="1:7" x14ac:dyDescent="0.25">
      <c r="A16" s="28" t="s">
        <v>103</v>
      </c>
      <c r="B16" s="28" t="s">
        <v>105</v>
      </c>
      <c r="C16" s="29">
        <v>1</v>
      </c>
      <c r="D16" s="28" t="s">
        <v>80</v>
      </c>
      <c r="E16" s="28" t="s">
        <v>101</v>
      </c>
      <c r="F16" s="30" t="s">
        <v>102</v>
      </c>
      <c r="G16" s="28" t="s">
        <v>84</v>
      </c>
    </row>
    <row r="17" spans="1:7" x14ac:dyDescent="0.25">
      <c r="A17" s="31" t="s">
        <v>106</v>
      </c>
      <c r="B17" s="31" t="s">
        <v>80</v>
      </c>
      <c r="C17" s="32">
        <v>11</v>
      </c>
      <c r="D17" s="31" t="s">
        <v>107</v>
      </c>
      <c r="E17" s="31" t="s">
        <v>108</v>
      </c>
      <c r="F17" s="33" t="s">
        <v>109</v>
      </c>
      <c r="G17" s="31" t="s">
        <v>84</v>
      </c>
    </row>
  </sheetData>
  <mergeCells count="2">
    <mergeCell ref="A1:G1"/>
    <mergeCell ref="A2:G2"/>
  </mergeCells>
  <hyperlinks>
    <hyperlink ref="F4" r:id="rId1"/>
    <hyperlink ref="F5" r:id="rId2"/>
    <hyperlink ref="F6" r:id="rId3"/>
    <hyperlink ref="F12" r:id="rId4"/>
    <hyperlink ref="F13" r:id="rId5"/>
    <hyperlink ref="F14" r:id="rId6"/>
    <hyperlink ref="F15" r:id="rId7"/>
    <hyperlink ref="F16" r:id="rId8"/>
    <hyperlink ref="F17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Salario neto</vt:lpstr>
      <vt:lpstr>Décimo tercer mes</vt:lpstr>
      <vt:lpstr>Liquidación</vt:lpstr>
      <vt:lpstr>Tablas oficiales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CalcularYa (calcularya.com)</dc:creator>
  <dc:title>Planilla de salario y liquidación Panamá 2026</dc:title>
  <dc:subject/>
  <dc:description/>
  <cp:keywords/>
  <cp:category/>
  <cp:lastModifiedBy>Unknown</cp:lastModifiedBy>
  <dcterms:created xsi:type="dcterms:W3CDTF">2026-10-19T12:00:00Z</dcterms:created>
  <dcterms:modified xsi:type="dcterms:W3CDTF">2026-10-19T12:00:00Z</dcterms:modified>
</cp:coreProperties>
</file>