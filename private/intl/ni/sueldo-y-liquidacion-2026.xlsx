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alario neto" state="visible" r:id="rId5"/>
    <sheet sheetId="3" name="Aguinaldo" state="visible" r:id="rId6"/>
    <sheet sheetId="4" name="Liquid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<sst xmlns="http://schemas.openxmlformats.org/spreadsheetml/2006/main" count="154" uniqueCount="103">
  <si>
    <t>Planilla de salario y liquidación Nicaragua 2026</t>
  </si>
  <si>
    <t>Las celdas amarillas son para tus datos. Las verdes se calculan solas, con las fórmulas de la ley. A la derecha de cada hoja está el paso a paso de la cuenta.</t>
  </si>
  <si>
    <t>«Salario neto»: ponés tu salario bruto y te dice el INSS, el IR que te retienen y tu salario neto.</t>
  </si>
  <si>
    <t>«Aguinaldo»: calcula el aguinaldo de diciembre, completo o proporcional si dejaste el trabajo.</t>
  </si>
  <si>
    <t>«Liquidación»: ponés tus fechas, tu salario y cómo terminó el contrato, y te dice la indemnización por antigüedad, el aguinaldo y las vacaciones.</t>
  </si>
  <si>
    <t>«Tablas oficiales» tiene cada valor oficial que usan las fórmulas, con el enlace a su fuente y la fecha en que lo verificamos. Los valores son los vigentes al 13/10/2026.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</si>
  <si>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</si>
  <si>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</si>
  <si>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asesoramiento legal. Tu contrato o tu empresa pueden darte más que el mínimo de ley.</t>
  </si>
  <si>
    <t>Las fechas van como dd/mm/aaaa. Si tu Excel está en inglés y las lee al revés, escribilas como aaaa-mm-dd.</t>
  </si>
  <si>
    <t>Salario neto: INSS e IR</t>
  </si>
  <si>
    <t>Paso a paso</t>
  </si>
  <si>
    <t>TUS DATOS</t>
  </si>
  <si>
    <t>Tasa del INSS</t>
  </si>
  <si>
    <t>Salario bruto mensual</t>
  </si>
  <si>
    <t>INSS</t>
  </si>
  <si>
    <t>Régimen del INSS</t>
  </si>
  <si>
    <t>Régimen integral (con enfermedad y maternidad)</t>
  </si>
  <si>
    <t>Salario menos INSS</t>
  </si>
  <si>
    <t>Renta neta del año</t>
  </si>
  <si>
    <t>TU SALARIO NETO</t>
  </si>
  <si>
    <t>IR del año</t>
  </si>
  <si>
    <t>IR del mes</t>
  </si>
  <si>
    <t>IR</t>
  </si>
  <si>
    <t>Salario neto</t>
  </si>
  <si>
    <t>DETALLE DEL IR</t>
  </si>
  <si>
    <t>INSS del mes</t>
  </si>
  <si>
    <t>Tasa del último tramo</t>
  </si>
  <si>
    <t>Tasa efectiva sobre el salario</t>
  </si>
  <si>
    <t>El IR se retiene cada mes sobre el salario de todo el año. No incluye otros descuentos, como préstamos, cuota sindical o pensión de alimentos.</t>
  </si>
  <si>
    <t>Aguinaldo (décimo tercer mes)</t>
  </si>
  <si>
    <t>Cierre del período</t>
  </si>
  <si>
    <t>Salario mensual</t>
  </si>
  <si>
    <t>El último salario ordinario. Si ganás por comisión o a destajo, el más alto de los últimos seis meses.</t>
  </si>
  <si>
    <t>Días del período del aguinaldo</t>
  </si>
  <si>
    <t>Fecha en que empezaste a trabajar</t>
  </si>
  <si>
    <t>Qué querés calcular</t>
  </si>
  <si>
    <t>El aguinaldo de diciembre</t>
  </si>
  <si>
    <t>Último día de trabajo (opcional)</t>
  </si>
  <si>
    <t>Solo si dejaste el trabajo.</t>
  </si>
  <si>
    <t>Fecha de hoy</t>
  </si>
  <si>
    <t>Se llena sola. Define de qué año es el aguinaldo.</t>
  </si>
  <si>
    <t>TU AGUINALDO</t>
  </si>
  <si>
    <t>Días que cuentan</t>
  </si>
  <si>
    <t>Aguinaldo</t>
  </si>
  <si>
    <t>Va del 1 de diciembre al 30 de noviembre y se paga en los primeros diez días de diciembre. No paga INSS ni IR.</t>
  </si>
  <si>
    <t>Liquidación: indemnización por antigüedad, aguinaldo y vacaciones</t>
  </si>
  <si>
    <t>Años cumplidos</t>
  </si>
  <si>
    <t>Días del año en curso</t>
  </si>
  <si>
    <t>Último día de trabajo</t>
  </si>
  <si>
    <t>Antigüedad en años</t>
  </si>
  <si>
    <t>Cómo terminó el contrato</t>
  </si>
  <si>
    <t>Te despidieron sin causa justificada</t>
  </si>
  <si>
    <t>Meses de indemnización</t>
  </si>
  <si>
    <t>El último salario ordinario. Si varía, el promedio de los últimos seis meses.</t>
  </si>
  <si>
    <t>Indemnización por antigüedad</t>
  </si>
  <si>
    <t>Días de vacaciones que no gozaste (opcional)</t>
  </si>
  <si>
    <t>Si lo dejás vacío, se calculan los del último año, desde tu último aniversario.</t>
  </si>
  <si>
    <t>Aguinaldo proporcional</t>
  </si>
  <si>
    <t>TU LIQUIDACIÓN</t>
  </si>
  <si>
    <t>Días de vacaciones</t>
  </si>
  <si>
    <t>Vacaciones</t>
  </si>
  <si>
    <t>Meses de salario de indemnización</t>
  </si>
  <si>
    <t>Días del aguinaldo</t>
  </si>
  <si>
    <t>Total</t>
  </si>
  <si>
    <t>Al renunciar conservás lo ganado por antigüedad (art. 43), sin el mínimo de un mes. Con despido justificado no hay indemnización. Las vacaciones se pagan con el salario mensual entre 30.</t>
  </si>
  <si>
    <t>SOLO LA INDEMNIZACIÓN POR ANTIGÜEDAD</t>
  </si>
  <si>
    <t>Meses de salario</t>
  </si>
  <si>
    <t>Un mes de salario por cada uno de los tres primeros años y 20 días por año desde el cuarto, con un mínimo de un mes y un máximo de cinco. No paga IR.</t>
  </si>
  <si>
    <t>Tablas oficiales de Nicaragua</t>
  </si>
  <si>
    <t>Son los valores que usan las fórmulas de esta planilla, vigentes al 13/10/2026.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</si>
  <si>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</si>
  <si>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</si>
  <si>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</si>
  <si>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</si>
  <si>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</si>
  <si>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</si>
  <si>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</si>
  <si>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Cotización del trabajador al INSS</t>
  </si>
  <si>
    <t>%</t>
  </si>
  <si>
    <t>1/2/2019</t>
  </si>
  <si>
    <t>https://digesto.asamblea.gob.ni/consultas/normas/shownorms.php?idnorm=MjQxNDk=</t>
  </si>
  <si>
    <t>7/10/2026</t>
  </si>
  <si>
    <t>Régimen de invalidez, vejez, muerte y riesgos profesionales</t>
  </si>
  <si>
    <t>Tarifa progresiva anual del IR de rentas del trabajo</t>
  </si>
  <si>
    <t>NIO</t>
  </si>
  <si>
    <t>1/1/2013</t>
  </si>
  <si>
    <t>https://digesto.asamblea.gob.ni/consultas/normas/shownorms.php?idnorm=Mzc5</t>
  </si>
  <si>
    <t>Desde</t>
  </si>
  <si>
    <t>Hasta</t>
  </si>
  <si>
    <t>Tasa %</t>
  </si>
  <si>
    <t>Cuota fija</t>
  </si>
  <si>
    <t>Décimo tercer mes: salarios por año trabajado</t>
  </si>
  <si>
    <t/>
  </si>
  <si>
    <t>meses</t>
  </si>
  <si>
    <t>29/12/1996</t>
  </si>
  <si>
    <t>https://digesto.asamblea.gob.ni/consultas/normas/shownorms.php?idnorm=MTMzMDY=</t>
  </si>
  <si>
    <t>Indemnización por antigüedad: meses de salario por cada uno de los tres primeros años</t>
  </si>
  <si>
    <t>Indemnización por antigüedad: días de salario por año desde el cuarto</t>
  </si>
  <si>
    <t>días</t>
  </si>
  <si>
    <t>Indemnización por antigüedad: máximo en meses de salario</t>
  </si>
  <si>
    <t>Indemnización por antigüedad: mínimo en meses de salario</t>
  </si>
  <si>
    <t>Días de vacaciones por cada seis meses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</si>
</sst>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##&quot; %&quot;"/>
    <numFmt numFmtId="165" formatCode="&quot;C$ &quot;#,##0.00"/>
    <numFmt numFmtId="166" formatCode="dd/mm/yyyy"/>
    <numFmt numFmtId="167" formatCode="#,##0.##"/>
    <numFmt numFmtId="168" formatCode="0.000000"/>
    <numFmt numFmtId="169" formatCode="#,##0.00##"/>
    <numFmt numFmtId="170" formatCode="[&gt;=100000000000000]&quot;en adelante&quot;;&quot;C$ &quot;#,##0.00"/>
    <numFmt numFmtId="171" formatCode="0.00##"/>
  </numFmts>
  <fonts count="10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B71C1C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165" fontId="6" fillId="6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inden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5" fontId="6" fillId="8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167" fontId="5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0" fontId="7" fillId="0" borderId="0" xfId="0" applyFont="1" applyAlignment="1">
      <alignment wrapText="1"/>
    </xf>
    <xf numFmtId="167" fontId="0" fillId="7" borderId="1" xfId="0" applyNumberFormat="1" applyFill="1" applyBorder="1" applyAlignment="1">
      <alignment horizontal="right"/>
    </xf>
    <xf numFmtId="168" fontId="5" fillId="5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9" fontId="5" fillId="5" borderId="1" xfId="0" applyNumberFormat="1" applyFon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169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5" borderId="1" xfId="0" applyFill="1" applyBorder="1" applyAlignment="1">
      <alignment vertical="top" wrapText="1"/>
    </xf>
    <xf numFmtId="169" fontId="0" fillId="5" borderId="1" xfId="0" applyNumberFormat="1" applyFill="1" applyBorder="1" applyAlignment="1">
      <alignment vertical="top"/>
    </xf>
    <xf numFmtId="0" fontId="8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9" fontId="0" fillId="4" borderId="1" xfId="0" applyNumberFormat="1" applyFill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9" fillId="4" borderId="1" xfId="0" applyFont="1" applyFill="1" applyBorder="1"/>
    <xf numFmtId="165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igesto.asamblea.gob.ni/consultas/normas/shownorms.php?idnorm=MjQxNDk=" TargetMode="External"/><Relationship Id="rId2" Type="http://schemas.openxmlformats.org/officeDocument/2006/relationships/hyperlink" Target="https://digesto.asamblea.gob.ni/consultas/normas/shownorms.php?idnorm=MjQxNDk=" TargetMode="External"/><Relationship Id="rId3" Type="http://schemas.openxmlformats.org/officeDocument/2006/relationships/hyperlink" Target="https://digesto.asamblea.gob.ni/consultas/normas/shownorms.php?idnorm=Mzc5" TargetMode="External"/><Relationship Id="rId4" Type="http://schemas.openxmlformats.org/officeDocument/2006/relationships/hyperlink" Target="https://digesto.asamblea.gob.ni/consultas/normas/shownorms.php?idnorm=MTMzMDY=" TargetMode="External"/><Relationship Id="rId5" Type="http://schemas.openxmlformats.org/officeDocument/2006/relationships/hyperlink" Target="https://digesto.asamblea.gob.ni/consultas/normas/shownorms.php?idnorm=MTMzMDY=" TargetMode="External"/><Relationship Id="rId6" Type="http://schemas.openxmlformats.org/officeDocument/2006/relationships/hyperlink" Target="https://digesto.asamblea.gob.ni/consultas/normas/shownorms.php?idnorm=MTMzMDY=" TargetMode="External"/><Relationship Id="rId7" Type="http://schemas.openxmlformats.org/officeDocument/2006/relationships/hyperlink" Target="https://digesto.asamblea.gob.ni/consultas/normas/shownorms.php?idnorm=MTMzMDY=" TargetMode="External"/><Relationship Id="rId8" Type="http://schemas.openxmlformats.org/officeDocument/2006/relationships/hyperlink" Target="https://digesto.asamblea.gob.ni/consultas/normas/shownorms.php?idnorm=MTMzMDY=" TargetMode="External"/><Relationship Id="rId9" Type="http://schemas.openxmlformats.org/officeDocument/2006/relationships/hyperlink" Target="https://digesto.asamblea.gob.ni/consultas/normas/shownorms.php?idnorm=MTMzMD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20" customHeight="1" spans="1:2" x14ac:dyDescent="0.25">
      <c r="A4" s="2">
        <v>2</v>
      </c>
      <c r="B4" s="3" t="s">
        <v>2</v>
      </c>
    </row>
    <row r="5" ht="20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2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INDEX('Tablas oficiales'!$C$4:$C$5,MATCH(B6,'Tablas oficiales'!$B$4:$B$5,0))</f>
      </c>
    </row>
    <row r="5" spans="1:6" x14ac:dyDescent="0.25">
      <c r="A5" s="9" t="s">
        <v>14</v>
      </c>
      <c r="B5" s="10">
        <v>20000</v>
      </c>
      <c r="E5" s="7" t="s">
        <v>15</v>
      </c>
      <c r="F5" s="11">
        <f>ROUND(B5*F4/100,2)</f>
      </c>
    </row>
    <row r="6" spans="1:6" x14ac:dyDescent="0.25">
      <c r="A6" s="9" t="s">
        <v>16</v>
      </c>
      <c r="B6" s="12" t="s">
        <v>17</v>
      </c>
      <c r="E6" s="7" t="s">
        <v>18</v>
      </c>
      <c r="F6" s="11">
        <f>ROUND(B5-F5,2)</f>
      </c>
    </row>
    <row r="7" spans="5:6" x14ac:dyDescent="0.25">
      <c r="E7" s="7" t="s">
        <v>19</v>
      </c>
      <c r="F7" s="11">
        <f>ROUND(F6*12,2)</f>
      </c>
    </row>
    <row r="8" spans="1:6" x14ac:dyDescent="0.25">
      <c r="A8" s="6" t="s">
        <v>20</v>
      </c>
      <c r="B8" s="6"/>
      <c r="C8" s="6"/>
      <c r="E8" s="7" t="s">
        <v>21</v>
      </c>
      <c r="F8" s="11">
        <f>ROUND(IF(F7&lt;=0,0,INDEX('Tablas oficiales'!$E$8:$E$12,IFERROR(MATCH(F7,'Tablas oficiales'!$B$8:$B$12,1),1))+(F7-INDEX('Tablas oficiales'!$B$8:$B$12,IFERROR(MATCH(F7,'Tablas oficiales'!$B$8:$B$12,1),1)))*INDEX('Tablas oficiales'!$D$8:$D$12,IFERROR(MATCH(F7,'Tablas oficiales'!$B$8:$B$12,1),1))/100),2)</f>
      </c>
    </row>
    <row r="9" spans="1:6" x14ac:dyDescent="0.25">
      <c r="A9" s="13" t="s">
        <v>13</v>
      </c>
      <c r="B9" s="14">
        <f>F4</f>
      </c>
      <c r="E9" s="7" t="s">
        <v>22</v>
      </c>
      <c r="F9" s="11">
        <f>ROUND(F8/12,2)</f>
      </c>
    </row>
    <row r="10" spans="1:2" x14ac:dyDescent="0.25">
      <c r="A10" s="13" t="s">
        <v>15</v>
      </c>
      <c r="B10" s="15">
        <f>F5</f>
      </c>
    </row>
    <row r="11" spans="1:2" x14ac:dyDescent="0.25">
      <c r="A11" s="13" t="s">
        <v>23</v>
      </c>
      <c r="B11" s="15">
        <f>F9</f>
      </c>
    </row>
    <row r="12" spans="1:2" x14ac:dyDescent="0.25">
      <c r="A12" s="16" t="s">
        <v>24</v>
      </c>
      <c r="B12" s="17">
        <f>ROUND(B5-F5-F9,2)</f>
      </c>
    </row>
    <row r="14" spans="1:3" x14ac:dyDescent="0.25">
      <c r="A14" s="6" t="s">
        <v>25</v>
      </c>
      <c r="B14" s="6"/>
      <c r="C14" s="6"/>
    </row>
    <row r="15" spans="1:2" x14ac:dyDescent="0.25">
      <c r="A15" s="13" t="s">
        <v>26</v>
      </c>
      <c r="B15" s="15">
        <f>F5</f>
      </c>
    </row>
    <row r="16" spans="1:2" x14ac:dyDescent="0.25">
      <c r="A16" s="13" t="s">
        <v>19</v>
      </c>
      <c r="B16" s="15">
        <f>F7</f>
      </c>
    </row>
    <row r="17" spans="1:2" x14ac:dyDescent="0.25">
      <c r="A17" s="13" t="s">
        <v>21</v>
      </c>
      <c r="B17" s="15">
        <f>F8</f>
      </c>
    </row>
    <row r="18" spans="1:2" x14ac:dyDescent="0.25">
      <c r="A18" s="13" t="s">
        <v>22</v>
      </c>
      <c r="B18" s="15">
        <f>F9</f>
      </c>
    </row>
    <row r="19" spans="1:2" x14ac:dyDescent="0.25">
      <c r="A19" s="13" t="s">
        <v>27</v>
      </c>
      <c r="B19" s="14">
        <f>IF(COUNTIF('Tablas oficiales'!$B$8:$B$12,"&lt;"&amp;F7)=0,0,INDEX('Tablas oficiales'!$D$8:$D$12,COUNTIF('Tablas oficiales'!$B$8:$B$12,"&lt;"&amp;F7)))</f>
      </c>
    </row>
    <row r="20" spans="1:2" x14ac:dyDescent="0.25">
      <c r="A20" s="13" t="s">
        <v>28</v>
      </c>
      <c r="B20" s="14">
        <f>IF(B5&gt;0,ROUND(F9/B5*100,2),0)</f>
      </c>
    </row>
    <row r="22" ht="36" customHeight="1" spans="1:3" x14ac:dyDescent="0.25">
      <c r="A22" s="4" t="s">
        <v>29</v>
      </c>
      <c r="B22" s="4"/>
      <c r="C22" s="4"/>
    </row>
  </sheetData>
  <mergeCells count="6">
    <mergeCell ref="A1:C1"/>
    <mergeCell ref="E3:F3"/>
    <mergeCell ref="A4:C4"/>
    <mergeCell ref="A8:C8"/>
    <mergeCell ref="A14:C14"/>
    <mergeCell ref="A22:C22"/>
  </mergeCells>
  <dataValidations count="2">
    <dataValidation type="decimal" allowBlank="1" showErrorMessage="1" error="Escribe un número mayor o igual a 0." sqref="B5">
      <formula1>0</formula1>
      <formula2>1000000000000</formula2>
    </dataValidation>
    <dataValidation type="list" showErrorMessage="1" error="Elige una opción de la lista." sqref="B6">
      <formula1>'Tablas oficiales'!$B$4:$B$5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6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30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31</v>
      </c>
      <c r="F4" s="18">
        <f>IF(B7="La parte que te toca porque dejaste el trabajo",B8,DATE(YEAR(B9),11,30))</f>
      </c>
    </row>
    <row r="5" ht="30" customHeight="1" spans="1:6" x14ac:dyDescent="0.25">
      <c r="A5" s="9" t="s">
        <v>32</v>
      </c>
      <c r="B5" s="10">
        <v>15000</v>
      </c>
      <c r="C5" s="19" t="s">
        <v>33</v>
      </c>
      <c r="E5" s="7" t="s">
        <v>34</v>
      </c>
      <c r="F5" s="20">
        <f>MIN(365,F4-MAX(B6,DATE(IF(MONTH(F4)=12,YEAR(F4),YEAR(F4)-1),12,1))+1)</f>
      </c>
    </row>
    <row r="6" spans="1:2" x14ac:dyDescent="0.25">
      <c r="A6" s="9" t="s">
        <v>35</v>
      </c>
      <c r="B6" s="21">
        <v>45352</v>
      </c>
    </row>
    <row r="7" spans="1:2" x14ac:dyDescent="0.25">
      <c r="A7" s="9" t="s">
        <v>36</v>
      </c>
      <c r="B7" s="12" t="s">
        <v>37</v>
      </c>
    </row>
    <row r="8" spans="1:3" x14ac:dyDescent="0.25">
      <c r="A8" s="9" t="s">
        <v>38</v>
      </c>
      <c r="B8" s="21"/>
      <c r="C8" s="19" t="s">
        <v>39</v>
      </c>
    </row>
    <row r="9" spans="1:3" x14ac:dyDescent="0.25">
      <c r="A9" s="9" t="s">
        <v>40</v>
      </c>
      <c r="B9" s="21">
        <f>TODAY()</f>
      </c>
      <c r="C9" s="19" t="s">
        <v>41</v>
      </c>
    </row>
    <row r="11" spans="1:3" x14ac:dyDescent="0.25">
      <c r="A11" s="6" t="s">
        <v>42</v>
      </c>
      <c r="B11" s="6"/>
      <c r="C11" s="6"/>
    </row>
    <row r="12" spans="1:3" x14ac:dyDescent="0.25">
      <c r="A12" s="22">
        <f>IF(AND(B7="La parte que te toca porque dejaste el trabajo",NOT(ISNUMBER(B8))),"Poné tu último día de trabajo.",IF(B6&gt;F4,"La fecha de ingreso no puede ser posterior al cierre del período.",""))</f>
      </c>
      <c r="B12" s="22"/>
      <c r="C12" s="22"/>
    </row>
    <row r="13" spans="1:2" x14ac:dyDescent="0.25">
      <c r="A13" s="13" t="s">
        <v>43</v>
      </c>
      <c r="B13" s="23">
        <f>F5</f>
      </c>
    </row>
    <row r="14" spans="1:2" x14ac:dyDescent="0.25">
      <c r="A14" s="16" t="s">
        <v>44</v>
      </c>
      <c r="B14" s="17">
        <f>ROUND(B5*'Tablas oficiales'!$C$14*F5/365,2)</f>
      </c>
    </row>
    <row r="16" ht="21" customHeight="1" spans="1:3" x14ac:dyDescent="0.25">
      <c r="A16" s="4" t="s">
        <v>45</v>
      </c>
      <c r="B16" s="4"/>
      <c r="C16" s="4"/>
    </row>
  </sheetData>
  <mergeCells count="6">
    <mergeCell ref="A1:C1"/>
    <mergeCell ref="E3:F3"/>
    <mergeCell ref="A4:C4"/>
    <mergeCell ref="A11:C11"/>
    <mergeCell ref="A12:C12"/>
    <mergeCell ref="A16:C16"/>
  </mergeCells>
  <dataValidations count="4"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">
      <formula1>18264</formula1>
    </dataValidation>
    <dataValidation type="list" showErrorMessage="1" error="Elige una opción de la lista." sqref="B7">
      <formula1>"El aguinaldo de diciembre,La parte que te toca porque dejaste el trabajo"</formula1>
    </dataValidation>
    <dataValidation type="date" operator="greaterThan" allowBlank="1" showErrorMessage="1" error="Escribe una fecha como dd/mm/aaaa." sqref="B8">
      <formula1>18264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9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46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47</v>
      </c>
      <c r="F4" s="20">
        <f>IF(AND((YEAR(B6)-YEAR(B5))&gt;0,DATE(YEAR(B5)+(YEAR(B6)-YEAR(B5)),MONTH(B5),MIN(DAY(B5),DAY(EOMONTH(DATE(YEAR(B5)+(YEAR(B6)-YEAR(B5)),MONTH(B5),1),0))))&gt;B6),(YEAR(B6)-YEAR(B5))-1,(YEAR(B6)-YEAR(B5)))</f>
      </c>
    </row>
    <row r="5" spans="1:6" x14ac:dyDescent="0.25">
      <c r="A5" s="9" t="s">
        <v>35</v>
      </c>
      <c r="B5" s="21">
        <v>44348</v>
      </c>
      <c r="E5" s="7" t="s">
        <v>48</v>
      </c>
      <c r="F5" s="20">
        <f>MIN(365,B6-DATE(YEAR(B5)+F4,MONTH(B5),MIN(DAY(B5),DAY(EOMONTH(DATE(YEAR(B5)+F4,MONTH(B5),1),0))))+1)</f>
      </c>
    </row>
    <row r="6" spans="1:6" x14ac:dyDescent="0.25">
      <c r="A6" s="9" t="s">
        <v>49</v>
      </c>
      <c r="B6" s="21">
        <v>46308</v>
      </c>
      <c r="E6" s="7" t="s">
        <v>50</v>
      </c>
      <c r="F6" s="24">
        <f>IF(F5=365,F4+1,F4+F5/365)</f>
      </c>
    </row>
    <row r="7" spans="1:6" x14ac:dyDescent="0.25">
      <c r="A7" s="9" t="s">
        <v>51</v>
      </c>
      <c r="B7" s="12" t="s">
        <v>52</v>
      </c>
      <c r="E7" s="7" t="s">
        <v>53</v>
      </c>
      <c r="F7" s="24">
        <f>IF(B7="Te despidieron por una causa del artículo 48",0,MIN('Tablas oficiales'!$C$17,IF(B7="Te despidieron sin causa justificada",MAX('Tablas oficiales'!$C$18,(MIN(F6,3)*'Tablas oficiales'!$C$15+MAX(0,F6-3)*'Tablas oficiales'!$C$16/30)),(MIN(F6,3)*'Tablas oficiales'!$C$15+MAX(0,F6-3)*'Tablas oficiales'!$C$16/30))))</f>
      </c>
    </row>
    <row r="8" ht="30" customHeight="1" spans="1:6" x14ac:dyDescent="0.25">
      <c r="A8" s="9" t="s">
        <v>32</v>
      </c>
      <c r="B8" s="10">
        <v>15000</v>
      </c>
      <c r="C8" s="19" t="s">
        <v>54</v>
      </c>
      <c r="E8" s="7" t="s">
        <v>55</v>
      </c>
      <c r="F8" s="11">
        <f>ROUND(B8*F7,2)</f>
      </c>
    </row>
    <row r="9" ht="30" customHeight="1" spans="1:6" x14ac:dyDescent="0.25">
      <c r="A9" s="9" t="s">
        <v>56</v>
      </c>
      <c r="B9" s="25"/>
      <c r="C9" s="19" t="s">
        <v>57</v>
      </c>
      <c r="E9" s="7" t="s">
        <v>34</v>
      </c>
      <c r="F9" s="20">
        <f>MIN(365,B6-MAX(B5,DATE(IF(MONTH(B6)=12,YEAR(B6),YEAR(B6)-1),12,1))+1)</f>
      </c>
    </row>
    <row r="10" spans="5:6" x14ac:dyDescent="0.25">
      <c r="E10" s="7" t="s">
        <v>58</v>
      </c>
      <c r="F10" s="11">
        <f>ROUND(B8*'Tablas oficiales'!$C$14*F9/365,2)</f>
      </c>
    </row>
    <row r="11" spans="1:6" x14ac:dyDescent="0.25">
      <c r="A11" s="6" t="s">
        <v>59</v>
      </c>
      <c r="B11" s="6"/>
      <c r="C11" s="6"/>
      <c r="E11" s="7" t="s">
        <v>60</v>
      </c>
      <c r="F11" s="26">
        <f>ROUND(IF(ISNUMBER(B9),B9,'Tablas oficiales'!$C$19*2*F5/365),2)</f>
      </c>
    </row>
    <row r="12" spans="1:6" x14ac:dyDescent="0.25">
      <c r="A12" s="22">
        <f>IF(B5&gt;B6,"La fecha de ingreso no puede ser posterior a la de salida.","")</f>
      </c>
      <c r="B12" s="22"/>
      <c r="C12" s="22"/>
      <c r="E12" s="7" t="s">
        <v>61</v>
      </c>
      <c r="F12" s="11">
        <f>ROUND(B8/30*F11,2)</f>
      </c>
    </row>
    <row r="13" spans="1:2" x14ac:dyDescent="0.25">
      <c r="A13" s="13" t="s">
        <v>50</v>
      </c>
      <c r="B13" s="27">
        <f>ROUND(F6,2)</f>
      </c>
    </row>
    <row r="14" spans="1:2" x14ac:dyDescent="0.25">
      <c r="A14" s="13" t="s">
        <v>62</v>
      </c>
      <c r="B14" s="28">
        <f>ROUND(F7,2)</f>
      </c>
    </row>
    <row r="15" spans="1:2" x14ac:dyDescent="0.25">
      <c r="A15" s="13" t="s">
        <v>55</v>
      </c>
      <c r="B15" s="15">
        <f>F8</f>
      </c>
    </row>
    <row r="16" spans="1:2" x14ac:dyDescent="0.25">
      <c r="A16" s="13" t="s">
        <v>63</v>
      </c>
      <c r="B16" s="23">
        <f>F9</f>
      </c>
    </row>
    <row r="17" spans="1:2" x14ac:dyDescent="0.25">
      <c r="A17" s="13" t="s">
        <v>58</v>
      </c>
      <c r="B17" s="15">
        <f>F10</f>
      </c>
    </row>
    <row r="18" spans="1:2" x14ac:dyDescent="0.25">
      <c r="A18" s="13" t="s">
        <v>60</v>
      </c>
      <c r="B18" s="28">
        <f>F11</f>
      </c>
    </row>
    <row r="19" spans="1:2" x14ac:dyDescent="0.25">
      <c r="A19" s="13" t="s">
        <v>61</v>
      </c>
      <c r="B19" s="15">
        <f>F12</f>
      </c>
    </row>
    <row r="20" spans="1:2" x14ac:dyDescent="0.25">
      <c r="A20" s="16" t="s">
        <v>64</v>
      </c>
      <c r="B20" s="17">
        <f>ROUND(F8+F10+F12,2)</f>
      </c>
    </row>
    <row r="22" ht="36" customHeight="1" spans="1:3" x14ac:dyDescent="0.25">
      <c r="A22" s="4" t="s">
        <v>65</v>
      </c>
      <c r="B22" s="4"/>
      <c r="C22" s="4"/>
    </row>
    <row r="24" spans="1:3" x14ac:dyDescent="0.25">
      <c r="A24" s="6" t="s">
        <v>66</v>
      </c>
      <c r="B24" s="6"/>
      <c r="C24" s="6"/>
    </row>
    <row r="25" spans="1:2" x14ac:dyDescent="0.25">
      <c r="A25" s="13" t="s">
        <v>50</v>
      </c>
      <c r="B25" s="27">
        <f>ROUND(F6,2)</f>
      </c>
    </row>
    <row r="26" spans="1:2" x14ac:dyDescent="0.25">
      <c r="A26" s="13" t="s">
        <v>67</v>
      </c>
      <c r="B26" s="28">
        <f>ROUND(F7,2)</f>
      </c>
    </row>
    <row r="27" spans="1:2" x14ac:dyDescent="0.25">
      <c r="A27" s="16" t="s">
        <v>55</v>
      </c>
      <c r="B27" s="17">
        <f>F8</f>
      </c>
    </row>
    <row r="29" ht="36" customHeight="1" spans="1:3" x14ac:dyDescent="0.25">
      <c r="A29" s="4" t="s">
        <v>68</v>
      </c>
      <c r="B29" s="4"/>
      <c r="C29" s="4"/>
    </row>
  </sheetData>
  <mergeCells count="8">
    <mergeCell ref="A1:C1"/>
    <mergeCell ref="E3:F3"/>
    <mergeCell ref="A4:C4"/>
    <mergeCell ref="A11:C11"/>
    <mergeCell ref="A12:C12"/>
    <mergeCell ref="A22:C22"/>
    <mergeCell ref="A24:C24"/>
    <mergeCell ref="A29:C29"/>
  </mergeCells>
  <dataValidations count="3">
    <dataValidation type="date" operator="greaterThan" allowBlank="1" showErrorMessage="1" error="Escribe una fecha como dd/mm/aaaa." sqref="B5:B6">
      <formula1>18264</formula1>
    </dataValidation>
    <dataValidation type="list" showErrorMessage="1" error="Elige una opción de la lista." sqref="B7">
      <formula1>"Te despidieron sin causa justificada,Renunciaste o fue de mutuo acuerdo,Te despidieron por una causa del artículo 48"</formula1>
    </dataValidation>
    <dataValidation type="decimal" allowBlank="1" showErrorMessage="1" error="Escribe un número mayor o igual a 0." sqref="B8:B9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9" t="s">
        <v>69</v>
      </c>
      <c r="B1" s="29"/>
      <c r="C1" s="29"/>
      <c r="D1" s="29"/>
      <c r="E1" s="29"/>
      <c r="F1" s="29"/>
      <c r="G1" s="29"/>
    </row>
    <row r="2" ht="30" customHeight="1" spans="1:7" x14ac:dyDescent="0.25">
      <c r="A2" s="4" t="s">
        <v>70</v>
      </c>
      <c r="B2" s="4"/>
      <c r="C2" s="4"/>
      <c r="D2" s="4"/>
      <c r="E2" s="4"/>
      <c r="F2" s="4"/>
      <c r="G2" s="4"/>
    </row>
    <row r="3" spans="1:7" x14ac:dyDescent="0.25">
      <c r="A3" s="30" t="s">
        <v>71</v>
      </c>
      <c r="B3" s="30" t="s">
        <v>72</v>
      </c>
      <c r="C3" s="30" t="s">
        <v>73</v>
      </c>
      <c r="D3" s="30" t="s">
        <v>74</v>
      </c>
      <c r="E3" s="30" t="s">
        <v>75</v>
      </c>
      <c r="F3" s="30" t="s">
        <v>76</v>
      </c>
      <c r="G3" s="30" t="s">
        <v>77</v>
      </c>
    </row>
    <row r="4" spans="1:7" x14ac:dyDescent="0.25">
      <c r="A4" s="31" t="s">
        <v>78</v>
      </c>
      <c r="B4" s="31" t="s">
        <v>17</v>
      </c>
      <c r="C4" s="32">
        <v>7</v>
      </c>
      <c r="D4" s="31" t="s">
        <v>79</v>
      </c>
      <c r="E4" s="31" t="s">
        <v>80</v>
      </c>
      <c r="F4" s="33" t="s">
        <v>81</v>
      </c>
      <c r="G4" s="31" t="s">
        <v>82</v>
      </c>
    </row>
    <row r="5" spans="1:7" x14ac:dyDescent="0.25">
      <c r="A5" s="34" t="s">
        <v>78</v>
      </c>
      <c r="B5" s="34" t="s">
        <v>83</v>
      </c>
      <c r="C5" s="35">
        <v>5</v>
      </c>
      <c r="D5" s="34" t="s">
        <v>79</v>
      </c>
      <c r="E5" s="34" t="s">
        <v>80</v>
      </c>
      <c r="F5" s="36" t="s">
        <v>81</v>
      </c>
      <c r="G5" s="34" t="s">
        <v>82</v>
      </c>
    </row>
    <row r="6" spans="1:7" x14ac:dyDescent="0.25">
      <c r="A6" s="37" t="s">
        <v>84</v>
      </c>
      <c r="B6" s="38"/>
      <c r="C6" s="38"/>
      <c r="D6" s="38" t="s">
        <v>85</v>
      </c>
      <c r="E6" s="38" t="s">
        <v>86</v>
      </c>
      <c r="F6" s="39" t="s">
        <v>87</v>
      </c>
      <c r="G6" s="38" t="s">
        <v>82</v>
      </c>
    </row>
    <row r="7" spans="2:5" x14ac:dyDescent="0.25">
      <c r="B7" s="40" t="s">
        <v>88</v>
      </c>
      <c r="C7" s="40" t="s">
        <v>89</v>
      </c>
      <c r="D7" s="40" t="s">
        <v>90</v>
      </c>
      <c r="E7" s="40" t="s">
        <v>91</v>
      </c>
    </row>
    <row r="8" spans="2:5" x14ac:dyDescent="0.25">
      <c r="B8" s="41">
        <v>0</v>
      </c>
      <c r="C8" s="42">
        <v>100000</v>
      </c>
      <c r="D8" s="43">
        <v>0</v>
      </c>
      <c r="E8" s="41">
        <v>0</v>
      </c>
    </row>
    <row r="9" spans="2:5" x14ac:dyDescent="0.25">
      <c r="B9" s="41">
        <v>100000</v>
      </c>
      <c r="C9" s="42">
        <v>200000</v>
      </c>
      <c r="D9" s="43">
        <v>15</v>
      </c>
      <c r="E9" s="41">
        <v>0</v>
      </c>
    </row>
    <row r="10" spans="2:5" x14ac:dyDescent="0.25">
      <c r="B10" s="41">
        <v>200000</v>
      </c>
      <c r="C10" s="42">
        <v>350000</v>
      </c>
      <c r="D10" s="43">
        <v>20</v>
      </c>
      <c r="E10" s="41">
        <v>15000</v>
      </c>
    </row>
    <row r="11" spans="2:5" x14ac:dyDescent="0.25">
      <c r="B11" s="41">
        <v>350000</v>
      </c>
      <c r="C11" s="42">
        <v>500000</v>
      </c>
      <c r="D11" s="43">
        <v>25</v>
      </c>
      <c r="E11" s="41">
        <v>45000</v>
      </c>
    </row>
    <row r="12" spans="2:5" x14ac:dyDescent="0.25">
      <c r="B12" s="41">
        <v>500000</v>
      </c>
      <c r="C12" s="42">
        <v>1000000000000000</v>
      </c>
      <c r="D12" s="43">
        <v>30</v>
      </c>
      <c r="E12" s="41">
        <v>82500</v>
      </c>
    </row>
    <row r="14" spans="1:7" x14ac:dyDescent="0.25">
      <c r="A14" s="31" t="s">
        <v>92</v>
      </c>
      <c r="B14" s="31" t="s">
        <v>93</v>
      </c>
      <c r="C14" s="32">
        <v>1</v>
      </c>
      <c r="D14" s="31" t="s">
        <v>94</v>
      </c>
      <c r="E14" s="31" t="s">
        <v>95</v>
      </c>
      <c r="F14" s="33" t="s">
        <v>96</v>
      </c>
      <c r="G14" s="31" t="s">
        <v>82</v>
      </c>
    </row>
    <row r="15" spans="1:7" x14ac:dyDescent="0.25">
      <c r="A15" s="34" t="s">
        <v>97</v>
      </c>
      <c r="B15" s="34" t="s">
        <v>93</v>
      </c>
      <c r="C15" s="35">
        <v>1</v>
      </c>
      <c r="D15" s="34" t="s">
        <v>94</v>
      </c>
      <c r="E15" s="34" t="s">
        <v>95</v>
      </c>
      <c r="F15" s="36" t="s">
        <v>96</v>
      </c>
      <c r="G15" s="34" t="s">
        <v>82</v>
      </c>
    </row>
    <row r="16" spans="1:7" x14ac:dyDescent="0.25">
      <c r="A16" s="31" t="s">
        <v>98</v>
      </c>
      <c r="B16" s="31" t="s">
        <v>93</v>
      </c>
      <c r="C16" s="32">
        <v>20</v>
      </c>
      <c r="D16" s="31" t="s">
        <v>99</v>
      </c>
      <c r="E16" s="31" t="s">
        <v>95</v>
      </c>
      <c r="F16" s="33" t="s">
        <v>96</v>
      </c>
      <c r="G16" s="31" t="s">
        <v>82</v>
      </c>
    </row>
    <row r="17" spans="1:7" x14ac:dyDescent="0.25">
      <c r="A17" s="34" t="s">
        <v>100</v>
      </c>
      <c r="B17" s="34" t="s">
        <v>93</v>
      </c>
      <c r="C17" s="35">
        <v>5</v>
      </c>
      <c r="D17" s="34" t="s">
        <v>94</v>
      </c>
      <c r="E17" s="34" t="s">
        <v>95</v>
      </c>
      <c r="F17" s="36" t="s">
        <v>96</v>
      </c>
      <c r="G17" s="34" t="s">
        <v>82</v>
      </c>
    </row>
    <row r="18" spans="1:7" x14ac:dyDescent="0.25">
      <c r="A18" s="31" t="s">
        <v>101</v>
      </c>
      <c r="B18" s="31" t="s">
        <v>93</v>
      </c>
      <c r="C18" s="32">
        <v>1</v>
      </c>
      <c r="D18" s="31" t="s">
        <v>94</v>
      </c>
      <c r="E18" s="31" t="s">
        <v>95</v>
      </c>
      <c r="F18" s="33" t="s">
        <v>96</v>
      </c>
      <c r="G18" s="31" t="s">
        <v>82</v>
      </c>
    </row>
    <row r="19" spans="1:7" x14ac:dyDescent="0.25">
      <c r="A19" s="34" t="s">
        <v>102</v>
      </c>
      <c r="B19" s="34" t="s">
        <v>93</v>
      </c>
      <c r="C19" s="35">
        <v>15</v>
      </c>
      <c r="D19" s="34" t="s">
        <v>99</v>
      </c>
      <c r="E19" s="34" t="s">
        <v>95</v>
      </c>
      <c r="F19" s="36" t="s">
        <v>96</v>
      </c>
      <c r="G19" s="34" t="s">
        <v>82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14" r:id="rId4"/>
    <hyperlink ref="F15" r:id="rId5"/>
    <hyperlink ref="F16" r:id="rId6"/>
    <hyperlink ref="F17" r:id="rId7"/>
    <hyperlink ref="F18" r:id="rId8"/>
    <hyperlink ref="F19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Salario neto</vt:lpstr>
      <vt:lpstr>Aguinaldo</vt:lpstr>
      <vt:lpstr>Liquidación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liquidación Nicaragua 2026</dc:title>
  <dc:subject/>
  <dc:description/>
  <cp:keywords/>
  <cp:category/>
  <cp:lastModifiedBy>Unknown</cp:lastModifiedBy>
  <dcterms:created xsi:type="dcterms:W3CDTF">2026-10-13T12:00:00Z</dcterms:created>
  <dcterms:modified xsi:type="dcterms:W3CDTF">2026-10-13T12:00:00Z</dcterms:modified>
</cp:coreProperties>
</file>