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<sst xmlns="http://schemas.openxmlformats.org/spreadsheetml/2006/main" count="154" uniqueCount="103">
  <si>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</si>
  <si>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</si>
  <si>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</si>
  <si>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</si>
  <si>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</si>
  <si>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</si>
  <si>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</si>
  <si>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</si>
  <si>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</si>
  <si>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</si>
  <si>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</si>
  <si>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Paso a paso</t>
  </si>
  <si>
    <t>TUS DATOS</t>
  </si>
  <si>
    <t>Tasa del INSS</t>
  </si>
  <si>
    <t>Salario bruto mensual</t>
  </si>
  <si>
    <t>INSS</t>
  </si>
  <si>
    <t>Régimen del INSS</t>
  </si>
  <si>
    <t>Régimen integral (con enfermedad y maternidad)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</si>
  <si>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</si>
  <si>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</si>
  <si>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</si>
  <si>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</si>
  <si>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</si>
  <si>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</si>
  <si>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</si>
  <si>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</si>
  <si>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</si>
  <si>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</si>
  <si>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</si>
  <si>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</si>
  <si>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</si>
  <si>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</si>
  <si>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</si>
  <si>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</si>
  <si>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</si>
  <si>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</si>
  <si>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</si>
  <si>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</si>
  <si>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</si>
  <si>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</si>
  <si>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</si>
  <si>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</si>
  <si>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</si>
  <si>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</si>
  <si>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</si>
  <si>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</si>
  <si>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</si>
  <si>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</si>
  <si>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</si>
  <si>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</si>
  <si>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</si>
  <si>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</si>
  <si>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</si>
  <si>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</si>
  <si>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</si>
  <si>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</si>
  <si>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</si>
  <si>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</si>
  <si>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</si>
  <si>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</si>
  <si>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</si>
  <si>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</si>
  <si>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</si>
  <si>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</si>
  <si>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</si>
  <si>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</si>
  <si>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</si>
  <si>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</si>
  <si>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</si>
  <si>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</si>
  <si>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</si>
  <si>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</si>
  <si>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</si>
  <si>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</si>
  <si>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</si>
  <si>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</si>
  <si>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</si>
  <si>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</si>
  <si>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</si>
  <si>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</si>
  <si>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</si>
  <si>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</si>
  <si>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</si>
  <si>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Régimen de invalidez, vejez, muerte y riesgos profesionales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</si>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</sst>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INDEX('Tablas oficiales'!$C$4:$C$5,MATCH(B6,'Tablas oficiales'!$B$4:$B$5,0))</f>
      </c>
    </row>
    <row r="5" spans="1:6" x14ac:dyDescent="0.25">
      <c r="A5" s="9" t="s">
        <v>14</v>
      </c>
      <c r="B5" s="10">
        <v>20000</v>
      </c>
      <c r="E5" s="7" t="s">
        <v>15</v>
      </c>
      <c r="F5" s="11">
        <f>ROUND(B5*F4/100,2)</f>
      </c>
    </row>
    <row r="6" spans="1:6" x14ac:dyDescent="0.25">
      <c r="A6" s="9" t="s">
        <v>16</v>
      </c>
      <c r="B6" s="12" t="s">
        <v>17</v>
      </c>
      <c r="E6" s="7" t="s">
        <v>18</v>
      </c>
      <c r="F6" s="11">
        <f>ROUND(B5-F5,2)</f>
      </c>
    </row>
    <row r="7" spans="5:6" x14ac:dyDescent="0.25">
      <c r="E7" s="7" t="s">
        <v>19</v>
      </c>
      <c r="F7" s="11">
        <f>ROUND(F6*12,2)</f>
      </c>
    </row>
    <row r="8" spans="1:6" x14ac:dyDescent="0.25">
      <c r="A8" s="6" t="s">
        <v>20</v>
      </c>
      <c r="B8" s="6"/>
      <c r="C8" s="6"/>
      <c r="E8" s="7" t="s">
        <v>21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13</v>
      </c>
      <c r="B9" s="14">
        <f>F4</f>
      </c>
      <c r="E9" s="7" t="s">
        <v>22</v>
      </c>
      <c r="F9" s="11">
        <f>ROUND(F8/12,2)</f>
      </c>
    </row>
    <row r="10" spans="1:2" x14ac:dyDescent="0.25">
      <c r="A10" s="13" t="s">
        <v>15</v>
      </c>
      <c r="B10" s="15">
        <f>F5</f>
      </c>
    </row>
    <row r="11" spans="1:2" x14ac:dyDescent="0.25">
      <c r="A11" s="13" t="s">
        <v>23</v>
      </c>
      <c r="B11" s="15">
        <f>F9</f>
      </c>
    </row>
    <row r="12" spans="1:2" x14ac:dyDescent="0.25">
      <c r="A12" s="16" t="s">
        <v>24</v>
      </c>
      <c r="B12" s="17">
        <f>ROUND(B5-F5-F9,2)</f>
      </c>
    </row>
    <row r="14" spans="1:3" x14ac:dyDescent="0.25">
      <c r="A14" s="6" t="s">
        <v>25</v>
      </c>
      <c r="B14" s="6"/>
      <c r="C14" s="6"/>
    </row>
    <row r="15" spans="1:2" x14ac:dyDescent="0.25">
      <c r="A15" s="13" t="s">
        <v>26</v>
      </c>
      <c r="B15" s="15">
        <f>F5</f>
      </c>
    </row>
    <row r="16" spans="1:2" x14ac:dyDescent="0.25">
      <c r="A16" s="13" t="s">
        <v>19</v>
      </c>
      <c r="B16" s="15">
        <f>F7</f>
      </c>
    </row>
    <row r="17" spans="1:2" x14ac:dyDescent="0.25">
      <c r="A17" s="13" t="s">
        <v>21</v>
      </c>
      <c r="B17" s="15">
        <f>F8</f>
      </c>
    </row>
    <row r="18" spans="1:2" x14ac:dyDescent="0.25">
      <c r="A18" s="13" t="s">
        <v>22</v>
      </c>
      <c r="B18" s="15">
        <f>F9</f>
      </c>
    </row>
    <row r="19" spans="1:2" x14ac:dyDescent="0.25">
      <c r="A19" s="13" t="s">
        <v>27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28</v>
      </c>
      <c r="B20" s="14">
        <f>IF(B5&gt;0,ROUND(F9/B5*100,2),0)</f>
      </c>
    </row>
    <row r="22" ht="36" customHeight="1" spans="1:3" x14ac:dyDescent="0.25">
      <c r="A22" s="4" t="s">
        <v>29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31</v>
      </c>
      <c r="F4" s="18">
        <f>IF(B7="La parte que te toca porque dejaste el trabajo",B8,DATE(YEAR(B9),11,30))</f>
      </c>
    </row>
    <row r="5" ht="30" customHeight="1" spans="1:6" x14ac:dyDescent="0.25">
      <c r="A5" s="9" t="s">
        <v>32</v>
      </c>
      <c r="B5" s="10">
        <v>15000</v>
      </c>
      <c r="C5" s="19" t="s">
        <v>33</v>
      </c>
      <c r="E5" s="7" t="s">
        <v>34</v>
      </c>
      <c r="F5" s="20">
        <f>MIN(365,F4-MAX(B6,DATE(IF(MONTH(F4)=12,YEAR(F4),YEAR(F4)-1),12,1))+1)</f>
      </c>
    </row>
    <row r="6" spans="1:2" x14ac:dyDescent="0.25">
      <c r="A6" s="9" t="s">
        <v>35</v>
      </c>
      <c r="B6" s="21">
        <v>45352</v>
      </c>
    </row>
    <row r="7" spans="1:2" x14ac:dyDescent="0.25">
      <c r="A7" s="9" t="s">
        <v>36</v>
      </c>
      <c r="B7" s="12" t="s">
        <v>37</v>
      </c>
    </row>
    <row r="8" spans="1:3" x14ac:dyDescent="0.25">
      <c r="A8" s="9" t="s">
        <v>38</v>
      </c>
      <c r="B8" s="21"/>
      <c r="C8" s="19" t="s">
        <v>39</v>
      </c>
    </row>
    <row r="9" spans="1:3" x14ac:dyDescent="0.25">
      <c r="A9" s="9" t="s">
        <v>40</v>
      </c>
      <c r="B9" s="21">
        <f>TODAY()</f>
      </c>
      <c r="C9" s="19" t="s">
        <v>41</v>
      </c>
    </row>
    <row r="11" spans="1:3" x14ac:dyDescent="0.25">
      <c r="A11" s="6" t="s">
        <v>42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43</v>
      </c>
      <c r="B13" s="23">
        <f>F5</f>
      </c>
    </row>
    <row r="14" spans="1:2" x14ac:dyDescent="0.25">
      <c r="A14" s="16" t="s">
        <v>44</v>
      </c>
      <c r="B14" s="17">
        <f>ROUND(B5*'Tablas oficiales'!$C$14*F5/365,2)</f>
      </c>
    </row>
    <row r="16" ht="21" customHeight="1" spans="1:3" x14ac:dyDescent="0.25">
      <c r="A16" s="4" t="s">
        <v>45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47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35</v>
      </c>
      <c r="B5" s="21">
        <v>44348</v>
      </c>
      <c r="E5" s="7" t="s">
        <v>48</v>
      </c>
      <c r="F5" s="20">
        <f>MIN(365,B6-DATE(YEAR(B5)+F4,MONTH(B5),MIN(DAY(B5),DAY(EOMONTH(DATE(YEAR(B5)+F4,MONTH(B5),1),0))))+1)</f>
      </c>
    </row>
    <row r="6" spans="1:6" x14ac:dyDescent="0.25">
      <c r="A6" s="9" t="s">
        <v>49</v>
      </c>
      <c r="B6" s="21">
        <v>46310</v>
      </c>
      <c r="E6" s="7" t="s">
        <v>50</v>
      </c>
      <c r="F6" s="24">
        <f>IF(F5=365,F4+1,F4+F5/365)</f>
      </c>
    </row>
    <row r="7" spans="1:6" x14ac:dyDescent="0.25">
      <c r="A7" s="9" t="s">
        <v>51</v>
      </c>
      <c r="B7" s="12" t="s">
        <v>52</v>
      </c>
      <c r="E7" s="7" t="s">
        <v>53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32</v>
      </c>
      <c r="B8" s="10">
        <v>15000</v>
      </c>
      <c r="C8" s="19" t="s">
        <v>54</v>
      </c>
      <c r="E8" s="7" t="s">
        <v>55</v>
      </c>
      <c r="F8" s="11">
        <f>ROUND(B8*F7,2)</f>
      </c>
    </row>
    <row r="9" ht="30" customHeight="1" spans="1:6" x14ac:dyDescent="0.25">
      <c r="A9" s="9" t="s">
        <v>56</v>
      </c>
      <c r="B9" s="25"/>
      <c r="C9" s="19" t="s">
        <v>57</v>
      </c>
      <c r="E9" s="7" t="s">
        <v>34</v>
      </c>
      <c r="F9" s="20">
        <f>MIN(365,B6-MAX(B5,DATE(IF(MONTH(B6)=12,YEAR(B6),YEAR(B6)-1),12,1))+1)</f>
      </c>
    </row>
    <row r="10" spans="5:6" x14ac:dyDescent="0.25">
      <c r="E10" s="7" t="s">
        <v>58</v>
      </c>
      <c r="F10" s="11">
        <f>ROUND(B8*'Tablas oficiales'!$C$14*F9/365,2)</f>
      </c>
    </row>
    <row r="11" spans="1:6" x14ac:dyDescent="0.25">
      <c r="A11" s="6" t="s">
        <v>59</v>
      </c>
      <c r="B11" s="6"/>
      <c r="C11" s="6"/>
      <c r="E11" s="7" t="s">
        <v>60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61</v>
      </c>
      <c r="F12" s="11">
        <f>ROUND(B8/30*F11,2)</f>
      </c>
    </row>
    <row r="13" spans="1:2" x14ac:dyDescent="0.25">
      <c r="A13" s="13" t="s">
        <v>50</v>
      </c>
      <c r="B13" s="27">
        <f>ROUND(F6,2)</f>
      </c>
    </row>
    <row r="14" spans="1:2" x14ac:dyDescent="0.25">
      <c r="A14" s="13" t="s">
        <v>62</v>
      </c>
      <c r="B14" s="28">
        <f>ROUND(F7,2)</f>
      </c>
    </row>
    <row r="15" spans="1:2" x14ac:dyDescent="0.25">
      <c r="A15" s="13" t="s">
        <v>55</v>
      </c>
      <c r="B15" s="15">
        <f>F8</f>
      </c>
    </row>
    <row r="16" spans="1:2" x14ac:dyDescent="0.25">
      <c r="A16" s="13" t="s">
        <v>63</v>
      </c>
      <c r="B16" s="23">
        <f>F9</f>
      </c>
    </row>
    <row r="17" spans="1:2" x14ac:dyDescent="0.25">
      <c r="A17" s="13" t="s">
        <v>58</v>
      </c>
      <c r="B17" s="15">
        <f>F10</f>
      </c>
    </row>
    <row r="18" spans="1:2" x14ac:dyDescent="0.25">
      <c r="A18" s="13" t="s">
        <v>60</v>
      </c>
      <c r="B18" s="28">
        <f>F11</f>
      </c>
    </row>
    <row r="19" spans="1:2" x14ac:dyDescent="0.25">
      <c r="A19" s="13" t="s">
        <v>61</v>
      </c>
      <c r="B19" s="15">
        <f>F12</f>
      </c>
    </row>
    <row r="20" spans="1:2" x14ac:dyDescent="0.25">
      <c r="A20" s="16" t="s">
        <v>64</v>
      </c>
      <c r="B20" s="17">
        <f>ROUND(F8+F10+F12,2)</f>
      </c>
    </row>
    <row r="22" ht="36" customHeight="1" spans="1:3" x14ac:dyDescent="0.25">
      <c r="A22" s="4" t="s">
        <v>65</v>
      </c>
      <c r="B22" s="4"/>
      <c r="C22" s="4"/>
    </row>
    <row r="24" spans="1:3" x14ac:dyDescent="0.25">
      <c r="A24" s="6" t="s">
        <v>66</v>
      </c>
      <c r="B24" s="6"/>
      <c r="C24" s="6"/>
    </row>
    <row r="25" spans="1:2" x14ac:dyDescent="0.25">
      <c r="A25" s="13" t="s">
        <v>50</v>
      </c>
      <c r="B25" s="27">
        <f>ROUND(F6,2)</f>
      </c>
    </row>
    <row r="26" spans="1:2" x14ac:dyDescent="0.25">
      <c r="A26" s="13" t="s">
        <v>67</v>
      </c>
      <c r="B26" s="28">
        <f>ROUND(F7,2)</f>
      </c>
    </row>
    <row r="27" spans="1:2" x14ac:dyDescent="0.25">
      <c r="A27" s="16" t="s">
        <v>55</v>
      </c>
      <c r="B27" s="17">
        <f>F8</f>
      </c>
    </row>
    <row r="29" ht="36" customHeight="1" spans="1:3" x14ac:dyDescent="0.25">
      <c r="A29" s="4" t="s">
        <v>68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69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70</v>
      </c>
      <c r="B2" s="4"/>
      <c r="C2" s="4"/>
      <c r="D2" s="4"/>
      <c r="E2" s="4"/>
      <c r="F2" s="4"/>
      <c r="G2" s="4"/>
    </row>
    <row r="3" spans="1:7" x14ac:dyDescent="0.25">
      <c r="A3" s="30" t="s">
        <v>71</v>
      </c>
      <c r="B3" s="30" t="s">
        <v>72</v>
      </c>
      <c r="C3" s="30" t="s">
        <v>73</v>
      </c>
      <c r="D3" s="30" t="s">
        <v>74</v>
      </c>
      <c r="E3" s="30" t="s">
        <v>75</v>
      </c>
      <c r="F3" s="30" t="s">
        <v>76</v>
      </c>
      <c r="G3" s="30" t="s">
        <v>77</v>
      </c>
    </row>
    <row r="4" spans="1:7" x14ac:dyDescent="0.25">
      <c r="A4" s="31" t="s">
        <v>78</v>
      </c>
      <c r="B4" s="31" t="s">
        <v>17</v>
      </c>
      <c r="C4" s="32">
        <v>7</v>
      </c>
      <c r="D4" s="31" t="s">
        <v>79</v>
      </c>
      <c r="E4" s="31" t="s">
        <v>80</v>
      </c>
      <c r="F4" s="33" t="s">
        <v>81</v>
      </c>
      <c r="G4" s="31" t="s">
        <v>82</v>
      </c>
    </row>
    <row r="5" spans="1:7" x14ac:dyDescent="0.25">
      <c r="A5" s="34" t="s">
        <v>78</v>
      </c>
      <c r="B5" s="34" t="s">
        <v>83</v>
      </c>
      <c r="C5" s="35">
        <v>5</v>
      </c>
      <c r="D5" s="34" t="s">
        <v>79</v>
      </c>
      <c r="E5" s="34" t="s">
        <v>80</v>
      </c>
      <c r="F5" s="36" t="s">
        <v>81</v>
      </c>
      <c r="G5" s="34" t="s">
        <v>82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82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82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82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82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82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82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