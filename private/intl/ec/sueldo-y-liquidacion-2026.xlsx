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Sueldo neto" state="visible" r:id="rId5"/>
    <sheet sheetId="3" name="Décimos" state="visible" r:id="rId6"/>
    <sheet sheetId="4" name="Liquidación" state="visible" r:id="rId7"/>
    <sheet sheetId="5" name="Tablas oficiales" state="visible" r:id="rId8"/>
  </sheets>
  <calcPr calcId="171027"/>
</workbook>
</file>

<file path=xl/sharedStrings.xml><?xml version="1.0" encoding="utf-8"?>
<sst xmlns="http://schemas.openxmlformats.org/spreadsheetml/2006/main" count="280" uniqueCount="168">
  <si>
    <t>Planilla de sueldo y liquidación Ecuador 2026</t>
  </si>
  <si>
    <t>Las celdas amarillas son para tus datos. Las verdes se calculan solas, con las fórmulas de la ley. A la derecha de cada hoja está el paso a paso de la cuenta.</t>
  </si>
  <si>
    <t>«Sueldo neto»: pones tu sueldo y te dice el aporte al IESS, la retención del impuesto a la renta, los décimos mensualizados y lo que recibes.</t>
  </si>
  <si>
    <t>«Décimos»: calcula el décimo tercero (hasta el 24 de diciembre) y el décimo cuarto de tu región, completos o proporcionales.</t>
  </si>
  <si>
    <t>«Liquidación»: pones tus fechas, tu remuneración y cómo terminó la relación, y te dice el desahucio, la indemnización, los décimos pendientes y las vacaciones.</t>
  </si>
  <si>
    <t>«Tablas oficiales» tiene cada valor oficial que usan las fórmulas, con el enlace a su fuente y la fecha en que lo verificamos. Los valores son los vigentes al 20/10/2026.</t>
  </si>
  <si>
    <t>Cuando cambia un valor oficial, actualizamos la planilla y el mismo enlace de descarga te baja la versión nueva.</t>
  </si>
  <si>
    <t>Da los mismos números que las calculadoras gratuitas de calcularya.com. Antes de publicar cada versión, una verificación automática recalcula este archivo y lo compara con ellas.</t>
  </si>
  <si>
    <t>Es una referencia de cálculo con sus fuentes, no asesoría legal. Tu contrato o tu empresa pueden darte más que el mínimo de ley.</t>
  </si>
  <si>
    <t>Las fechas van como dd/mm/aaaa. Si tu Excel está en inglés y las lee al revés, escríbelas como aaaa-mm-dd.</t>
  </si>
  <si>
    <t>Sueldo neto: IESS, impuesto a la renta y décimos</t>
  </si>
  <si>
    <t>Sin cargas familiares</t>
  </si>
  <si>
    <t>1 carga familiar</t>
  </si>
  <si>
    <t>Paso a paso</t>
  </si>
  <si>
    <t>2 cargas familiares</t>
  </si>
  <si>
    <t>TUS DATOS</t>
  </si>
  <si>
    <t>3 cargas familiares</t>
  </si>
  <si>
    <t>Sueldo mensual</t>
  </si>
  <si>
    <t>Tu remuneración del mes: sueldo, horas extra y comisiones.</t>
  </si>
  <si>
    <t>Aporte e impuesto a la renta</t>
  </si>
  <si>
    <t>4 cargas familiares</t>
  </si>
  <si>
    <t>Cobras los décimos cada mes</t>
  </si>
  <si>
    <t>Sí</t>
  </si>
  <si>
    <t>Aporte personal al IESS</t>
  </si>
  <si>
    <t>5 o más cargas familiares</t>
  </si>
  <si>
    <t>Gastos personales proyectados para el año</t>
  </si>
  <si>
    <t>Los que pusiste en tu proyección de gastos personales. Si no la presentaste, deja 0.</t>
  </si>
  <si>
    <t>Base imponible del año</t>
  </si>
  <si>
    <t>Cargas familiares</t>
  </si>
  <si>
    <t>Impuesto causado del año</t>
  </si>
  <si>
    <t>Tú o una carga tienen discapacidad o una enfermedad catastrófica</t>
  </si>
  <si>
    <t>No</t>
  </si>
  <si>
    <t>También vale para enfermedades raras o huérfanas.</t>
  </si>
  <si>
    <t>Canastas que topan los gastos</t>
  </si>
  <si>
    <t>Tope de gastos personales</t>
  </si>
  <si>
    <t>TU ROL DE PAGOS</t>
  </si>
  <si>
    <t>Rebaja por gastos personales</t>
  </si>
  <si>
    <t>Sueldo</t>
  </si>
  <si>
    <t>Impuesto a la renta del año</t>
  </si>
  <si>
    <t>Retención mensual (de febrero a diciembre)</t>
  </si>
  <si>
    <t>Retención del impuesto a la renta</t>
  </si>
  <si>
    <t>Décimo tercero mensual</t>
  </si>
  <si>
    <t>Décimo cuarto mensual</t>
  </si>
  <si>
    <t>Sueldo neto</t>
  </si>
  <si>
    <t>En enero no te retienen impuesto a la renta, así que ese mes recibes un poco más. Si llevas más de un año con tu empleador, también te corresponde el fondo de reserva.</t>
  </si>
  <si>
    <t>Décimo tercero y décimo cuarto</t>
  </si>
  <si>
    <t>Costa y Galápagos</t>
  </si>
  <si>
    <t>Sierra y Amazonía</t>
  </si>
  <si>
    <t>DÉCIMO TERCERO</t>
  </si>
  <si>
    <t>Total ganado en el período</t>
  </si>
  <si>
    <t>Sin contar los décimos, las utilidades ni el fondo de reserva.</t>
  </si>
  <si>
    <t>Meses trabajados del 1 de diciembre al 30 de noviembre</t>
  </si>
  <si>
    <t>Si trabajaste el período completo, deja 12. Puedes usar decimales.</t>
  </si>
  <si>
    <t>Décimo cuarto</t>
  </si>
  <si>
    <t>Horas extra, comisiones y bonos del período</t>
  </si>
  <si>
    <t>La suma de todo el período. Si no tuviste, deja 0.</t>
  </si>
  <si>
    <t>Mes en que empieza el período</t>
  </si>
  <si>
    <t>Fecha de corte</t>
  </si>
  <si>
    <t>Período que contiene el corte</t>
  </si>
  <si>
    <t>Décimo tercero acumulado</t>
  </si>
  <si>
    <t>Inicio del período que se paga</t>
  </si>
  <si>
    <t>Fin del período que se paga</t>
  </si>
  <si>
    <t>Si lo cobras cada mes en tu rol de pagos, ya lo recibiste. Este cálculo es para quien lo cobra acumulado.</t>
  </si>
  <si>
    <t>Último día que cuenta</t>
  </si>
  <si>
    <t>Período: años completos</t>
  </si>
  <si>
    <t>DÉCIMO CUARTO</t>
  </si>
  <si>
    <t>Período: último aniversario</t>
  </si>
  <si>
    <t>Región donde trabajas</t>
  </si>
  <si>
    <t>Período: meses</t>
  </si>
  <si>
    <t>Fecha en que empezaste a trabajar</t>
  </si>
  <si>
    <t>Período: días</t>
  </si>
  <si>
    <t>Fecha de salida (opcional)</t>
  </si>
  <si>
    <t>Déjala vacía si sigues trabajando: se calcula el próximo pago.</t>
  </si>
  <si>
    <t>Período: meses trabajados</t>
  </si>
  <si>
    <t>Fecha de hoy</t>
  </si>
  <si>
    <t>Se llena sola. Cámbiala si quieres calcular a otra fecha.</t>
  </si>
  <si>
    <t>Período</t>
  </si>
  <si>
    <t>Meses trabajados en el período</t>
  </si>
  <si>
    <t>Es un salario básico por año. En la Sierra y la Amazonía se paga hasta el 15 de agosto; en la Costa y Galápagos, hasta el 15 de marzo.</t>
  </si>
  <si>
    <t>Liquidación: desahucio, despido, décimos y vacaciones</t>
  </si>
  <si>
    <t>Tiempo de servicio: años completos</t>
  </si>
  <si>
    <t>Tiempo de servicio: último aniversario</t>
  </si>
  <si>
    <t>Último día de trabajo</t>
  </si>
  <si>
    <t>Tiempo de servicio: meses</t>
  </si>
  <si>
    <t>Última remuneración mensual</t>
  </si>
  <si>
    <t>Sueldo más horas extra y comisiones habituales. Sin décimos, utilidades ni fondo de reserva.</t>
  </si>
  <si>
    <t>Tiempo de servicio: días</t>
  </si>
  <si>
    <t>Cómo terminó la relación laboral</t>
  </si>
  <si>
    <t>Despido intempestivo (sin causa)</t>
  </si>
  <si>
    <t>Región donde trabajabas</t>
  </si>
  <si>
    <t>Desahucio e indemnización</t>
  </si>
  <si>
    <t>Cobrabas los décimos cada mes</t>
  </si>
  <si>
    <t>Bonificación por desahucio</t>
  </si>
  <si>
    <t>Días de vacaciones de años anteriores sin tomar</t>
  </si>
  <si>
    <t>Meses de indemnización</t>
  </si>
  <si>
    <t>Indemnización por despido</t>
  </si>
  <si>
    <t>TU LIQUIDACIÓN</t>
  </si>
  <si>
    <t>Décimos pendientes</t>
  </si>
  <si>
    <t>Tiempo de servicio</t>
  </si>
  <si>
    <t>Décimo tercero: años completos</t>
  </si>
  <si>
    <t>Décimo tercero: último aniversario</t>
  </si>
  <si>
    <t>Meses de indemnización por despido</t>
  </si>
  <si>
    <t>Décimo tercero: meses</t>
  </si>
  <si>
    <t>Indemnización por despido intempestivo</t>
  </si>
  <si>
    <t>Décimo tercero: días</t>
  </si>
  <si>
    <t>Décimo tercero proporcional</t>
  </si>
  <si>
    <t>Décimo tercero: meses trabajados</t>
  </si>
  <si>
    <t>Décimo cuarto proporcional</t>
  </si>
  <si>
    <t>Décimo cuarto: años completos</t>
  </si>
  <si>
    <t>Vacaciones proporcionales y pendientes</t>
  </si>
  <si>
    <t>Décimo cuarto: último aniversario</t>
  </si>
  <si>
    <t>Total de la liquidación</t>
  </si>
  <si>
    <t>Décimo cuarto: meses</t>
  </si>
  <si>
    <t>Décimo cuarto: días</t>
  </si>
  <si>
    <t>El fondo de reserva no entra: si lo cobrabas cada mes ya lo recibiste, y si estaba en el IESS lo retiras allí. Para el despido se usa la última remuneración.</t>
  </si>
  <si>
    <t>Décimo cuarto: meses trabajados</t>
  </si>
  <si>
    <t>Vacaciones</t>
  </si>
  <si>
    <t>Días de vacaciones del año en curso</t>
  </si>
  <si>
    <t>Días proporcionales</t>
  </si>
  <si>
    <t>Tablas oficiales de Ecuador</t>
  </si>
  <si>
    <t>Son los valores que usan las fórmulas de esta planilla, vigentes al 20/10/2026. Cada uno trae el enlace a la norma o al organismo que lo publica y la fecha en que lo verificamos.</t>
  </si>
  <si>
    <t>Dato</t>
  </si>
  <si>
    <t>Detalle</t>
  </si>
  <si>
    <t>Valor</t>
  </si>
  <si>
    <t>Unidad</t>
  </si>
  <si>
    <t>Vigente desde</t>
  </si>
  <si>
    <t>Fuente oficial</t>
  </si>
  <si>
    <t>Verificado el</t>
  </si>
  <si>
    <t>Canastas básicas que topan los gastos personales, según las cargas familiares</t>
  </si>
  <si>
    <t/>
  </si>
  <si>
    <t>20/6/2023</t>
  </si>
  <si>
    <t>https://www.sri.gob.ec/o/sri-portlet-biblioteca-alfresco-internet/descargar/de132165-dc5e-4267-a8a8-b9368be697f9/Ley_Organica_Fortalecimiento_Econ_Familiar_20_jun_2023.pdf</t>
  </si>
  <si>
    <t>7/10/2026</t>
  </si>
  <si>
    <t>Aporte personal al IESS (sector privado, relación de dependencia)</t>
  </si>
  <si>
    <t>%</t>
  </si>
  <si>
    <t>1/1/2026</t>
  </si>
  <si>
    <t>https://www.iess.gob.ec/documents/13718/54965/Tasasdeaportacion.pdf</t>
  </si>
  <si>
    <t>Tabla del impuesto a la renta de personas naturales (anual)</t>
  </si>
  <si>
    <t>USD</t>
  </si>
  <si>
    <t>https://www.sri.gob.ec/o/sri-portlet-biblioteca-alfresco-internet/descargar/58a7f4f6-ab51-48b6-b9ff-a8e97e1a28ef/Tablas%20de%20c%c3%a1lculo%20de%20Impuesto%20a%20la%20Renta.pdf</t>
  </si>
  <si>
    <t>Desde</t>
  </si>
  <si>
    <t>Hasta</t>
  </si>
  <si>
    <t>Tasa %</t>
  </si>
  <si>
    <t>Cuota fija</t>
  </si>
  <si>
    <t>Canastas básicas que topan los gastos personales con discapacidad o enfermedad catastrófica, rara o huérfana</t>
  </si>
  <si>
    <t>20/12/2023</t>
  </si>
  <si>
    <t>https://www.sri.gob.ec/o/sri-portlet-biblioteca-alfresco-internet/descargar/67a341b5-cb7d-4de3-bd9b-b1f0a25b603d/Ley%20de%20R%c3%a9gimen%20Tributario%20Interno.pdf</t>
  </si>
  <si>
    <t>Canasta familiar básica de enero (para la rebaja por gastos personales)</t>
  </si>
  <si>
    <t>https://www.ecuadorencifras.gob.ec/documentos/web-inec/Inflacion/2026/enero/BOLETIN_TECNICO_IPC_2026_01.pdf</t>
  </si>
  <si>
    <t>Rebaja del impuesto a la renta por gastos personales</t>
  </si>
  <si>
    <t>Salario básico unificado (SBU)</t>
  </si>
  <si>
    <t>https://www.iess.gob.ec/aplicaciones/AfiliacionIESS/</t>
  </si>
  <si>
    <t>Mes en que empieza el período del décimo cuarto (y en cuyo día 15 vence el pago)</t>
  </si>
  <si>
    <t>6/5/2015</t>
  </si>
  <si>
    <t>https://www.goberguayas.gob.ec/pdf/LOTAIP/Leyes/7-Acuerdo-MDT.pdf</t>
  </si>
  <si>
    <t>Bonificación por desahucio, por cada año de servicio</t>
  </si>
  <si>
    <t>20/4/2015</t>
  </si>
  <si>
    <t>https://portal.compraspublicas.gob.ec/sercop/wp-content/uploads/2026/08/CODIGO-DEL-TRABAJO.pdf</t>
  </si>
  <si>
    <t>Años de servicio que cubre la indemnización mínima por despido intempestivo</t>
  </si>
  <si>
    <t>años</t>
  </si>
  <si>
    <t>16/12/2005</t>
  </si>
  <si>
    <t>Meses de remuneración por despido intempestivo con hasta tres años de servicio</t>
  </si>
  <si>
    <t>meses</t>
  </si>
  <si>
    <t>Tope de la indemnización por despido intempestivo</t>
  </si>
  <si>
    <t>Días de vacaciones por año</t>
  </si>
  <si>
    <t>días</t>
  </si>
  <si>
    <t>Años de servicio después de los cuales se suma un día de vacaciones por año</t>
  </si>
  <si>
    <t>Máximo de días adicionales de vacaciones por antigüedad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</si>
</sst>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 &quot;#,##0.00"/>
    <numFmt numFmtId="165" formatCode="#,##0.00##"/>
    <numFmt numFmtId="166" formatCode="#,##0.##"/>
    <numFmt numFmtId="167" formatCode="dd/mm/yyyy"/>
    <numFmt numFmtId="168" formatCode="[&gt;=100000000000000]&quot;en adelante&quot;;&quot;$ &quot;#,##0.00"/>
    <numFmt numFmtId="169" formatCode="0.00##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i/>
      <color rgb="FF777777"/>
      <sz val="9"/>
    </font>
    <font>
      <b/>
      <color rgb="FFFFFFFF"/>
      <sz val="11"/>
    </font>
    <font>
      <b/>
    </font>
    <font>
      <b/>
      <color rgb="FF1B5E20"/>
      <sz val="10"/>
    </font>
    <font>
      <sz val="10"/>
    </font>
    <font>
      <b/>
      <color rgb="FFB71C1C"/>
    </font>
    <font>
      <u/>
      <color rgb="FF1565C0"/>
    </font>
    <font>
      <b/>
      <sz val="9"/>
    </font>
  </fonts>
  <fills count="12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F3F8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0" fillId="4" borderId="1" xfId="0" applyFill="1" applyBorder="1" applyAlignment="1">
      <alignment horizontal="left" vertical="center" wrapText="1" indent="1"/>
    </xf>
    <xf numFmtId="164" fontId="5" fillId="5" borderId="1" xfId="0" applyNumberFormat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0" fontId="6" fillId="0" borderId="0" xfId="0" applyFont="1"/>
    <xf numFmtId="0" fontId="5" fillId="5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left" wrapText="1" indent="1"/>
    </xf>
    <xf numFmtId="164" fontId="7" fillId="6" borderId="1" xfId="0" applyNumberFormat="1" applyFont="1" applyFill="1" applyBorder="1" applyAlignment="1">
      <alignment horizontal="right"/>
    </xf>
    <xf numFmtId="165" fontId="7" fillId="6" borderId="1" xfId="0" applyNumberFormat="1" applyFont="1" applyFill="1" applyBorder="1" applyAlignment="1">
      <alignment horizontal="right"/>
    </xf>
    <xf numFmtId="0" fontId="0" fillId="7" borderId="1" xfId="0" applyFill="1" applyBorder="1" applyAlignment="1">
      <alignment horizontal="left" wrapText="1" indent="1"/>
    </xf>
    <xf numFmtId="164" fontId="0" fillId="7" borderId="1" xfId="0" applyNumberFormat="1" applyFill="1" applyBorder="1" applyAlignment="1">
      <alignment horizontal="right"/>
    </xf>
    <xf numFmtId="0" fontId="5" fillId="8" borderId="1" xfId="0" applyFont="1" applyFill="1" applyBorder="1" applyAlignment="1">
      <alignment horizontal="left" wrapText="1" indent="1"/>
    </xf>
    <xf numFmtId="164" fontId="5" fillId="8" borderId="1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166" fontId="7" fillId="6" borderId="1" xfId="0" applyNumberFormat="1" applyFont="1" applyFill="1" applyBorder="1" applyAlignment="1">
      <alignment horizontal="right"/>
    </xf>
    <xf numFmtId="167" fontId="7" fillId="6" borderId="1" xfId="0" applyNumberFormat="1" applyFont="1" applyFill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0" fontId="8" fillId="0" borderId="0" xfId="0" applyFont="1" applyAlignment="1">
      <alignment wrapText="1"/>
    </xf>
    <xf numFmtId="0" fontId="0" fillId="7" borderId="1" xfId="0" applyFill="1" applyBorder="1" applyAlignment="1">
      <alignment horizontal="right"/>
    </xf>
    <xf numFmtId="165" fontId="0" fillId="7" borderId="1" xfId="0" applyNumberFormat="1" applyFill="1" applyBorder="1" applyAlignment="1">
      <alignment horizontal="right"/>
    </xf>
    <xf numFmtId="166" fontId="0" fillId="7" borderId="1" xfId="0" applyNumberFormat="1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0" fillId="6" borderId="1" xfId="0" applyFill="1" applyBorder="1" applyAlignment="1">
      <alignment vertical="top" wrapText="1"/>
    </xf>
    <xf numFmtId="165" fontId="0" fillId="6" borderId="1" xfId="0" applyNumberFormat="1" applyFill="1" applyBorder="1" applyAlignment="1">
      <alignment vertical="top"/>
    </xf>
    <xf numFmtId="0" fontId="9" fillId="6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5" fontId="0" fillId="4" borderId="1" xfId="0" applyNumberForma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9" fillId="11" borderId="1" xfId="0" applyFont="1" applyFill="1" applyBorder="1" applyAlignment="1">
      <alignment vertical="top" wrapText="1"/>
    </xf>
    <xf numFmtId="0" fontId="10" fillId="4" borderId="1" xfId="0" applyFont="1" applyFill="1" applyBorder="1"/>
    <xf numFmtId="164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64" fontId="0" fillId="6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ri.gob.ec/o/sri-portlet-biblioteca-alfresco-internet/descargar/de132165-dc5e-4267-a8a8-b9368be697f9/Ley_Organica_Fortalecimiento_Econ_Familiar_20_jun_2023.pdf" TargetMode="External"/><Relationship Id="rId2" Type="http://schemas.openxmlformats.org/officeDocument/2006/relationships/hyperlink" Target="https://www.sri.gob.ec/o/sri-portlet-biblioteca-alfresco-internet/descargar/de132165-dc5e-4267-a8a8-b9368be697f9/Ley_Organica_Fortalecimiento_Econ_Familiar_20_jun_2023.pdf" TargetMode="External"/><Relationship Id="rId3" Type="http://schemas.openxmlformats.org/officeDocument/2006/relationships/hyperlink" Target="https://www.sri.gob.ec/o/sri-portlet-biblioteca-alfresco-internet/descargar/de132165-dc5e-4267-a8a8-b9368be697f9/Ley_Organica_Fortalecimiento_Econ_Familiar_20_jun_2023.pdf" TargetMode="External"/><Relationship Id="rId4" Type="http://schemas.openxmlformats.org/officeDocument/2006/relationships/hyperlink" Target="https://www.sri.gob.ec/o/sri-portlet-biblioteca-alfresco-internet/descargar/de132165-dc5e-4267-a8a8-b9368be697f9/Ley_Organica_Fortalecimiento_Econ_Familiar_20_jun_2023.pdf" TargetMode="External"/><Relationship Id="rId5" Type="http://schemas.openxmlformats.org/officeDocument/2006/relationships/hyperlink" Target="https://www.sri.gob.ec/o/sri-portlet-biblioteca-alfresco-internet/descargar/de132165-dc5e-4267-a8a8-b9368be697f9/Ley_Organica_Fortalecimiento_Econ_Familiar_20_jun_2023.pdf" TargetMode="External"/><Relationship Id="rId6" Type="http://schemas.openxmlformats.org/officeDocument/2006/relationships/hyperlink" Target="https://www.sri.gob.ec/o/sri-portlet-biblioteca-alfresco-internet/descargar/de132165-dc5e-4267-a8a8-b9368be697f9/Ley_Organica_Fortalecimiento_Econ_Familiar_20_jun_2023.pdf" TargetMode="External"/><Relationship Id="rId7" Type="http://schemas.openxmlformats.org/officeDocument/2006/relationships/hyperlink" Target="https://www.iess.gob.ec/documents/13718/54965/Tasasdeaportacion.pdf" TargetMode="External"/><Relationship Id="rId8" Type="http://schemas.openxmlformats.org/officeDocument/2006/relationships/hyperlink" Target="https://www.sri.gob.ec/o/sri-portlet-biblioteca-alfresco-internet/descargar/58a7f4f6-ab51-48b6-b9ff-a8e97e1a28ef/Tablas%20de%20c%c3%a1lculo%20de%20Impuesto%20a%20la%20Renta.pdf" TargetMode="External"/><Relationship Id="rId9" Type="http://schemas.openxmlformats.org/officeDocument/2006/relationships/hyperlink" Target="https://www.sri.gob.ec/o/sri-portlet-biblioteca-alfresco-internet/descargar/67a341b5-cb7d-4de3-bd9b-b1f0a25b603d/Ley%20de%20R%c3%a9gimen%20Tributario%20Interno.pdf" TargetMode="External"/><Relationship Id="rId10" Type="http://schemas.openxmlformats.org/officeDocument/2006/relationships/hyperlink" Target="https://www.ecuadorencifras.gob.ec/documentos/web-inec/Inflacion/2026/enero/BOLETIN_TECNICO_IPC_2026_01.pdf" TargetMode="External"/><Relationship Id="rId11" Type="http://schemas.openxmlformats.org/officeDocument/2006/relationships/hyperlink" Target="https://www.sri.gob.ec/o/sri-portlet-biblioteca-alfresco-internet/descargar/67a341b5-cb7d-4de3-bd9b-b1f0a25b603d/Ley%20de%20R%c3%a9gimen%20Tributario%20Interno.pdf" TargetMode="External"/><Relationship Id="rId12" Type="http://schemas.openxmlformats.org/officeDocument/2006/relationships/hyperlink" Target="https://www.iess.gob.ec/aplicaciones/AfiliacionIESS/" TargetMode="External"/><Relationship Id="rId13" Type="http://schemas.openxmlformats.org/officeDocument/2006/relationships/hyperlink" Target="https://www.goberguayas.gob.ec/pdf/LOTAIP/Leyes/7-Acuerdo-MDT.pdf" TargetMode="External"/><Relationship Id="rId14" Type="http://schemas.openxmlformats.org/officeDocument/2006/relationships/hyperlink" Target="https://www.goberguayas.gob.ec/pdf/LOTAIP/Leyes/7-Acuerdo-MDT.pdf" TargetMode="External"/><Relationship Id="rId15" Type="http://schemas.openxmlformats.org/officeDocument/2006/relationships/hyperlink" Target="https://portal.compraspublicas.gob.ec/sercop/wp-content/uploads/2026/08/CODIGO-DEL-TRABAJO.pdf" TargetMode="External"/><Relationship Id="rId16" Type="http://schemas.openxmlformats.org/officeDocument/2006/relationships/hyperlink" Target="https://portal.compraspublicas.gob.ec/sercop/wp-content/uploads/2026/08/CODIGO-DEL-TRABAJO.pdf" TargetMode="External"/><Relationship Id="rId17" Type="http://schemas.openxmlformats.org/officeDocument/2006/relationships/hyperlink" Target="https://portal.compraspublicas.gob.ec/sercop/wp-content/uploads/2026/08/CODIGO-DEL-TRABAJO.pdf" TargetMode="External"/><Relationship Id="rId18" Type="http://schemas.openxmlformats.org/officeDocument/2006/relationships/hyperlink" Target="https://portal.compraspublicas.gob.ec/sercop/wp-content/uploads/2026/08/CODIGO-DEL-TRABAJO.pdf" TargetMode="External"/><Relationship Id="rId19" Type="http://schemas.openxmlformats.org/officeDocument/2006/relationships/hyperlink" Target="https://portal.compraspublicas.gob.ec/sercop/wp-content/uploads/2026/08/CODIGO-DEL-TRABAJO.pdf" TargetMode="External"/><Relationship Id="rId20" Type="http://schemas.openxmlformats.org/officeDocument/2006/relationships/hyperlink" Target="https://portal.compraspublicas.gob.ec/sercop/wp-content/uploads/2026/08/CODIGO-DEL-TRABAJO.pdf" TargetMode="External"/><Relationship Id="rId21" Type="http://schemas.openxmlformats.org/officeDocument/2006/relationships/hyperlink" Target="https://portal.compraspublicas.gob.ec/sercop/wp-content/uploads/2026/08/CODIGO-DEL-TRABAJ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B12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>
        <v>1</v>
      </c>
      <c r="B3" s="3" t="s">
        <v>1</v>
      </c>
    </row>
    <row r="4" ht="34" customHeight="1" spans="1:2" x14ac:dyDescent="0.25">
      <c r="A4" s="2">
        <v>2</v>
      </c>
      <c r="B4" s="3" t="s">
        <v>2</v>
      </c>
    </row>
    <row r="5" ht="34" customHeight="1" spans="1:2" x14ac:dyDescent="0.25">
      <c r="A5" s="2">
        <v>3</v>
      </c>
      <c r="B5" s="3" t="s">
        <v>3</v>
      </c>
    </row>
    <row r="6" ht="34" customHeight="1" spans="1:2" x14ac:dyDescent="0.25">
      <c r="A6" s="2">
        <v>4</v>
      </c>
      <c r="B6" s="3" t="s">
        <v>4</v>
      </c>
    </row>
    <row r="7" ht="34" customHeight="1" spans="1:2" x14ac:dyDescent="0.25">
      <c r="A7" s="2">
        <v>5</v>
      </c>
      <c r="B7" s="3" t="s">
        <v>5</v>
      </c>
    </row>
    <row r="8" ht="34" customHeight="1" spans="1:2" x14ac:dyDescent="0.25">
      <c r="A8" s="2">
        <v>6</v>
      </c>
      <c r="B8" s="3" t="s">
        <v>6</v>
      </c>
    </row>
    <row r="10" ht="30" customHeight="1" spans="1:2" x14ac:dyDescent="0.25">
      <c r="A10" s="4" t="s">
        <v>7</v>
      </c>
      <c r="B10" s="4"/>
    </row>
    <row r="11" ht="30" customHeight="1" spans="1:2" x14ac:dyDescent="0.25">
      <c r="A11" s="4" t="s">
        <v>8</v>
      </c>
      <c r="B11" s="4"/>
    </row>
    <row r="12" ht="18" customHeight="1" spans="1:2" x14ac:dyDescent="0.25">
      <c r="A12" s="4" t="s">
        <v>9</v>
      </c>
      <c r="B12" s="4"/>
    </row>
  </sheetData>
  <mergeCells count="4">
    <mergeCell ref="A1:B1"/>
    <mergeCell ref="A10:B10"/>
    <mergeCell ref="A11:B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Z20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  <col min="26" max="26" width="9" hidden="1" customWidth="1"/>
  </cols>
  <sheetData>
    <row r="1" ht="28" customHeight="1" spans="1:26" x14ac:dyDescent="0.25">
      <c r="A1" s="5" t="s">
        <v>10</v>
      </c>
      <c r="B1" s="5"/>
      <c r="C1" s="5"/>
      <c r="Z1" t="s">
        <v>11</v>
      </c>
    </row>
    <row r="2" spans="26:26" x14ac:dyDescent="0.25">
      <c r="Z2" t="s">
        <v>12</v>
      </c>
    </row>
    <row r="3" spans="5:26" x14ac:dyDescent="0.25">
      <c r="E3" s="6" t="s">
        <v>13</v>
      </c>
      <c r="F3" s="6"/>
      <c r="Z3" t="s">
        <v>14</v>
      </c>
    </row>
    <row r="4" spans="1:26" x14ac:dyDescent="0.25">
      <c r="A4" s="6" t="s">
        <v>15</v>
      </c>
      <c r="B4" s="6"/>
      <c r="C4" s="6"/>
      <c r="Z4" t="s">
        <v>16</v>
      </c>
    </row>
    <row r="5" spans="1:26" x14ac:dyDescent="0.25">
      <c r="A5" s="7" t="s">
        <v>17</v>
      </c>
      <c r="B5" s="8">
        <v>1500</v>
      </c>
      <c r="C5" s="9" t="s">
        <v>18</v>
      </c>
      <c r="E5" s="10" t="s">
        <v>19</v>
      </c>
      <c r="Z5" t="s">
        <v>20</v>
      </c>
    </row>
    <row r="6" spans="1:26" x14ac:dyDescent="0.25">
      <c r="A6" s="7" t="s">
        <v>21</v>
      </c>
      <c r="B6" s="11" t="s">
        <v>22</v>
      </c>
      <c r="E6" s="12" t="s">
        <v>23</v>
      </c>
      <c r="F6" s="13">
        <f>ROUND(B5*'Tablas oficiales'!$C$10/100,2)</f>
      </c>
      <c r="Z6" t="s">
        <v>24</v>
      </c>
    </row>
    <row r="7" ht="30" customHeight="1" spans="1:6" x14ac:dyDescent="0.25">
      <c r="A7" s="7" t="s">
        <v>25</v>
      </c>
      <c r="B7" s="8">
        <v>0</v>
      </c>
      <c r="C7" s="9" t="s">
        <v>26</v>
      </c>
      <c r="E7" s="12" t="s">
        <v>27</v>
      </c>
      <c r="F7" s="13">
        <f>ROUND((B5-F6)*12,2)</f>
      </c>
    </row>
    <row r="8" spans="1:6" x14ac:dyDescent="0.25">
      <c r="A8" s="7" t="s">
        <v>28</v>
      </c>
      <c r="B8" s="11" t="s">
        <v>11</v>
      </c>
      <c r="E8" s="12" t="s">
        <v>29</v>
      </c>
      <c r="F8" s="13">
        <f>ROUND(IF(F7&lt;=0,0,INDEX('Tablas oficiales'!$E$13:$E$22,IFERROR(MATCH(F7,'Tablas oficiales'!$B$13:$B$22,1),1))+(F7-INDEX('Tablas oficiales'!$B$13:$B$22,IFERROR(MATCH(F7,'Tablas oficiales'!$B$13:$B$22,1),1)))*INDEX('Tablas oficiales'!$D$13:$D$22,IFERROR(MATCH(F7,'Tablas oficiales'!$B$13:$B$22,1),1))/100),2)</f>
      </c>
    </row>
    <row r="9" spans="1:6" x14ac:dyDescent="0.25">
      <c r="A9" s="7" t="s">
        <v>30</v>
      </c>
      <c r="B9" s="11" t="s">
        <v>31</v>
      </c>
      <c r="C9" s="9" t="s">
        <v>32</v>
      </c>
      <c r="E9" s="12" t="s">
        <v>33</v>
      </c>
      <c r="F9" s="14">
        <f>IF(B9="Sí",'Tablas oficiales'!$C$24,INDEX('Tablas oficiales'!$C$4:$C$9,MATCH(B8,'Tablas oficiales'!$B$4:$B$9,0)))</f>
      </c>
    </row>
    <row r="10" spans="5:6" x14ac:dyDescent="0.25">
      <c r="E10" s="12" t="s">
        <v>34</v>
      </c>
      <c r="F10" s="13">
        <f>ROUND('Tablas oficiales'!$C$25*F9,2)</f>
      </c>
    </row>
    <row r="11" spans="1:6" x14ac:dyDescent="0.25">
      <c r="A11" s="6" t="s">
        <v>35</v>
      </c>
      <c r="B11" s="6"/>
      <c r="C11" s="6"/>
      <c r="E11" s="12" t="s">
        <v>36</v>
      </c>
      <c r="F11" s="13">
        <f>MIN(ROUND(MIN(B7,F10)*'Tablas oficiales'!$C$26/100,2),F8)</f>
      </c>
    </row>
    <row r="12" spans="1:6" x14ac:dyDescent="0.25">
      <c r="A12" s="15" t="s">
        <v>37</v>
      </c>
      <c r="B12" s="16">
        <f>B5</f>
      </c>
      <c r="E12" s="12" t="s">
        <v>38</v>
      </c>
      <c r="F12" s="13">
        <f>ROUND(F8-F11,2)</f>
      </c>
    </row>
    <row r="13" spans="1:6" x14ac:dyDescent="0.25">
      <c r="A13" s="15" t="s">
        <v>23</v>
      </c>
      <c r="B13" s="16">
        <f>F6</f>
      </c>
      <c r="E13" s="12" t="s">
        <v>39</v>
      </c>
      <c r="F13" s="13">
        <f>ROUND(F12/11,2)</f>
      </c>
    </row>
    <row r="14" spans="1:6" x14ac:dyDescent="0.25">
      <c r="A14" s="15" t="s">
        <v>40</v>
      </c>
      <c r="B14" s="16">
        <f>F13</f>
      </c>
      <c r="E14" s="12" t="s">
        <v>41</v>
      </c>
      <c r="F14" s="13">
        <f>IF(B6="Sí",ROUND(B5/12,2),0)</f>
      </c>
    </row>
    <row r="15" spans="1:6" x14ac:dyDescent="0.25">
      <c r="A15" s="15" t="s">
        <v>38</v>
      </c>
      <c r="B15" s="16">
        <f>F12</f>
      </c>
      <c r="E15" s="12" t="s">
        <v>42</v>
      </c>
      <c r="F15" s="13">
        <f>IF(B6="Sí",ROUND('Tablas oficiales'!$C$27/12,2),0)</f>
      </c>
    </row>
    <row r="16" spans="1:2" x14ac:dyDescent="0.25">
      <c r="A16" s="15" t="s">
        <v>41</v>
      </c>
      <c r="B16" s="16">
        <f>F14</f>
      </c>
    </row>
    <row r="17" spans="1:2" x14ac:dyDescent="0.25">
      <c r="A17" s="15" t="s">
        <v>42</v>
      </c>
      <c r="B17" s="16">
        <f>F15</f>
      </c>
    </row>
    <row r="18" spans="1:2" x14ac:dyDescent="0.25">
      <c r="A18" s="17" t="s">
        <v>43</v>
      </c>
      <c r="B18" s="18">
        <f>ROUND(B5-F6-F13+F14+F15,2)</f>
      </c>
    </row>
    <row r="20" ht="36" customHeight="1" spans="1:3" x14ac:dyDescent="0.25">
      <c r="A20" s="4" t="s">
        <v>44</v>
      </c>
      <c r="B20" s="4"/>
      <c r="C20" s="4"/>
    </row>
  </sheetData>
  <mergeCells count="5">
    <mergeCell ref="A1:C1"/>
    <mergeCell ref="E3:F3"/>
    <mergeCell ref="A4:C4"/>
    <mergeCell ref="A11:C11"/>
    <mergeCell ref="A20:C20"/>
  </mergeCells>
  <dataValidations count="5">
    <dataValidation type="decimal" allowBlank="1" showErrorMessage="1" error="Escribe un número mayor o igual a 0." sqref="B5">
      <formula1>0</formula1>
      <formula2>1000000000000</formula2>
    </dataValidation>
    <dataValidation type="list" showErrorMessage="1" error="Elige una opción de la lista." sqref="B6">
      <formula1>"Sí,No"</formula1>
    </dataValidation>
    <dataValidation type="decimal" allowBlank="1" showErrorMessage="1" error="Escribe un número mayor o igual a 0." sqref="B7">
      <formula1>0</formula1>
      <formula2>1000000000000</formula2>
    </dataValidation>
    <dataValidation type="list" showErrorMessage="1" error="Elige una opción de la lista (Cargas familiares)." sqref="B8">
      <formula1>'Sueldo neto'!$Z$1:$Z$6</formula1>
    </dataValidation>
    <dataValidation type="list" showErrorMessage="1" error="Elige una opción de la lista." sqref="B9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Z25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  <col min="26" max="26" width="9" hidden="1" customWidth="1"/>
  </cols>
  <sheetData>
    <row r="1" ht="28" customHeight="1" spans="1:26" x14ac:dyDescent="0.25">
      <c r="A1" s="5" t="s">
        <v>45</v>
      </c>
      <c r="B1" s="5"/>
      <c r="C1" s="5"/>
      <c r="Z1" t="s">
        <v>46</v>
      </c>
    </row>
    <row r="2" spans="26:26" x14ac:dyDescent="0.25">
      <c r="Z2" t="s">
        <v>47</v>
      </c>
    </row>
    <row r="3" spans="5:6" x14ac:dyDescent="0.25">
      <c r="E3" s="6" t="s">
        <v>13</v>
      </c>
      <c r="F3" s="6"/>
    </row>
    <row r="4" spans="1:6" x14ac:dyDescent="0.25">
      <c r="A4" s="6" t="s">
        <v>48</v>
      </c>
      <c r="B4" s="6"/>
      <c r="C4" s="6"/>
      <c r="E4" s="12" t="s">
        <v>49</v>
      </c>
      <c r="F4" s="13">
        <f>B5*B6+B7</f>
      </c>
    </row>
    <row r="5" spans="1:3" x14ac:dyDescent="0.25">
      <c r="A5" s="7" t="s">
        <v>17</v>
      </c>
      <c r="B5" s="8">
        <v>1000</v>
      </c>
      <c r="C5" s="9" t="s">
        <v>50</v>
      </c>
    </row>
    <row r="6" spans="1:5" x14ac:dyDescent="0.25">
      <c r="A6" s="7" t="s">
        <v>51</v>
      </c>
      <c r="B6" s="19">
        <v>12</v>
      </c>
      <c r="C6" s="9" t="s">
        <v>52</v>
      </c>
      <c r="E6" s="10" t="s">
        <v>53</v>
      </c>
    </row>
    <row r="7" spans="1:6" x14ac:dyDescent="0.25">
      <c r="A7" s="7" t="s">
        <v>54</v>
      </c>
      <c r="B7" s="8">
        <v>0</v>
      </c>
      <c r="C7" s="9" t="s">
        <v>55</v>
      </c>
      <c r="E7" s="12" t="s">
        <v>56</v>
      </c>
      <c r="F7" s="20">
        <f>INDEX('Tablas oficiales'!$C$28:$C$29,MATCH(B15,'Tablas oficiales'!$B$28:$B$29,0))</f>
      </c>
    </row>
    <row r="8" spans="1:6" x14ac:dyDescent="0.25">
      <c r="A8" s="15" t="s">
        <v>49</v>
      </c>
      <c r="B8" s="16">
        <f>ROUND(F4,2)</f>
      </c>
      <c r="E8" s="12" t="s">
        <v>57</v>
      </c>
      <c r="F8" s="21">
        <f>IF(NOT(ISNUMBER(B17)),B18,B17)</f>
      </c>
    </row>
    <row r="9" spans="1:6" x14ac:dyDescent="0.25">
      <c r="A9" s="15" t="s">
        <v>41</v>
      </c>
      <c r="B9" s="16">
        <f>ROUND(B5/12,2)</f>
      </c>
      <c r="E9" s="12" t="s">
        <v>58</v>
      </c>
      <c r="F9" s="21">
        <f>DATE(IF(MONTH(F8)&gt;=F7,YEAR(F8),YEAR(F8)-1),F7,1)</f>
      </c>
    </row>
    <row r="10" spans="1:6" x14ac:dyDescent="0.25">
      <c r="A10" s="17" t="s">
        <v>59</v>
      </c>
      <c r="B10" s="18">
        <f>ROUND(F4/12,2)</f>
      </c>
      <c r="E10" s="12" t="s">
        <v>60</v>
      </c>
      <c r="F10" s="21">
        <f>IF(AND(NOT(ISNUMBER(B17)),B18&lt;=DATE(YEAR(F9),F7,15)),EDATE(F9,-12),F9)</f>
      </c>
    </row>
    <row r="11" spans="5:6" x14ac:dyDescent="0.25">
      <c r="E11" s="12" t="s">
        <v>61</v>
      </c>
      <c r="F11" s="21">
        <f>EDATE(F10,12)-1</f>
      </c>
    </row>
    <row r="12" ht="21" customHeight="1" spans="1:6" x14ac:dyDescent="0.25">
      <c r="A12" s="4" t="s">
        <v>62</v>
      </c>
      <c r="B12" s="4"/>
      <c r="C12" s="4"/>
      <c r="E12" s="12" t="s">
        <v>63</v>
      </c>
      <c r="F12" s="21">
        <f>IF(NOT(ISNUMBER(B17)),F11,F8)</f>
      </c>
    </row>
    <row r="13" spans="5:6" x14ac:dyDescent="0.25">
      <c r="E13" s="12" t="s">
        <v>64</v>
      </c>
      <c r="F13" s="20">
        <f>IF(EDATE(MAX(B16,F10),12*(YEAR((F12+1))-YEAR(MAX(B16,F10))))&gt;(F12+1),(YEAR((F12+1))-YEAR(MAX(B16,F10)))-1,(YEAR((F12+1))-YEAR(MAX(B16,F10))))</f>
      </c>
    </row>
    <row r="14" spans="1:6" x14ac:dyDescent="0.25">
      <c r="A14" s="6" t="s">
        <v>65</v>
      </c>
      <c r="B14" s="6"/>
      <c r="C14" s="6"/>
      <c r="E14" s="12" t="s">
        <v>66</v>
      </c>
      <c r="F14" s="21">
        <f>EDATE(MAX(B16,F10),12*F13)</f>
      </c>
    </row>
    <row r="15" spans="1:6" x14ac:dyDescent="0.25">
      <c r="A15" s="7" t="s">
        <v>67</v>
      </c>
      <c r="B15" s="11" t="s">
        <v>47</v>
      </c>
      <c r="E15" s="12" t="s">
        <v>68</v>
      </c>
      <c r="F15" s="20">
        <f>MIN(12,IF(EDATE(F14,((YEAR((F12+1))-YEAR(F14))*12+MONTH((F12+1))-MONTH(F14)))&gt;(F12+1),((YEAR((F12+1))-YEAR(F14))*12+MONTH((F12+1))-MONTH(F14))-1,((YEAR((F12+1))-YEAR(F14))*12+MONTH((F12+1))-MONTH(F14))))</f>
      </c>
    </row>
    <row r="16" spans="1:6" x14ac:dyDescent="0.25">
      <c r="A16" s="7" t="s">
        <v>69</v>
      </c>
      <c r="B16" s="22">
        <v>45672</v>
      </c>
      <c r="E16" s="12" t="s">
        <v>70</v>
      </c>
      <c r="F16" s="20">
        <f>(F12+1)-EDATE(F14,F15)</f>
      </c>
    </row>
    <row r="17" spans="1:6" x14ac:dyDescent="0.25">
      <c r="A17" s="7" t="s">
        <v>71</v>
      </c>
      <c r="B17" s="22"/>
      <c r="C17" s="9" t="s">
        <v>72</v>
      </c>
      <c r="E17" s="12" t="s">
        <v>73</v>
      </c>
      <c r="F17" s="14">
        <f>MIN(12,F13*12+F15+F16/30)</f>
      </c>
    </row>
    <row r="18" spans="1:3" x14ac:dyDescent="0.25">
      <c r="A18" s="7" t="s">
        <v>74</v>
      </c>
      <c r="B18" s="22">
        <f>TODAY()</f>
      </c>
      <c r="C18" s="9" t="s">
        <v>75</v>
      </c>
    </row>
    <row r="19" spans="1:3" x14ac:dyDescent="0.25">
      <c r="A19" s="23">
        <f>IF(B16&gt;F11,"Empezaste a trabajar después de este período.",IF(B16&gt;F8,"La fecha en que empezaste no puede ser posterior al corte.",""))</f>
      </c>
      <c r="B19" s="23"/>
      <c r="C19" s="23"/>
    </row>
    <row r="20" spans="1:2" x14ac:dyDescent="0.25">
      <c r="A20" s="15" t="s">
        <v>76</v>
      </c>
      <c r="B20" s="24">
        <f>"Del "&amp;DAY(F10)&amp;"/"&amp;MONTH(F10)&amp;"/"&amp;YEAR(F10)&amp;" al "&amp;DAY(F11)&amp;"/"&amp;MONTH(F11)&amp;"/"&amp;YEAR(F11)</f>
      </c>
    </row>
    <row r="21" spans="1:2" x14ac:dyDescent="0.25">
      <c r="A21" s="15" t="s">
        <v>77</v>
      </c>
      <c r="B21" s="25">
        <f>ROUND(F17,2)</f>
      </c>
    </row>
    <row r="22" spans="1:2" x14ac:dyDescent="0.25">
      <c r="A22" s="15" t="s">
        <v>42</v>
      </c>
      <c r="B22" s="16">
        <f>ROUND('Tablas oficiales'!$C$27/12,2)</f>
      </c>
    </row>
    <row r="23" spans="1:2" x14ac:dyDescent="0.25">
      <c r="A23" s="17" t="s">
        <v>53</v>
      </c>
      <c r="B23" s="18">
        <f>ROUND('Tablas oficiales'!$C$27*F17/12,2)</f>
      </c>
    </row>
    <row r="25" ht="36" customHeight="1" spans="1:3" x14ac:dyDescent="0.25">
      <c r="A25" s="4" t="s">
        <v>78</v>
      </c>
      <c r="B25" s="4"/>
      <c r="C25" s="4"/>
    </row>
  </sheetData>
  <mergeCells count="7">
    <mergeCell ref="A1:C1"/>
    <mergeCell ref="E3:F3"/>
    <mergeCell ref="A4:C4"/>
    <mergeCell ref="A12:C12"/>
    <mergeCell ref="A14:C14"/>
    <mergeCell ref="A19:C19"/>
    <mergeCell ref="A25:C25"/>
  </mergeCells>
  <dataValidations count="5">
    <dataValidation type="list" showErrorMessage="1" error="Elige una opción de la lista (Región donde trabajas)." sqref="B15">
      <formula1>'Décimos'!$Z$1:$Z$2</formula1>
    </dataValidation>
    <dataValidation type="date" operator="greaterThan" allowBlank="1" showErrorMessage="1" error="Escribe una fecha como dd/mm/aaaa." sqref="B16:B17">
      <formula1>18264</formula1>
    </dataValidation>
    <dataValidation type="decimal" allowBlank="1" showErrorMessage="1" error="Escribe un número mayor o igual a 0." sqref="B5">
      <formula1>0</formula1>
      <formula2>1000000000000</formula2>
    </dataValidation>
    <dataValidation type="decimal" allowBlank="1" showErrorMessage="1" error="Escribe un número entre 0 y 12." sqref="B6">
      <formula1>0</formula1>
      <formula2>12</formula2>
    </dataValidation>
    <dataValidation type="decimal" allowBlank="1" showErrorMessage="1" error="Escribe un número mayor o igual a 0." sqref="B7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Z31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  <col min="26" max="26" width="9" hidden="1" customWidth="1"/>
  </cols>
  <sheetData>
    <row r="1" ht="28" customHeight="1" spans="1:26" x14ac:dyDescent="0.25">
      <c r="A1" s="5" t="s">
        <v>79</v>
      </c>
      <c r="B1" s="5"/>
      <c r="C1" s="5"/>
      <c r="Z1" t="s">
        <v>46</v>
      </c>
    </row>
    <row r="2" spans="26:26" x14ac:dyDescent="0.25">
      <c r="Z2" t="s">
        <v>47</v>
      </c>
    </row>
    <row r="3" spans="5:6" x14ac:dyDescent="0.25">
      <c r="E3" s="6" t="s">
        <v>13</v>
      </c>
      <c r="F3" s="6"/>
    </row>
    <row r="4" spans="1:6" x14ac:dyDescent="0.25">
      <c r="A4" s="6" t="s">
        <v>15</v>
      </c>
      <c r="B4" s="6"/>
      <c r="C4" s="6"/>
      <c r="E4" s="12" t="s">
        <v>80</v>
      </c>
      <c r="F4" s="20">
        <f>IF(EDATE(B5,12*(YEAR((B6+1))-YEAR(B5)))&gt;(B6+1),(YEAR((B6+1))-YEAR(B5))-1,(YEAR((B6+1))-YEAR(B5)))</f>
      </c>
    </row>
    <row r="5" spans="1:6" x14ac:dyDescent="0.25">
      <c r="A5" s="7" t="s">
        <v>69</v>
      </c>
      <c r="B5" s="22">
        <v>44621</v>
      </c>
      <c r="E5" s="12" t="s">
        <v>81</v>
      </c>
      <c r="F5" s="21">
        <f>EDATE(B5,12*F4)</f>
      </c>
    </row>
    <row r="6" spans="1:6" x14ac:dyDescent="0.25">
      <c r="A6" s="7" t="s">
        <v>82</v>
      </c>
      <c r="B6" s="22">
        <v>46315</v>
      </c>
      <c r="E6" s="12" t="s">
        <v>83</v>
      </c>
      <c r="F6" s="20">
        <f>MIN(12,IF(EDATE(F5,((YEAR((B6+1))-YEAR(F5))*12+MONTH((B6+1))-MONTH(F5)))&gt;(B6+1),((YEAR((B6+1))-YEAR(F5))*12+MONTH((B6+1))-MONTH(F5))-1,((YEAR((B6+1))-YEAR(F5))*12+MONTH((B6+1))-MONTH(F5))))</f>
      </c>
    </row>
    <row r="7" ht="30" customHeight="1" spans="1:6" x14ac:dyDescent="0.25">
      <c r="A7" s="7" t="s">
        <v>84</v>
      </c>
      <c r="B7" s="8">
        <v>900</v>
      </c>
      <c r="C7" s="9" t="s">
        <v>85</v>
      </c>
      <c r="E7" s="12" t="s">
        <v>86</v>
      </c>
      <c r="F7" s="20">
        <f>(B6+1)-EDATE(F5,F6)</f>
      </c>
    </row>
    <row r="8" spans="1:2" x14ac:dyDescent="0.25">
      <c r="A8" s="7" t="s">
        <v>87</v>
      </c>
      <c r="B8" s="11" t="s">
        <v>88</v>
      </c>
    </row>
    <row r="9" spans="1:5" x14ac:dyDescent="0.25">
      <c r="A9" s="7" t="s">
        <v>89</v>
      </c>
      <c r="B9" s="11" t="s">
        <v>47</v>
      </c>
      <c r="E9" s="10" t="s">
        <v>90</v>
      </c>
    </row>
    <row r="10" spans="1:6" x14ac:dyDescent="0.25">
      <c r="A10" s="7" t="s">
        <v>91</v>
      </c>
      <c r="B10" s="11" t="s">
        <v>22</v>
      </c>
      <c r="E10" s="12" t="s">
        <v>92</v>
      </c>
      <c r="F10" s="13">
        <f>IF(B8&lt;&gt;"Visto bueno pedido por el empleador",ROUND(B7*'Tablas oficiales'!$C$30/100*F4,2),0)</f>
      </c>
    </row>
    <row r="11" spans="1:6" x14ac:dyDescent="0.25">
      <c r="A11" s="7" t="s">
        <v>93</v>
      </c>
      <c r="B11" s="19">
        <v>0</v>
      </c>
      <c r="E11" s="12" t="s">
        <v>94</v>
      </c>
      <c r="F11" s="20">
        <f>IF(B8="Despido intempestivo (sin causa)",IF(OR(F4&lt;'Tablas oficiales'!$C$31,AND(F4='Tablas oficiales'!$C$31,NOT(OR(F6&gt;0,F7&gt;0)))),'Tablas oficiales'!$C$32,MIN(F4+IF(OR(F6&gt;0,F7&gt;0),1,0),'Tablas oficiales'!$C$33)),0)</f>
      </c>
    </row>
    <row r="12" spans="5:6" x14ac:dyDescent="0.25">
      <c r="E12" s="12" t="s">
        <v>95</v>
      </c>
      <c r="F12" s="13">
        <f>ROUND(B7*F11,2)</f>
      </c>
    </row>
    <row r="13" spans="1:3" x14ac:dyDescent="0.25">
      <c r="A13" s="6" t="s">
        <v>96</v>
      </c>
      <c r="B13" s="6"/>
      <c r="C13" s="6"/>
    </row>
    <row r="14" spans="1:5" x14ac:dyDescent="0.25">
      <c r="A14" s="23">
        <f>IF(B6&lt;B5,"El último día tiene que ser posterior a la fecha en que empezaste.","")</f>
      </c>
      <c r="B14" s="23"/>
      <c r="C14" s="23"/>
      <c r="E14" s="10" t="s">
        <v>97</v>
      </c>
    </row>
    <row r="15" spans="1:6" x14ac:dyDescent="0.25">
      <c r="A15" s="15" t="s">
        <v>98</v>
      </c>
      <c r="B15" s="24">
        <f>F4&amp;" años, "&amp;F6&amp;" meses y "&amp;F7&amp;" días"</f>
      </c>
      <c r="E15" s="12" t="s">
        <v>99</v>
      </c>
      <c r="F15" s="20">
        <f>IF(EDATE(MAX(B5,DATE(IF(MONTH(B6)&gt;=12,YEAR(B6),YEAR(B6)-1),12,1)),12*(YEAR((B6+1))-YEAR(MAX(B5,DATE(IF(MONTH(B6)&gt;=12,YEAR(B6),YEAR(B6)-1),12,1)))))&gt;(B6+1),(YEAR((B6+1))-YEAR(MAX(B5,DATE(IF(MONTH(B6)&gt;=12,YEAR(B6),YEAR(B6)-1),12,1))))-1,(YEAR((B6+1))-YEAR(MAX(B5,DATE(IF(MONTH(B6)&gt;=12,YEAR(B6),YEAR(B6)-1),12,1)))))</f>
      </c>
    </row>
    <row r="16" spans="1:6" x14ac:dyDescent="0.25">
      <c r="A16" s="15" t="s">
        <v>92</v>
      </c>
      <c r="B16" s="16">
        <f>F10</f>
      </c>
      <c r="E16" s="12" t="s">
        <v>100</v>
      </c>
      <c r="F16" s="21">
        <f>EDATE(MAX(B5,DATE(IF(MONTH(B6)&gt;=12,YEAR(B6),YEAR(B6)-1),12,1)),12*F15)</f>
      </c>
    </row>
    <row r="17" spans="1:6" x14ac:dyDescent="0.25">
      <c r="A17" s="15" t="s">
        <v>101</v>
      </c>
      <c r="B17" s="26">
        <f>F11</f>
      </c>
      <c r="E17" s="12" t="s">
        <v>102</v>
      </c>
      <c r="F17" s="20">
        <f>MIN(12,IF(EDATE(F16,((YEAR((B6+1))-YEAR(F16))*12+MONTH((B6+1))-MONTH(F16)))&gt;(B6+1),((YEAR((B6+1))-YEAR(F16))*12+MONTH((B6+1))-MONTH(F16))-1,((YEAR((B6+1))-YEAR(F16))*12+MONTH((B6+1))-MONTH(F16))))</f>
      </c>
    </row>
    <row r="18" spans="1:6" x14ac:dyDescent="0.25">
      <c r="A18" s="15" t="s">
        <v>103</v>
      </c>
      <c r="B18" s="16">
        <f>F12</f>
      </c>
      <c r="E18" s="12" t="s">
        <v>104</v>
      </c>
      <c r="F18" s="20">
        <f>(B6+1)-EDATE(F16,F17)</f>
      </c>
    </row>
    <row r="19" spans="1:6" x14ac:dyDescent="0.25">
      <c r="A19" s="15" t="s">
        <v>105</v>
      </c>
      <c r="B19" s="16">
        <f>F25</f>
      </c>
      <c r="E19" s="12" t="s">
        <v>106</v>
      </c>
      <c r="F19" s="14">
        <f>MIN(12,F15*12+F17+F18/30)</f>
      </c>
    </row>
    <row r="20" spans="1:6" x14ac:dyDescent="0.25">
      <c r="A20" s="15" t="s">
        <v>107</v>
      </c>
      <c r="B20" s="16">
        <f>F26</f>
      </c>
      <c r="E20" s="12" t="s">
        <v>108</v>
      </c>
      <c r="F20" s="20">
        <f>IF(EDATE(MAX(B5,DATE(IF(MONTH(B6)&gt;=INDEX('Tablas oficiales'!$C$28:$C$29,MATCH(B9,'Tablas oficiales'!$B$28:$B$29,0)),YEAR(B6),YEAR(B6)-1),INDEX('Tablas oficiales'!$C$28:$C$29,MATCH(B9,'Tablas oficiales'!$B$28:$B$29,0)),1)),12*(YEAR((B6+1))-YEAR(MAX(B5,DATE(IF(MONTH(B6)&gt;=INDEX('Tablas oficiales'!$C$28:$C$29,MATCH(B9,'Tablas oficiales'!$B$28:$B$29,0)),YEAR(B6),YEAR(B6)-1),INDEX('Tablas oficiales'!$C$28:$C$29,MATCH(B9,'Tablas oficiales'!$B$28:$B$29,0)),1)))))&gt;(B6+1),(YEAR((B6+1))-YEAR(MAX(B5,DATE(IF(MONTH(B6)&gt;=INDEX('Tablas oficiales'!$C$28:$C$29,MATCH(B9,'Tablas oficiales'!$B$28:$B$29,0)),YEAR(B6),YEAR(B6)-1),INDEX('Tablas oficiales'!$C$28:$C$29,MATCH(B9,'Tablas oficiales'!$B$28:$B$29,0)),1))))-1,(YEAR((B6+1))-YEAR(MAX(B5,DATE(IF(MONTH(B6)&gt;=INDEX('Tablas oficiales'!$C$28:$C$29,MATCH(B9,'Tablas oficiales'!$B$28:$B$29,0)),YEAR(B6),YEAR(B6)-1),INDEX('Tablas oficiales'!$C$28:$C$29,MATCH(B9,'Tablas oficiales'!$B$28:$B$29,0)),1)))))</f>
      </c>
    </row>
    <row r="21" spans="1:6" x14ac:dyDescent="0.25">
      <c r="A21" s="15" t="s">
        <v>109</v>
      </c>
      <c r="B21" s="16">
        <f>F31</f>
      </c>
      <c r="E21" s="12" t="s">
        <v>110</v>
      </c>
      <c r="F21" s="21">
        <f>EDATE(MAX(B5,DATE(IF(MONTH(B6)&gt;=INDEX('Tablas oficiales'!$C$28:$C$29,MATCH(B9,'Tablas oficiales'!$B$28:$B$29,0)),YEAR(B6),YEAR(B6)-1),INDEX('Tablas oficiales'!$C$28:$C$29,MATCH(B9,'Tablas oficiales'!$B$28:$B$29,0)),1)),12*F20)</f>
      </c>
    </row>
    <row r="22" spans="1:6" x14ac:dyDescent="0.25">
      <c r="A22" s="17" t="s">
        <v>111</v>
      </c>
      <c r="B22" s="18">
        <f>ROUND(F10+F12+F25+F26+F31,2)</f>
      </c>
      <c r="E22" s="12" t="s">
        <v>112</v>
      </c>
      <c r="F22" s="20">
        <f>MIN(12,IF(EDATE(F21,((YEAR((B6+1))-YEAR(F21))*12+MONTH((B6+1))-MONTH(F21)))&gt;(B6+1),((YEAR((B6+1))-YEAR(F21))*12+MONTH((B6+1))-MONTH(F21))-1,((YEAR((B6+1))-YEAR(F21))*12+MONTH((B6+1))-MONTH(F21))))</f>
      </c>
    </row>
    <row r="23" spans="5:6" x14ac:dyDescent="0.25">
      <c r="E23" s="12" t="s">
        <v>113</v>
      </c>
      <c r="F23" s="20">
        <f>(B6+1)-EDATE(F21,F22)</f>
      </c>
    </row>
    <row r="24" ht="36" customHeight="1" spans="1:6" x14ac:dyDescent="0.25">
      <c r="A24" s="4" t="s">
        <v>114</v>
      </c>
      <c r="B24" s="4"/>
      <c r="C24" s="4"/>
      <c r="E24" s="12" t="s">
        <v>115</v>
      </c>
      <c r="F24" s="14">
        <f>MIN(12,F20*12+F22+F23/30)</f>
      </c>
    </row>
    <row r="25" spans="5:6" x14ac:dyDescent="0.25">
      <c r="E25" s="12" t="s">
        <v>105</v>
      </c>
      <c r="F25" s="13">
        <f>IF(B10="Sí",0,ROUND(B7*F19/12,2))</f>
      </c>
    </row>
    <row r="26" spans="5:6" x14ac:dyDescent="0.25">
      <c r="E26" s="12" t="s">
        <v>107</v>
      </c>
      <c r="F26" s="13">
        <f>IF(B10="Sí",0,ROUND('Tablas oficiales'!$C$27*F24/12,2))</f>
      </c>
    </row>
    <row r="28" spans="5:5" x14ac:dyDescent="0.25">
      <c r="E28" s="10" t="s">
        <v>116</v>
      </c>
    </row>
    <row r="29" spans="5:6" x14ac:dyDescent="0.25">
      <c r="E29" s="12" t="s">
        <v>117</v>
      </c>
      <c r="F29" s="20">
        <f>'Tablas oficiales'!$C$34+MIN(MAX(F4+1-'Tablas oficiales'!$C$35,0),'Tablas oficiales'!$C$36)</f>
      </c>
    </row>
    <row r="30" spans="5:6" x14ac:dyDescent="0.25">
      <c r="E30" s="12" t="s">
        <v>118</v>
      </c>
      <c r="F30" s="14">
        <f>F29*((F6+F7/30)/12)</f>
      </c>
    </row>
    <row r="31" spans="5:6" x14ac:dyDescent="0.25">
      <c r="E31" s="12" t="s">
        <v>116</v>
      </c>
      <c r="F31" s="13">
        <f>ROUND(F30*B7/30+B11*B7/30,2)</f>
      </c>
    </row>
  </sheetData>
  <mergeCells count="6">
    <mergeCell ref="A1:C1"/>
    <mergeCell ref="E3:F3"/>
    <mergeCell ref="A4:C4"/>
    <mergeCell ref="A13:C13"/>
    <mergeCell ref="A14:C14"/>
    <mergeCell ref="A24:C24"/>
  </mergeCells>
  <dataValidations count="6">
    <dataValidation type="list" showErrorMessage="1" error="Elige una opción de la lista." sqref="B10">
      <formula1>"Sí,No"</formula1>
    </dataValidation>
    <dataValidation type="decimal" allowBlank="1" showErrorMessage="1" error="Escribe un número mayor o igual a 0." sqref="B11">
      <formula1>0</formula1>
      <formula2>1000000000000</formula2>
    </dataValidation>
    <dataValidation type="date" operator="greaterThan" allowBlank="1" showErrorMessage="1" error="Escribe una fecha como dd/mm/aaaa." sqref="B5:B6">
      <formula1>18264</formula1>
    </dataValidation>
    <dataValidation type="decimal" allowBlank="1" showErrorMessage="1" error="Escribe un número mayor o igual a 0." sqref="B7">
      <formula1>0</formula1>
      <formula2>1000000000000</formula2>
    </dataValidation>
    <dataValidation type="list" showErrorMessage="1" error="Elige una opción de la lista." sqref="B8">
      <formula1>"Despido intempestivo (sin causa),Renuncia con aviso escrito (desahucio),Acuerdo entre las partes,Visto bueno pedido por el empleador"</formula1>
    </dataValidation>
    <dataValidation type="list" showErrorMessage="1" error="Elige una opción de la lista (Región donde trabajabas)." sqref="B9">
      <formula1>'Liquidación'!$Z$1:$Z$2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G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0" customWidth="1"/>
    <col min="3" max="3" width="18" customWidth="1"/>
    <col min="4" max="4" width="12" customWidth="1"/>
    <col min="5" max="5" width="14" customWidth="1"/>
    <col min="6" max="6" width="58" customWidth="1"/>
    <col min="7" max="7" width="14" customWidth="1"/>
  </cols>
  <sheetData>
    <row r="1" ht="28" customHeight="1" spans="1:7" x14ac:dyDescent="0.25">
      <c r="A1" s="27" t="s">
        <v>119</v>
      </c>
      <c r="B1" s="27"/>
      <c r="C1" s="27"/>
      <c r="D1" s="27"/>
      <c r="E1" s="27"/>
      <c r="F1" s="27"/>
      <c r="G1" s="27"/>
    </row>
    <row r="2" ht="30" customHeight="1" spans="1:7" x14ac:dyDescent="0.25">
      <c r="A2" s="4" t="s">
        <v>120</v>
      </c>
      <c r="B2" s="4"/>
      <c r="C2" s="4"/>
      <c r="D2" s="4"/>
      <c r="E2" s="4"/>
      <c r="F2" s="4"/>
      <c r="G2" s="4"/>
    </row>
    <row r="3" spans="1:7" x14ac:dyDescent="0.25">
      <c r="A3" s="28" t="s">
        <v>121</v>
      </c>
      <c r="B3" s="28" t="s">
        <v>122</v>
      </c>
      <c r="C3" s="28" t="s">
        <v>123</v>
      </c>
      <c r="D3" s="28" t="s">
        <v>124</v>
      </c>
      <c r="E3" s="28" t="s">
        <v>125</v>
      </c>
      <c r="F3" s="28" t="s">
        <v>126</v>
      </c>
      <c r="G3" s="28" t="s">
        <v>127</v>
      </c>
    </row>
    <row r="4" spans="1:7" x14ac:dyDescent="0.25">
      <c r="A4" s="29" t="s">
        <v>128</v>
      </c>
      <c r="B4" s="29" t="s">
        <v>11</v>
      </c>
      <c r="C4" s="30">
        <v>7</v>
      </c>
      <c r="D4" s="29" t="s">
        <v>129</v>
      </c>
      <c r="E4" s="29" t="s">
        <v>130</v>
      </c>
      <c r="F4" s="31" t="s">
        <v>131</v>
      </c>
      <c r="G4" s="29" t="s">
        <v>132</v>
      </c>
    </row>
    <row r="5" spans="1:7" x14ac:dyDescent="0.25">
      <c r="A5" s="32" t="s">
        <v>128</v>
      </c>
      <c r="B5" s="32" t="s">
        <v>12</v>
      </c>
      <c r="C5" s="33">
        <v>9</v>
      </c>
      <c r="D5" s="32" t="s">
        <v>129</v>
      </c>
      <c r="E5" s="32" t="s">
        <v>130</v>
      </c>
      <c r="F5" s="34" t="s">
        <v>131</v>
      </c>
      <c r="G5" s="32" t="s">
        <v>132</v>
      </c>
    </row>
    <row r="6" spans="1:7" x14ac:dyDescent="0.25">
      <c r="A6" s="29" t="s">
        <v>128</v>
      </c>
      <c r="B6" s="29" t="s">
        <v>14</v>
      </c>
      <c r="C6" s="30">
        <v>11</v>
      </c>
      <c r="D6" s="29" t="s">
        <v>129</v>
      </c>
      <c r="E6" s="29" t="s">
        <v>130</v>
      </c>
      <c r="F6" s="31" t="s">
        <v>131</v>
      </c>
      <c r="G6" s="29" t="s">
        <v>132</v>
      </c>
    </row>
    <row r="7" spans="1:7" x14ac:dyDescent="0.25">
      <c r="A7" s="32" t="s">
        <v>128</v>
      </c>
      <c r="B7" s="32" t="s">
        <v>16</v>
      </c>
      <c r="C7" s="33">
        <v>14</v>
      </c>
      <c r="D7" s="32" t="s">
        <v>129</v>
      </c>
      <c r="E7" s="32" t="s">
        <v>130</v>
      </c>
      <c r="F7" s="34" t="s">
        <v>131</v>
      </c>
      <c r="G7" s="32" t="s">
        <v>132</v>
      </c>
    </row>
    <row r="8" spans="1:7" x14ac:dyDescent="0.25">
      <c r="A8" s="29" t="s">
        <v>128</v>
      </c>
      <c r="B8" s="29" t="s">
        <v>20</v>
      </c>
      <c r="C8" s="30">
        <v>17</v>
      </c>
      <c r="D8" s="29" t="s">
        <v>129</v>
      </c>
      <c r="E8" s="29" t="s">
        <v>130</v>
      </c>
      <c r="F8" s="31" t="s">
        <v>131</v>
      </c>
      <c r="G8" s="29" t="s">
        <v>132</v>
      </c>
    </row>
    <row r="9" spans="1:7" x14ac:dyDescent="0.25">
      <c r="A9" s="32" t="s">
        <v>128</v>
      </c>
      <c r="B9" s="32" t="s">
        <v>24</v>
      </c>
      <c r="C9" s="33">
        <v>20</v>
      </c>
      <c r="D9" s="32" t="s">
        <v>129</v>
      </c>
      <c r="E9" s="32" t="s">
        <v>130</v>
      </c>
      <c r="F9" s="34" t="s">
        <v>131</v>
      </c>
      <c r="G9" s="32" t="s">
        <v>132</v>
      </c>
    </row>
    <row r="10" spans="1:7" x14ac:dyDescent="0.25">
      <c r="A10" s="29" t="s">
        <v>133</v>
      </c>
      <c r="B10" s="29" t="s">
        <v>129</v>
      </c>
      <c r="C10" s="30">
        <v>9.45</v>
      </c>
      <c r="D10" s="29" t="s">
        <v>134</v>
      </c>
      <c r="E10" s="29" t="s">
        <v>135</v>
      </c>
      <c r="F10" s="31" t="s">
        <v>136</v>
      </c>
      <c r="G10" s="29" t="s">
        <v>132</v>
      </c>
    </row>
    <row r="11" spans="1:7" x14ac:dyDescent="0.25">
      <c r="A11" s="35" t="s">
        <v>137</v>
      </c>
      <c r="B11" s="36"/>
      <c r="C11" s="36"/>
      <c r="D11" s="36" t="s">
        <v>138</v>
      </c>
      <c r="E11" s="36" t="s">
        <v>135</v>
      </c>
      <c r="F11" s="37" t="s">
        <v>139</v>
      </c>
      <c r="G11" s="36" t="s">
        <v>132</v>
      </c>
    </row>
    <row r="12" spans="2:5" x14ac:dyDescent="0.25">
      <c r="B12" s="38" t="s">
        <v>140</v>
      </c>
      <c r="C12" s="38" t="s">
        <v>141</v>
      </c>
      <c r="D12" s="38" t="s">
        <v>142</v>
      </c>
      <c r="E12" s="38" t="s">
        <v>143</v>
      </c>
    </row>
    <row r="13" spans="2:5" x14ac:dyDescent="0.25">
      <c r="B13" s="39">
        <v>0</v>
      </c>
      <c r="C13" s="40">
        <v>12208</v>
      </c>
      <c r="D13" s="41">
        <v>0</v>
      </c>
      <c r="E13" s="39">
        <v>0</v>
      </c>
    </row>
    <row r="14" spans="2:5" x14ac:dyDescent="0.25">
      <c r="B14" s="39">
        <v>12208</v>
      </c>
      <c r="C14" s="40">
        <v>15549</v>
      </c>
      <c r="D14" s="41">
        <v>5</v>
      </c>
      <c r="E14" s="39">
        <v>0</v>
      </c>
    </row>
    <row r="15" spans="2:5" x14ac:dyDescent="0.25">
      <c r="B15" s="39">
        <v>15549</v>
      </c>
      <c r="C15" s="40">
        <v>20188</v>
      </c>
      <c r="D15" s="41">
        <v>10</v>
      </c>
      <c r="E15" s="39">
        <v>167</v>
      </c>
    </row>
    <row r="16" spans="2:5" x14ac:dyDescent="0.25">
      <c r="B16" s="39">
        <v>20188</v>
      </c>
      <c r="C16" s="40">
        <v>26700</v>
      </c>
      <c r="D16" s="41">
        <v>12</v>
      </c>
      <c r="E16" s="39">
        <v>631</v>
      </c>
    </row>
    <row r="17" spans="2:5" x14ac:dyDescent="0.25">
      <c r="B17" s="39">
        <v>26700</v>
      </c>
      <c r="C17" s="40">
        <v>35136</v>
      </c>
      <c r="D17" s="41">
        <v>15</v>
      </c>
      <c r="E17" s="39">
        <v>1412</v>
      </c>
    </row>
    <row r="18" spans="2:5" x14ac:dyDescent="0.25">
      <c r="B18" s="39">
        <v>35136</v>
      </c>
      <c r="C18" s="40">
        <v>46575</v>
      </c>
      <c r="D18" s="41">
        <v>20</v>
      </c>
      <c r="E18" s="39">
        <v>2678</v>
      </c>
    </row>
    <row r="19" spans="2:5" x14ac:dyDescent="0.25">
      <c r="B19" s="39">
        <v>46575</v>
      </c>
      <c r="C19" s="40">
        <v>62005</v>
      </c>
      <c r="D19" s="41">
        <v>25</v>
      </c>
      <c r="E19" s="39">
        <v>4965</v>
      </c>
    </row>
    <row r="20" spans="2:5" x14ac:dyDescent="0.25">
      <c r="B20" s="39">
        <v>62005</v>
      </c>
      <c r="C20" s="40">
        <v>82679</v>
      </c>
      <c r="D20" s="41">
        <v>30</v>
      </c>
      <c r="E20" s="39">
        <v>8823</v>
      </c>
    </row>
    <row r="21" spans="2:5" x14ac:dyDescent="0.25">
      <c r="B21" s="39">
        <v>82679</v>
      </c>
      <c r="C21" s="40">
        <v>109956</v>
      </c>
      <c r="D21" s="41">
        <v>35</v>
      </c>
      <c r="E21" s="39">
        <v>15025</v>
      </c>
    </row>
    <row r="22" spans="2:5" x14ac:dyDescent="0.25">
      <c r="B22" s="39">
        <v>109956</v>
      </c>
      <c r="C22" s="40">
        <v>1000000000000000</v>
      </c>
      <c r="D22" s="41">
        <v>37</v>
      </c>
      <c r="E22" s="39">
        <v>24572</v>
      </c>
    </row>
    <row r="24" spans="1:7" x14ac:dyDescent="0.25">
      <c r="A24" s="32" t="s">
        <v>144</v>
      </c>
      <c r="B24" s="32" t="s">
        <v>129</v>
      </c>
      <c r="C24" s="33">
        <v>100</v>
      </c>
      <c r="D24" s="32" t="s">
        <v>129</v>
      </c>
      <c r="E24" s="32" t="s">
        <v>145</v>
      </c>
      <c r="F24" s="34" t="s">
        <v>146</v>
      </c>
      <c r="G24" s="32" t="s">
        <v>132</v>
      </c>
    </row>
    <row r="25" spans="1:7" x14ac:dyDescent="0.25">
      <c r="A25" s="29" t="s">
        <v>147</v>
      </c>
      <c r="B25" s="29" t="s">
        <v>129</v>
      </c>
      <c r="C25" s="42">
        <v>821.8</v>
      </c>
      <c r="D25" s="29" t="s">
        <v>138</v>
      </c>
      <c r="E25" s="29" t="s">
        <v>135</v>
      </c>
      <c r="F25" s="31" t="s">
        <v>148</v>
      </c>
      <c r="G25" s="29" t="s">
        <v>132</v>
      </c>
    </row>
    <row r="26" spans="1:7" x14ac:dyDescent="0.25">
      <c r="A26" s="32" t="s">
        <v>149</v>
      </c>
      <c r="B26" s="32" t="s">
        <v>129</v>
      </c>
      <c r="C26" s="33">
        <v>18</v>
      </c>
      <c r="D26" s="32" t="s">
        <v>134</v>
      </c>
      <c r="E26" s="32" t="s">
        <v>130</v>
      </c>
      <c r="F26" s="34" t="s">
        <v>146</v>
      </c>
      <c r="G26" s="32" t="s">
        <v>132</v>
      </c>
    </row>
    <row r="27" spans="1:7" x14ac:dyDescent="0.25">
      <c r="A27" s="29" t="s">
        <v>150</v>
      </c>
      <c r="B27" s="29" t="s">
        <v>129</v>
      </c>
      <c r="C27" s="42">
        <v>482</v>
      </c>
      <c r="D27" s="29" t="s">
        <v>138</v>
      </c>
      <c r="E27" s="29" t="s">
        <v>135</v>
      </c>
      <c r="F27" s="31" t="s">
        <v>151</v>
      </c>
      <c r="G27" s="29" t="s">
        <v>132</v>
      </c>
    </row>
    <row r="28" spans="1:7" x14ac:dyDescent="0.25">
      <c r="A28" s="32" t="s">
        <v>152</v>
      </c>
      <c r="B28" s="32" t="s">
        <v>46</v>
      </c>
      <c r="C28" s="33">
        <v>3</v>
      </c>
      <c r="D28" s="32" t="s">
        <v>129</v>
      </c>
      <c r="E28" s="32" t="s">
        <v>153</v>
      </c>
      <c r="F28" s="34" t="s">
        <v>154</v>
      </c>
      <c r="G28" s="32" t="s">
        <v>132</v>
      </c>
    </row>
    <row r="29" spans="1:7" x14ac:dyDescent="0.25">
      <c r="A29" s="29" t="s">
        <v>152</v>
      </c>
      <c r="B29" s="29" t="s">
        <v>47</v>
      </c>
      <c r="C29" s="30">
        <v>8</v>
      </c>
      <c r="D29" s="29" t="s">
        <v>129</v>
      </c>
      <c r="E29" s="29" t="s">
        <v>153</v>
      </c>
      <c r="F29" s="31" t="s">
        <v>154</v>
      </c>
      <c r="G29" s="29" t="s">
        <v>132</v>
      </c>
    </row>
    <row r="30" spans="1:7" x14ac:dyDescent="0.25">
      <c r="A30" s="32" t="s">
        <v>155</v>
      </c>
      <c r="B30" s="32" t="s">
        <v>129</v>
      </c>
      <c r="C30" s="33">
        <v>25</v>
      </c>
      <c r="D30" s="32" t="s">
        <v>134</v>
      </c>
      <c r="E30" s="32" t="s">
        <v>156</v>
      </c>
      <c r="F30" s="34" t="s">
        <v>157</v>
      </c>
      <c r="G30" s="32" t="s">
        <v>132</v>
      </c>
    </row>
    <row r="31" spans="1:7" x14ac:dyDescent="0.25">
      <c r="A31" s="29" t="s">
        <v>158</v>
      </c>
      <c r="B31" s="29" t="s">
        <v>129</v>
      </c>
      <c r="C31" s="30">
        <v>3</v>
      </c>
      <c r="D31" s="29" t="s">
        <v>159</v>
      </c>
      <c r="E31" s="29" t="s">
        <v>160</v>
      </c>
      <c r="F31" s="31" t="s">
        <v>157</v>
      </c>
      <c r="G31" s="29" t="s">
        <v>132</v>
      </c>
    </row>
    <row r="32" spans="1:7" x14ac:dyDescent="0.25">
      <c r="A32" s="32" t="s">
        <v>161</v>
      </c>
      <c r="B32" s="32" t="s">
        <v>129</v>
      </c>
      <c r="C32" s="33">
        <v>3</v>
      </c>
      <c r="D32" s="32" t="s">
        <v>162</v>
      </c>
      <c r="E32" s="32" t="s">
        <v>160</v>
      </c>
      <c r="F32" s="34" t="s">
        <v>157</v>
      </c>
      <c r="G32" s="32" t="s">
        <v>132</v>
      </c>
    </row>
    <row r="33" spans="1:7" x14ac:dyDescent="0.25">
      <c r="A33" s="29" t="s">
        <v>163</v>
      </c>
      <c r="B33" s="29" t="s">
        <v>129</v>
      </c>
      <c r="C33" s="30">
        <v>25</v>
      </c>
      <c r="D33" s="29" t="s">
        <v>162</v>
      </c>
      <c r="E33" s="29" t="s">
        <v>160</v>
      </c>
      <c r="F33" s="31" t="s">
        <v>157</v>
      </c>
      <c r="G33" s="29" t="s">
        <v>132</v>
      </c>
    </row>
    <row r="34" spans="1:7" x14ac:dyDescent="0.25">
      <c r="A34" s="32" t="s">
        <v>164</v>
      </c>
      <c r="B34" s="32" t="s">
        <v>129</v>
      </c>
      <c r="C34" s="33">
        <v>15</v>
      </c>
      <c r="D34" s="32" t="s">
        <v>165</v>
      </c>
      <c r="E34" s="32" t="s">
        <v>160</v>
      </c>
      <c r="F34" s="34" t="s">
        <v>157</v>
      </c>
      <c r="G34" s="32" t="s">
        <v>132</v>
      </c>
    </row>
    <row r="35" spans="1:7" x14ac:dyDescent="0.25">
      <c r="A35" s="29" t="s">
        <v>166</v>
      </c>
      <c r="B35" s="29" t="s">
        <v>129</v>
      </c>
      <c r="C35" s="30">
        <v>5</v>
      </c>
      <c r="D35" s="29" t="s">
        <v>159</v>
      </c>
      <c r="E35" s="29" t="s">
        <v>160</v>
      </c>
      <c r="F35" s="31" t="s">
        <v>157</v>
      </c>
      <c r="G35" s="29" t="s">
        <v>132</v>
      </c>
    </row>
    <row r="36" spans="1:7" x14ac:dyDescent="0.25">
      <c r="A36" s="32" t="s">
        <v>167</v>
      </c>
      <c r="B36" s="32" t="s">
        <v>129</v>
      </c>
      <c r="C36" s="33">
        <v>15</v>
      </c>
      <c r="D36" s="32" t="s">
        <v>165</v>
      </c>
      <c r="E36" s="32" t="s">
        <v>160</v>
      </c>
      <c r="F36" s="34" t="s">
        <v>157</v>
      </c>
      <c r="G36" s="32" t="s">
        <v>132</v>
      </c>
    </row>
  </sheetData>
  <mergeCells count="2">
    <mergeCell ref="A1:G1"/>
    <mergeCell ref="A2:G2"/>
  </mergeCells>
  <hyperlinks>
    <hyperlink ref="F4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24" r:id="rId9"/>
    <hyperlink ref="F25" r:id="rId10"/>
    <hyperlink ref="F26" r:id="rId11"/>
    <hyperlink ref="F27" r:id="rId12"/>
    <hyperlink ref="F28" r:id="rId13"/>
    <hyperlink ref="F29" r:id="rId14"/>
    <hyperlink ref="F30" r:id="rId15"/>
    <hyperlink ref="F31" r:id="rId16"/>
    <hyperlink ref="F32" r:id="rId17"/>
    <hyperlink ref="F33" r:id="rId18"/>
    <hyperlink ref="F34" r:id="rId19"/>
    <hyperlink ref="F35" r:id="rId20"/>
    <hyperlink ref="F36" r:id="rId2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Sueldo neto</vt:lpstr>
      <vt:lpstr>Décimos</vt:lpstr>
      <vt:lpstr>Liquidación</vt:lpstr>
      <vt:lpstr>Tablas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CalcularYa (calcularya.com)</dc:creator>
  <dc:title>Planilla de sueldo y liquidación Ecuador 2026</dc:title>
  <dc:subject/>
  <dc:description/>
  <cp:keywords/>
  <cp:category/>
  <cp:lastModifiedBy>Unknown</cp:lastModifiedBy>
  <dcterms:created xsi:type="dcterms:W3CDTF">2026-10-20T12:00:00Z</dcterms:created>
  <dcterms:modified xsi:type="dcterms:W3CDTF">2026-10-20T12:00:00Z</dcterms:modified>
</cp:coreProperties>
</file>