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<sst xmlns="http://schemas.openxmlformats.org/spreadsheetml/2006/main" count="270" uniqueCount="168">
  <si>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</si>
  <si>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</si>
  <si>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</si>
  <si>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</si>
  <si>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</si>
  <si>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</si>
  <si>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</si>
  <si>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</si>
  <si>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</si>
  <si>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</si>
  <si>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</si>
  <si>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Paso a paso</t>
  </si>
  <si>
    <t>TUS DATOS</t>
  </si>
  <si>
    <t>Sueldo mensual</t>
  </si>
  <si>
    <t>Tu remuneración del mes: sueldo, horas extra y comisiones.</t>
  </si>
  <si>
    <t>Aporte e impuesto a la renta</t>
  </si>
  <si>
    <t>Cobras los décimos cada mes</t>
  </si>
  <si>
    <t>Sí</t>
  </si>
  <si>
    <t>Aporte personal al IESS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</si>
  <si>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</si>
  <si>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</si>
  <si>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</si>
  <si>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</si>
  <si>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Sin 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</si>
  <si>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</si>
  <si>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</si>
  <si>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</si>
  <si>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</si>
  <si>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</si>
  <si>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</si>
  <si>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</si>
  <si>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</si>
  <si>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</si>
  <si>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</si>
  <si>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</si>
  <si>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</si>
  <si>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</si>
  <si>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</si>
  <si>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</si>
  <si>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</si>
  <si>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</si>
  <si>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</si>
  <si>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</si>
  <si>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</si>
  <si>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</si>
  <si>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</si>
  <si>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</si>
  <si>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</si>
  <si>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</si>
  <si>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</si>
  <si>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</si>
  <si>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</si>
  <si>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</si>
  <si>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</si>
  <si>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</si>
  <si>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</si>
  <si>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</si>
  <si>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</si>
  <si>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</si>
  <si>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</si>
  <si>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</si>
  <si>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Sierra y Amazonía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</si>
  <si>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</si>
  <si>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</si>
  <si>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</si>
  <si>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</si>
  <si>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</si>
  <si>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</si>
  <si>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</si>
  <si>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</si>
  <si>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</si>
  <si>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</si>
  <si>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</si>
  <si>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</si>
  <si>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</si>
  <si>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</si>
  <si>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</si>
  <si>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</si>
  <si>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</si>
  <si>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</si>
  <si>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</si>
  <si>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</si>
  <si>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</si>
  <si>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</si>
  <si>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</si>
  <si>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</si>
  <si>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</si>
  <si>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</si>
  <si>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</si>
  <si>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</si>
  <si>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</si>
  <si>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</si>
  <si>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</si>
  <si>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</si>
  <si>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</si>
  <si>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</si>
  <si>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</si>
  <si>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</si>
  <si>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</si>
  <si>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</si>
  <si>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</si>
  <si>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</si>
  <si>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</si>
  <si>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</si>
  <si>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</si>
  <si>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</si>
  <si>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</si>
  <si>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</si>
  <si>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</si>
  <si>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</si>
  <si>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</si>
  <si>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</si>
  <si>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</si>
  <si>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</si>
  <si>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</si>
  <si>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</si>
  <si>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</si>
  <si>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</si>
  <si>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</si>
  <si>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</si>
  <si>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</si>
  <si>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</si>
  <si>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</si>
  <si>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</si>
  <si>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</si>
  <si>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</si>
  <si>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</si>
  <si>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1 carga familiar</t>
  </si>
  <si>
    <t>2 cargas familiares</t>
  </si>
  <si>
    <t>3 cargas familiares</t>
  </si>
  <si>
    <t>4 cargas familiares</t>
  </si>
  <si>
    <t>5 o más cargas familiares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</si>
  <si>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</si>
  <si>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</si>
  <si>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</si>
  <si>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</si>
  <si>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</si>
  <si>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</si>
  <si>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</si>
  <si>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</si>
  <si>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</si>
  <si>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</si>
  <si>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</si>
  <si>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</si>
  <si>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</si>
  <si>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</si>
  <si>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</si>
  <si>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</si>
  <si>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</si>
  <si>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</si>
  <si>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</si>
  <si>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</si>
  <si>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Costa y Galápagos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</si>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</sst>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1500</v>
      </c>
      <c r="C5" s="9" t="s">
        <v>14</v>
      </c>
      <c r="E5" s="10" t="s">
        <v>15</v>
      </c>
    </row>
    <row r="6" spans="1:6" x14ac:dyDescent="0.25">
      <c r="A6" s="7" t="s">
        <v>16</v>
      </c>
      <c r="B6" s="11" t="s">
        <v>17</v>
      </c>
      <c r="E6" s="12" t="s">
        <v>18</v>
      </c>
      <c r="F6" s="13">
        <f>ROUND(B5*'Tablas oficiales'!$C$10/100,2)</f>
      </c>
    </row>
    <row r="7" ht="30" customHeight="1" spans="1:6" x14ac:dyDescent="0.25">
      <c r="A7" s="7" t="s">
        <v>19</v>
      </c>
      <c r="B7" s="8">
        <v>0</v>
      </c>
      <c r="C7" s="9" t="s">
        <v>20</v>
      </c>
      <c r="E7" s="12" t="s">
        <v>21</v>
      </c>
      <c r="F7" s="13">
        <f>ROUND((B5-F6)*12,2)</f>
      </c>
    </row>
    <row r="8" spans="1:6" x14ac:dyDescent="0.25">
      <c r="A8" s="7" t="s">
        <v>22</v>
      </c>
      <c r="B8" s="11" t="s">
        <v>23</v>
      </c>
      <c r="E8" s="12" t="s">
        <v>24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25</v>
      </c>
      <c r="B9" s="11" t="s">
        <v>26</v>
      </c>
      <c r="C9" s="9" t="s">
        <v>27</v>
      </c>
      <c r="E9" s="12" t="s">
        <v>28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29</v>
      </c>
      <c r="F10" s="13">
        <f>ROUND('Tablas oficiales'!$C$25*F9,2)</f>
      </c>
    </row>
    <row r="11" spans="1:6" x14ac:dyDescent="0.25">
      <c r="A11" s="6" t="s">
        <v>30</v>
      </c>
      <c r="B11" s="6"/>
      <c r="C11" s="6"/>
      <c r="E11" s="12" t="s">
        <v>31</v>
      </c>
      <c r="F11" s="13">
        <f>MIN(ROUND(MIN(B7,F10)*'Tablas oficiales'!$C$26/100,2),F8)</f>
      </c>
    </row>
    <row r="12" spans="1:6" x14ac:dyDescent="0.25">
      <c r="A12" s="15" t="s">
        <v>32</v>
      </c>
      <c r="B12" s="16">
        <f>B5</f>
      </c>
      <c r="E12" s="12" t="s">
        <v>33</v>
      </c>
      <c r="F12" s="13">
        <f>ROUND(F8-F11,2)</f>
      </c>
    </row>
    <row r="13" spans="1:6" x14ac:dyDescent="0.25">
      <c r="A13" s="15" t="s">
        <v>18</v>
      </c>
      <c r="B13" s="16">
        <f>F6</f>
      </c>
      <c r="E13" s="12" t="s">
        <v>34</v>
      </c>
      <c r="F13" s="13">
        <f>ROUND(F12/11,2)</f>
      </c>
    </row>
    <row r="14" spans="1:6" x14ac:dyDescent="0.25">
      <c r="A14" s="15" t="s">
        <v>35</v>
      </c>
      <c r="B14" s="16">
        <f>F13</f>
      </c>
      <c r="E14" s="12" t="s">
        <v>36</v>
      </c>
      <c r="F14" s="13">
        <f>IF(B6="Sí",ROUND(B5/12,2),0)</f>
      </c>
    </row>
    <row r="15" spans="1:6" x14ac:dyDescent="0.25">
      <c r="A15" s="15" t="s">
        <v>33</v>
      </c>
      <c r="B15" s="16">
        <f>F12</f>
      </c>
      <c r="E15" s="12" t="s">
        <v>37</v>
      </c>
      <c r="F15" s="13">
        <f>IF(B6="Sí",ROUND('Tablas oficiales'!$C$27/12,2),0)</f>
      </c>
    </row>
    <row r="16" spans="1:2" x14ac:dyDescent="0.25">
      <c r="A16" s="15" t="s">
        <v>36</v>
      </c>
      <c r="B16" s="16">
        <f>F14</f>
      </c>
    </row>
    <row r="17" spans="1:2" x14ac:dyDescent="0.25">
      <c r="A17" s="15" t="s">
        <v>37</v>
      </c>
      <c r="B17" s="16">
        <f>F15</f>
      </c>
    </row>
    <row r="18" spans="1:2" x14ac:dyDescent="0.25">
      <c r="A18" s="17" t="s">
        <v>38</v>
      </c>
      <c r="B18" s="18">
        <f>ROUND(B5-F6-F13+F14+F15,2)</f>
      </c>
    </row>
    <row r="20" ht="36" customHeight="1" spans="1:3" x14ac:dyDescent="0.25">
      <c r="A20" s="4" t="s">
        <v>39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'Tablas oficiales'!$B$4:$B$9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41</v>
      </c>
      <c r="B4" s="6"/>
      <c r="C4" s="6"/>
      <c r="E4" s="12" t="s">
        <v>42</v>
      </c>
      <c r="F4" s="13">
        <f>B5*B6+B7</f>
      </c>
    </row>
    <row r="5" spans="1:3" x14ac:dyDescent="0.25">
      <c r="A5" s="7" t="s">
        <v>13</v>
      </c>
      <c r="B5" s="8">
        <v>1000</v>
      </c>
      <c r="C5" s="9" t="s">
        <v>43</v>
      </c>
    </row>
    <row r="6" spans="1:5" x14ac:dyDescent="0.25">
      <c r="A6" s="7" t="s">
        <v>44</v>
      </c>
      <c r="B6" s="19">
        <v>12</v>
      </c>
      <c r="C6" s="9" t="s">
        <v>45</v>
      </c>
      <c r="E6" s="10" t="s">
        <v>46</v>
      </c>
    </row>
    <row r="7" spans="1:6" x14ac:dyDescent="0.25">
      <c r="A7" s="7" t="s">
        <v>47</v>
      </c>
      <c r="B7" s="8">
        <v>0</v>
      </c>
      <c r="C7" s="9" t="s">
        <v>48</v>
      </c>
      <c r="E7" s="12" t="s">
        <v>49</v>
      </c>
      <c r="F7" s="20">
        <f>INDEX('Tablas oficiales'!$C$28:$C$29,MATCH(B15,'Tablas oficiales'!$B$28:$B$29,0))</f>
      </c>
    </row>
    <row r="8" spans="1:6" x14ac:dyDescent="0.25">
      <c r="A8" s="15" t="s">
        <v>42</v>
      </c>
      <c r="B8" s="16">
        <f>ROUND(F4,2)</f>
      </c>
      <c r="E8" s="12" t="s">
        <v>50</v>
      </c>
      <c r="F8" s="21">
        <f>IF(NOT(ISNUMBER(B17)),B18,B17)</f>
      </c>
    </row>
    <row r="9" spans="1:6" x14ac:dyDescent="0.25">
      <c r="A9" s="15" t="s">
        <v>36</v>
      </c>
      <c r="B9" s="16">
        <f>ROUND(B5/12,2)</f>
      </c>
      <c r="E9" s="12" t="s">
        <v>51</v>
      </c>
      <c r="F9" s="21">
        <f>DATE(IF(MONTH(F8)&gt;=F7,YEAR(F8),YEAR(F8)-1),F7,1)</f>
      </c>
    </row>
    <row r="10" spans="1:6" x14ac:dyDescent="0.25">
      <c r="A10" s="17" t="s">
        <v>52</v>
      </c>
      <c r="B10" s="18">
        <f>ROUND(F4/12,2)</f>
      </c>
      <c r="E10" s="12" t="s">
        <v>53</v>
      </c>
      <c r="F10" s="21">
        <f>IF(AND(NOT(ISNUMBER(B17)),B18&lt;=DATE(YEAR(F9),F7,15)),EDATE(F9,-12),F9)</f>
      </c>
    </row>
    <row r="11" spans="5:6" x14ac:dyDescent="0.25">
      <c r="E11" s="12" t="s">
        <v>54</v>
      </c>
      <c r="F11" s="21">
        <f>EDATE(F10,12)-1</f>
      </c>
    </row>
    <row r="12" ht="21" customHeight="1" spans="1:6" x14ac:dyDescent="0.25">
      <c r="A12" s="4" t="s">
        <v>55</v>
      </c>
      <c r="B12" s="4"/>
      <c r="C12" s="4"/>
      <c r="E12" s="12" t="s">
        <v>56</v>
      </c>
      <c r="F12" s="21">
        <f>IF(NOT(ISNUMBER(B17)),F11,F8)</f>
      </c>
    </row>
    <row r="13" spans="5:6" x14ac:dyDescent="0.25">
      <c r="E13" s="12" t="s">
        <v>57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58</v>
      </c>
      <c r="B14" s="6"/>
      <c r="C14" s="6"/>
      <c r="E14" s="12" t="s">
        <v>59</v>
      </c>
      <c r="F14" s="21">
        <f>EDATE(MAX(B16,F10),12*F13)</f>
      </c>
    </row>
    <row r="15" spans="1:6" x14ac:dyDescent="0.25">
      <c r="A15" s="7" t="s">
        <v>60</v>
      </c>
      <c r="B15" s="11" t="s">
        <v>61</v>
      </c>
      <c r="E15" s="12" t="s">
        <v>62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63</v>
      </c>
      <c r="B16" s="22">
        <v>45672</v>
      </c>
      <c r="E16" s="12" t="s">
        <v>64</v>
      </c>
      <c r="F16" s="20">
        <f>(F12+1)-EDATE(F14,F15)</f>
      </c>
    </row>
    <row r="17" spans="1:6" x14ac:dyDescent="0.25">
      <c r="A17" s="7" t="s">
        <v>65</v>
      </c>
      <c r="B17" s="22"/>
      <c r="C17" s="9" t="s">
        <v>66</v>
      </c>
      <c r="E17" s="12" t="s">
        <v>67</v>
      </c>
      <c r="F17" s="14">
        <f>MIN(12,F13*12+F15+F16/30)</f>
      </c>
    </row>
    <row r="18" spans="1:3" x14ac:dyDescent="0.25">
      <c r="A18" s="7" t="s">
        <v>68</v>
      </c>
      <c r="B18" s="22">
        <f>TODAY()</f>
      </c>
      <c r="C18" s="9" t="s">
        <v>69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70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71</v>
      </c>
      <c r="B21" s="25">
        <f>ROUND(F17,2)</f>
      </c>
    </row>
    <row r="22" spans="1:2" x14ac:dyDescent="0.25">
      <c r="A22" s="15" t="s">
        <v>37</v>
      </c>
      <c r="B22" s="16">
        <f>ROUND('Tablas oficiales'!$C$27/12,2)</f>
      </c>
    </row>
    <row r="23" spans="1:2" x14ac:dyDescent="0.25">
      <c r="A23" s="17" t="s">
        <v>46</v>
      </c>
      <c r="B23" s="18">
        <f>ROUND('Tablas oficiales'!$C$27*F17/12,2)</f>
      </c>
    </row>
    <row r="25" ht="36" customHeight="1" spans="1:3" x14ac:dyDescent="0.25">
      <c r="A25" s="4" t="s">
        <v>72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." sqref="B15">
      <formula1>'Tablas oficiales'!$B$28:$B$29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2" t="s">
        <v>74</v>
      </c>
      <c r="F4" s="20">
        <f>IF(EDATE(B5,12*(YEAR((B6+1))-YEAR(B5)))&gt;(B6+1),(YEAR((B6+1))-YEAR(B5))-1,(YEAR((B6+1))-YEAR(B5)))</f>
      </c>
    </row>
    <row r="5" spans="1:6" x14ac:dyDescent="0.25">
      <c r="A5" s="7" t="s">
        <v>63</v>
      </c>
      <c r="B5" s="22">
        <v>44621</v>
      </c>
      <c r="E5" s="12" t="s">
        <v>75</v>
      </c>
      <c r="F5" s="21">
        <f>EDATE(B5,12*F4)</f>
      </c>
    </row>
    <row r="6" spans="1:6" x14ac:dyDescent="0.25">
      <c r="A6" s="7" t="s">
        <v>76</v>
      </c>
      <c r="B6" s="22">
        <v>46310</v>
      </c>
      <c r="E6" s="12" t="s">
        <v>77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78</v>
      </c>
      <c r="B7" s="8">
        <v>900</v>
      </c>
      <c r="C7" s="9" t="s">
        <v>79</v>
      </c>
      <c r="E7" s="12" t="s">
        <v>80</v>
      </c>
      <c r="F7" s="20">
        <f>(B6+1)-EDATE(F5,F6)</f>
      </c>
    </row>
    <row r="8" spans="1:2" x14ac:dyDescent="0.25">
      <c r="A8" s="7" t="s">
        <v>81</v>
      </c>
      <c r="B8" s="11" t="s">
        <v>82</v>
      </c>
    </row>
    <row r="9" spans="1:5" x14ac:dyDescent="0.25">
      <c r="A9" s="7" t="s">
        <v>83</v>
      </c>
      <c r="B9" s="11" t="s">
        <v>61</v>
      </c>
      <c r="E9" s="10" t="s">
        <v>84</v>
      </c>
    </row>
    <row r="10" spans="1:6" x14ac:dyDescent="0.25">
      <c r="A10" s="7" t="s">
        <v>85</v>
      </c>
      <c r="B10" s="11" t="s">
        <v>17</v>
      </c>
      <c r="E10" s="12" t="s">
        <v>86</v>
      </c>
      <c r="F10" s="13">
        <f>IF(B8&lt;&gt;"Visto bueno pedido por el empleador",ROUND(B7*'Tablas oficiales'!$C$30/100*F4,2),0)</f>
      </c>
    </row>
    <row r="11" spans="1:6" x14ac:dyDescent="0.25">
      <c r="A11" s="7" t="s">
        <v>87</v>
      </c>
      <c r="B11" s="19">
        <v>0</v>
      </c>
      <c r="E11" s="12" t="s">
        <v>88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89</v>
      </c>
      <c r="F12" s="13">
        <f>ROUND(B7*F11,2)</f>
      </c>
    </row>
    <row r="13" spans="1:3" x14ac:dyDescent="0.25">
      <c r="A13" s="6" t="s">
        <v>90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91</v>
      </c>
    </row>
    <row r="15" spans="1:6" x14ac:dyDescent="0.25">
      <c r="A15" s="15" t="s">
        <v>92</v>
      </c>
      <c r="B15" s="24">
        <f>F4&amp;" años, "&amp;F6&amp;" meses y "&amp;F7&amp;" días"</f>
      </c>
      <c r="E15" s="12" t="s">
        <v>93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86</v>
      </c>
      <c r="B16" s="16">
        <f>F10</f>
      </c>
      <c r="E16" s="12" t="s">
        <v>94</v>
      </c>
      <c r="F16" s="21">
        <f>EDATE(MAX(B5,DATE(IF(MONTH(B6)&gt;=12,YEAR(B6),YEAR(B6)-1),12,1)),12*F15)</f>
      </c>
    </row>
    <row r="17" spans="1:6" x14ac:dyDescent="0.25">
      <c r="A17" s="15" t="s">
        <v>95</v>
      </c>
      <c r="B17" s="26">
        <f>F11</f>
      </c>
      <c r="E17" s="12" t="s">
        <v>96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97</v>
      </c>
      <c r="B18" s="16">
        <f>F12</f>
      </c>
      <c r="E18" s="12" t="s">
        <v>98</v>
      </c>
      <c r="F18" s="20">
        <f>(B6+1)-EDATE(F16,F17)</f>
      </c>
    </row>
    <row r="19" spans="1:6" x14ac:dyDescent="0.25">
      <c r="A19" s="15" t="s">
        <v>99</v>
      </c>
      <c r="B19" s="16">
        <f>F25</f>
      </c>
      <c r="E19" s="12" t="s">
        <v>100</v>
      </c>
      <c r="F19" s="14">
        <f>MIN(12,F15*12+F17+F18/30)</f>
      </c>
    </row>
    <row r="20" spans="1:6" x14ac:dyDescent="0.25">
      <c r="A20" s="15" t="s">
        <v>101</v>
      </c>
      <c r="B20" s="16">
        <f>F26</f>
      </c>
      <c r="E20" s="12" t="s">
        <v>102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103</v>
      </c>
      <c r="B21" s="16">
        <f>F31</f>
      </c>
      <c r="E21" s="12" t="s">
        <v>104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105</v>
      </c>
      <c r="B22" s="18">
        <f>ROUND(F10+F12+F25+F26+F31,2)</f>
      </c>
      <c r="E22" s="12" t="s">
        <v>106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107</v>
      </c>
      <c r="F23" s="20">
        <f>(B6+1)-EDATE(F21,F22)</f>
      </c>
    </row>
    <row r="24" ht="36" customHeight="1" spans="1:6" x14ac:dyDescent="0.25">
      <c r="A24" s="4" t="s">
        <v>108</v>
      </c>
      <c r="B24" s="4"/>
      <c r="C24" s="4"/>
      <c r="E24" s="12" t="s">
        <v>109</v>
      </c>
      <c r="F24" s="14">
        <f>MIN(12,F20*12+F22+F23/30)</f>
      </c>
    </row>
    <row r="25" spans="5:6" x14ac:dyDescent="0.25">
      <c r="E25" s="12" t="s">
        <v>99</v>
      </c>
      <c r="F25" s="13">
        <f>IF(B10="Sí",0,ROUND(B7*F19/12,2))</f>
      </c>
    </row>
    <row r="26" spans="5:6" x14ac:dyDescent="0.25">
      <c r="E26" s="12" t="s">
        <v>101</v>
      </c>
      <c r="F26" s="13">
        <f>IF(B10="Sí",0,ROUND('Tablas oficiales'!$C$27*F24/12,2))</f>
      </c>
    </row>
    <row r="28" spans="5:5" x14ac:dyDescent="0.25">
      <c r="E28" s="10" t="s">
        <v>110</v>
      </c>
    </row>
    <row r="29" spans="5:6" x14ac:dyDescent="0.25">
      <c r="E29" s="12" t="s">
        <v>111</v>
      </c>
      <c r="F29" s="20">
        <f>'Tablas oficiales'!$C$34+MIN(MAX(F4+1-'Tablas oficiales'!$C$35,0),'Tablas oficiales'!$C$36)</f>
      </c>
    </row>
    <row r="30" spans="5:6" x14ac:dyDescent="0.25">
      <c r="E30" s="12" t="s">
        <v>112</v>
      </c>
      <c r="F30" s="14">
        <f>F29*((F6+F7/30)/12)</f>
      </c>
    </row>
    <row r="31" spans="5:6" x14ac:dyDescent="0.25">
      <c r="E31" s="12" t="s">
        <v>110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." sqref="B9">
      <formula1>'Tablas oficiales'!$B$28:$B$29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113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114</v>
      </c>
      <c r="B2" s="4"/>
      <c r="C2" s="4"/>
      <c r="D2" s="4"/>
      <c r="E2" s="4"/>
      <c r="F2" s="4"/>
      <c r="G2" s="4"/>
    </row>
    <row r="3" spans="1:7" x14ac:dyDescent="0.25">
      <c r="A3" s="28" t="s">
        <v>115</v>
      </c>
      <c r="B3" s="28" t="s">
        <v>116</v>
      </c>
      <c r="C3" s="28" t="s">
        <v>117</v>
      </c>
      <c r="D3" s="28" t="s">
        <v>118</v>
      </c>
      <c r="E3" s="28" t="s">
        <v>119</v>
      </c>
      <c r="F3" s="28" t="s">
        <v>120</v>
      </c>
      <c r="G3" s="28" t="s">
        <v>121</v>
      </c>
    </row>
    <row r="4" spans="1:7" x14ac:dyDescent="0.25">
      <c r="A4" s="29" t="s">
        <v>122</v>
      </c>
      <c r="B4" s="29" t="s">
        <v>23</v>
      </c>
      <c r="C4" s="30">
        <v>7</v>
      </c>
      <c r="D4" s="29" t="s">
        <v>123</v>
      </c>
      <c r="E4" s="29" t="s">
        <v>124</v>
      </c>
      <c r="F4" s="31" t="s">
        <v>125</v>
      </c>
      <c r="G4" s="29" t="s">
        <v>126</v>
      </c>
    </row>
    <row r="5" spans="1:7" x14ac:dyDescent="0.25">
      <c r="A5" s="32" t="s">
        <v>122</v>
      </c>
      <c r="B5" s="32" t="s">
        <v>127</v>
      </c>
      <c r="C5" s="33">
        <v>9</v>
      </c>
      <c r="D5" s="32" t="s">
        <v>123</v>
      </c>
      <c r="E5" s="32" t="s">
        <v>124</v>
      </c>
      <c r="F5" s="34" t="s">
        <v>125</v>
      </c>
      <c r="G5" s="32" t="s">
        <v>126</v>
      </c>
    </row>
    <row r="6" spans="1:7" x14ac:dyDescent="0.25">
      <c r="A6" s="29" t="s">
        <v>122</v>
      </c>
      <c r="B6" s="29" t="s">
        <v>128</v>
      </c>
      <c r="C6" s="30">
        <v>11</v>
      </c>
      <c r="D6" s="29" t="s">
        <v>123</v>
      </c>
      <c r="E6" s="29" t="s">
        <v>124</v>
      </c>
      <c r="F6" s="31" t="s">
        <v>125</v>
      </c>
      <c r="G6" s="29" t="s">
        <v>126</v>
      </c>
    </row>
    <row r="7" spans="1:7" x14ac:dyDescent="0.25">
      <c r="A7" s="32" t="s">
        <v>122</v>
      </c>
      <c r="B7" s="32" t="s">
        <v>129</v>
      </c>
      <c r="C7" s="33">
        <v>14</v>
      </c>
      <c r="D7" s="32" t="s">
        <v>123</v>
      </c>
      <c r="E7" s="32" t="s">
        <v>124</v>
      </c>
      <c r="F7" s="34" t="s">
        <v>125</v>
      </c>
      <c r="G7" s="32" t="s">
        <v>126</v>
      </c>
    </row>
    <row r="8" spans="1:7" x14ac:dyDescent="0.25">
      <c r="A8" s="29" t="s">
        <v>122</v>
      </c>
      <c r="B8" s="29" t="s">
        <v>130</v>
      </c>
      <c r="C8" s="30">
        <v>17</v>
      </c>
      <c r="D8" s="29" t="s">
        <v>123</v>
      </c>
      <c r="E8" s="29" t="s">
        <v>124</v>
      </c>
      <c r="F8" s="31" t="s">
        <v>125</v>
      </c>
      <c r="G8" s="29" t="s">
        <v>126</v>
      </c>
    </row>
    <row r="9" spans="1:7" x14ac:dyDescent="0.25">
      <c r="A9" s="32" t="s">
        <v>122</v>
      </c>
      <c r="B9" s="32" t="s">
        <v>131</v>
      </c>
      <c r="C9" s="33">
        <v>20</v>
      </c>
      <c r="D9" s="32" t="s">
        <v>123</v>
      </c>
      <c r="E9" s="32" t="s">
        <v>124</v>
      </c>
      <c r="F9" s="34" t="s">
        <v>125</v>
      </c>
      <c r="G9" s="32" t="s">
        <v>126</v>
      </c>
    </row>
    <row r="10" spans="1:7" x14ac:dyDescent="0.25">
      <c r="A10" s="29" t="s">
        <v>132</v>
      </c>
      <c r="B10" s="29" t="s">
        <v>123</v>
      </c>
      <c r="C10" s="30">
        <v>9.45</v>
      </c>
      <c r="D10" s="29" t="s">
        <v>133</v>
      </c>
      <c r="E10" s="29" t="s">
        <v>134</v>
      </c>
      <c r="F10" s="31" t="s">
        <v>135</v>
      </c>
      <c r="G10" s="29" t="s">
        <v>126</v>
      </c>
    </row>
    <row r="11" spans="1:7" x14ac:dyDescent="0.25">
      <c r="A11" s="35" t="s">
        <v>136</v>
      </c>
      <c r="B11" s="36"/>
      <c r="C11" s="36"/>
      <c r="D11" s="36" t="s">
        <v>137</v>
      </c>
      <c r="E11" s="36" t="s">
        <v>134</v>
      </c>
      <c r="F11" s="37" t="s">
        <v>138</v>
      </c>
      <c r="G11" s="36" t="s">
        <v>126</v>
      </c>
    </row>
    <row r="12" spans="2:5" x14ac:dyDescent="0.25">
      <c r="B12" s="38" t="s">
        <v>139</v>
      </c>
      <c r="C12" s="38" t="s">
        <v>140</v>
      </c>
      <c r="D12" s="38" t="s">
        <v>141</v>
      </c>
      <c r="E12" s="38" t="s">
        <v>142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143</v>
      </c>
      <c r="B24" s="32" t="s">
        <v>123</v>
      </c>
      <c r="C24" s="33">
        <v>100</v>
      </c>
      <c r="D24" s="32" t="s">
        <v>123</v>
      </c>
      <c r="E24" s="32" t="s">
        <v>144</v>
      </c>
      <c r="F24" s="34" t="s">
        <v>145</v>
      </c>
      <c r="G24" s="32" t="s">
        <v>126</v>
      </c>
    </row>
    <row r="25" spans="1:7" x14ac:dyDescent="0.25">
      <c r="A25" s="29" t="s">
        <v>146</v>
      </c>
      <c r="B25" s="29" t="s">
        <v>123</v>
      </c>
      <c r="C25" s="42">
        <v>821.8</v>
      </c>
      <c r="D25" s="29" t="s">
        <v>137</v>
      </c>
      <c r="E25" s="29" t="s">
        <v>134</v>
      </c>
      <c r="F25" s="31" t="s">
        <v>147</v>
      </c>
      <c r="G25" s="29" t="s">
        <v>126</v>
      </c>
    </row>
    <row r="26" spans="1:7" x14ac:dyDescent="0.25">
      <c r="A26" s="32" t="s">
        <v>148</v>
      </c>
      <c r="B26" s="32" t="s">
        <v>123</v>
      </c>
      <c r="C26" s="33">
        <v>18</v>
      </c>
      <c r="D26" s="32" t="s">
        <v>133</v>
      </c>
      <c r="E26" s="32" t="s">
        <v>124</v>
      </c>
      <c r="F26" s="34" t="s">
        <v>145</v>
      </c>
      <c r="G26" s="32" t="s">
        <v>126</v>
      </c>
    </row>
    <row r="27" spans="1:7" x14ac:dyDescent="0.25">
      <c r="A27" s="29" t="s">
        <v>149</v>
      </c>
      <c r="B27" s="29" t="s">
        <v>123</v>
      </c>
      <c r="C27" s="42">
        <v>482</v>
      </c>
      <c r="D27" s="29" t="s">
        <v>137</v>
      </c>
      <c r="E27" s="29" t="s">
        <v>134</v>
      </c>
      <c r="F27" s="31" t="s">
        <v>150</v>
      </c>
      <c r="G27" s="29" t="s">
        <v>126</v>
      </c>
    </row>
    <row r="28" spans="1:7" x14ac:dyDescent="0.25">
      <c r="A28" s="32" t="s">
        <v>151</v>
      </c>
      <c r="B28" s="32" t="s">
        <v>152</v>
      </c>
      <c r="C28" s="33">
        <v>3</v>
      </c>
      <c r="D28" s="32" t="s">
        <v>123</v>
      </c>
      <c r="E28" s="32" t="s">
        <v>153</v>
      </c>
      <c r="F28" s="34" t="s">
        <v>154</v>
      </c>
      <c r="G28" s="32" t="s">
        <v>126</v>
      </c>
    </row>
    <row r="29" spans="1:7" x14ac:dyDescent="0.25">
      <c r="A29" s="29" t="s">
        <v>151</v>
      </c>
      <c r="B29" s="29" t="s">
        <v>61</v>
      </c>
      <c r="C29" s="30">
        <v>8</v>
      </c>
      <c r="D29" s="29" t="s">
        <v>123</v>
      </c>
      <c r="E29" s="29" t="s">
        <v>153</v>
      </c>
      <c r="F29" s="31" t="s">
        <v>154</v>
      </c>
      <c r="G29" s="29" t="s">
        <v>126</v>
      </c>
    </row>
    <row r="30" spans="1:7" x14ac:dyDescent="0.25">
      <c r="A30" s="32" t="s">
        <v>155</v>
      </c>
      <c r="B30" s="32" t="s">
        <v>123</v>
      </c>
      <c r="C30" s="33">
        <v>25</v>
      </c>
      <c r="D30" s="32" t="s">
        <v>133</v>
      </c>
      <c r="E30" s="32" t="s">
        <v>156</v>
      </c>
      <c r="F30" s="34" t="s">
        <v>157</v>
      </c>
      <c r="G30" s="32" t="s">
        <v>126</v>
      </c>
    </row>
    <row r="31" spans="1:7" x14ac:dyDescent="0.25">
      <c r="A31" s="29" t="s">
        <v>158</v>
      </c>
      <c r="B31" s="29" t="s">
        <v>123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126</v>
      </c>
    </row>
    <row r="32" spans="1:7" x14ac:dyDescent="0.25">
      <c r="A32" s="32" t="s">
        <v>161</v>
      </c>
      <c r="B32" s="32" t="s">
        <v>123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126</v>
      </c>
    </row>
    <row r="33" spans="1:7" x14ac:dyDescent="0.25">
      <c r="A33" s="29" t="s">
        <v>163</v>
      </c>
      <c r="B33" s="29" t="s">
        <v>123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126</v>
      </c>
    </row>
    <row r="34" spans="1:7" x14ac:dyDescent="0.25">
      <c r="A34" s="32" t="s">
        <v>164</v>
      </c>
      <c r="B34" s="32" t="s">
        <v>123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126</v>
      </c>
    </row>
    <row r="35" spans="1:7" x14ac:dyDescent="0.25">
      <c r="A35" s="29" t="s">
        <v>166</v>
      </c>
      <c r="B35" s="29" t="s">
        <v>123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126</v>
      </c>
    </row>
    <row r="36" spans="1:7" x14ac:dyDescent="0.25">
      <c r="A36" s="32" t="s">
        <v>167</v>
      </c>
      <c r="B36" s="32" t="s">
        <v>123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126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