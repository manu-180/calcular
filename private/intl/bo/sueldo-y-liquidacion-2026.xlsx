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ueldo líquido" state="visible" r:id="rId5"/>
    <sheet sheetId="3" name="Aguinaldo" state="visible" r:id="rId6"/>
    <sheet sheetId="4" name="Finiquito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<sst xmlns="http://schemas.openxmlformats.org/spreadsheetml/2006/main" count="244" uniqueCount="134">
  <si>
    <t>Planilla de sueldo y finiquito Bolivia 2026</t>
  </si>
  <si>
    <t>Las celdas amarillas son para sus datos. Las verdes se calculan solas, con las fórmulas de la ley. A la derecha de cada hoja está el paso a paso de la cuenta.</t>
  </si>
  <si>
    <t>«Sueldo líquido»: pone su total ganado y le dice los aportes laborales, el Aporte Nacional Solidario, el RC-IVA y su líquido pagable.</t>
  </si>
  <si>
    <t>«Aguinaldo»: calcula el aguinaldo de la gestión, completo o en duodécimas si entró o salió este año.</t>
  </si>
  <si>
    <t>«Finiquito»: pone sus fechas, su promedio y cómo terminó el trabajo, y le dice la indemnización, el desahucio, el aguinaldo y las vacaciones.</t>
  </si>
  <si>
    <t>«Tablas oficiales» tiene cada valor oficial que usan las fórmulas, con el enlace a su fuente y la fecha en que lo verificamos. Los valores son los vigentes al 13/10/2026.</t>
  </si>
  <si>
    <t>Cuando cambia un valor oficial, actualizamos la planilla y el mismo enlace de descarga le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</si>
  <si>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</si>
  <si>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Su contrato o su empresa pueden darle más que el mínimo de ley.</t>
  </si>
  <si>
    <t>Las fechas van como dd/mm/aaaa. Si su Excel está en inglés y las lee al revés, escríbalas como aaaa-mm-dd.</t>
  </si>
  <si>
    <t>Sueldo líquido: aportes a la Gestora y RC-IVA</t>
  </si>
  <si>
    <t>Paso a paso</t>
  </si>
  <si>
    <t>SUS DATOS</t>
  </si>
  <si>
    <t>Total ganado del mes</t>
  </si>
  <si>
    <t>Haber básico más bono de antigüedad, horas extras, comisiones y otros pagos del mes.</t>
  </si>
  <si>
    <t>Aportes laborales</t>
  </si>
  <si>
    <t>Facturas que presenta en el Formulario 110 (opcional)</t>
  </si>
  <si>
    <t>La suma de sus facturas del mes. Solo cuenta si paga RC-IVA.</t>
  </si>
  <si>
    <t>Cotización mensual</t>
  </si>
  <si>
    <t>Prima de riesgo común</t>
  </si>
  <si>
    <t>SU LÍQUIDO PAGABLE</t>
  </si>
  <si>
    <t>Comisión de la Gestora</t>
  </si>
  <si>
    <t>Cotización mensual (10 %)</t>
  </si>
  <si>
    <t>Aporte solidario</t>
  </si>
  <si>
    <t>Total a la Gestora</t>
  </si>
  <si>
    <t>Aporte Nacional Solidario</t>
  </si>
  <si>
    <t>Sueldo neto (menos aportes)</t>
  </si>
  <si>
    <t>RC-IVA</t>
  </si>
  <si>
    <t>Base imponible (menos dos salarios mínimos)</t>
  </si>
  <si>
    <t>Líquido pagable</t>
  </si>
  <si>
    <t>Impuesto (13 %)</t>
  </si>
  <si>
    <t>Saldo a favor para el mes siguiente</t>
  </si>
  <si>
    <t>Impuesto menos el 13 % de un salario mínimo</t>
  </si>
  <si>
    <t>Crédito por facturas</t>
  </si>
  <si>
    <t>Si le descuentan otros conceptos (anticipos, cuota sindical), réstelos aparte. Con más facturas en el Formulario 110 la retención de RC-IVA baja.</t>
  </si>
  <si>
    <t>RC-IVA retenido</t>
  </si>
  <si>
    <t>Aguinaldo de Navidad</t>
  </si>
  <si>
    <t>Fin del cálculo</t>
  </si>
  <si>
    <t>Usted es</t>
  </si>
  <si>
    <t>Empleada o empleado</t>
  </si>
  <si>
    <t>Gestión: meses cumplidos</t>
  </si>
  <si>
    <t>Promedio del total ganado de los últimos 3 meses</t>
  </si>
  <si>
    <t>Si es obrero, ponga lo del último mes.</t>
  </si>
  <si>
    <t>Gestión: años</t>
  </si>
  <si>
    <t>Fecha de ingreso</t>
  </si>
  <si>
    <t>Gestión: meses</t>
  </si>
  <si>
    <t>Fecha de retiro, si dejó el trabajo este año (opcional)</t>
  </si>
  <si>
    <t>Si sigue trabajando, déjela vacía: se calcula la gestión completa.</t>
  </si>
  <si>
    <t>Gestión: días</t>
  </si>
  <si>
    <t>Fecha de hoy</t>
  </si>
  <si>
    <t>Se llena sola. Define la gestión.</t>
  </si>
  <si>
    <t>Meses mínimos</t>
  </si>
  <si>
    <t>SU AGUINALDO</t>
  </si>
  <si>
    <t>Tiempo en la gestión</t>
  </si>
  <si>
    <t>Aguinaldo</t>
  </si>
  <si>
    <t>Se paga entero, sin aportes ni RC-IVA. Para cobrarlo hay que trabajar al menos 3 meses seguidos en la gestión (1 mes si es obrero).</t>
  </si>
  <si>
    <t>Finiquito: indemnización, desahucio, aguinaldo y vacaciones</t>
  </si>
  <si>
    <t>Antigüedad: meses cumplidos</t>
  </si>
  <si>
    <t>Cómo terminó el trabajo</t>
  </si>
  <si>
    <t>Me despidieron sin causa justificada</t>
  </si>
  <si>
    <t>El artículo 16 es el de la Ley General del Trabajo.</t>
  </si>
  <si>
    <t>Antigüedad: años</t>
  </si>
  <si>
    <t>Es el salario promedio indemnizable.</t>
  </si>
  <si>
    <t>Antigüedad: meses</t>
  </si>
  <si>
    <t>Antigüedad: días</t>
  </si>
  <si>
    <t>Fecha de retiro</t>
  </si>
  <si>
    <t>Días de vacación de gestiones anteriores que no tomó</t>
  </si>
  <si>
    <t>Indemnización y desahucio</t>
  </si>
  <si>
    <t>Quinquenios que ya cobró</t>
  </si>
  <si>
    <t>Cada quinquenio cobrado ya pagó la indemnización de 5 años, que se descuentan.</t>
  </si>
  <si>
    <t>Indemnización</t>
  </si>
  <si>
    <t>Desahucio</t>
  </si>
  <si>
    <t>SU FINIQUITO</t>
  </si>
  <si>
    <t>Aguinaldo y vacaciones</t>
  </si>
  <si>
    <t>Antigüedad</t>
  </si>
  <si>
    <t>Indemnización por tiempo de servicios</t>
  </si>
  <si>
    <t>Aguinaldo en duodécimas</t>
  </si>
  <si>
    <t>Vacaciones de gestiones anteriores</t>
  </si>
  <si>
    <t>Días de vacación por fracción</t>
  </si>
  <si>
    <t>Vacación por fracción</t>
  </si>
  <si>
    <t>Total del finiquito</t>
  </si>
  <si>
    <t>Son montos brutos. El empleador tiene 15 días calendario para pagar; si se atrasa, paga un 30 % más. Con 90 días o menos de trabajo no hay indemnización ni desahucio, y el desahucio solo se paga en un despido sin causa.</t>
  </si>
  <si>
    <t>Tablas oficiales de Bolivia</t>
  </si>
  <si>
    <t>Son los valores que usan las fórmulas de esta planilla, vigentes al 13/10/2026.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</si>
  <si>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</si>
  <si>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</si>
  <si>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</si>
  <si>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</si>
  <si>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</si>
  <si>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</si>
  <si>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</si>
  <si>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Aportes del trabajador dependiente al Sistema Integral de Pensiones</t>
  </si>
  <si>
    <t>Cotización mensual (vejez)</t>
  </si>
  <si>
    <t>%</t>
  </si>
  <si>
    <t>1/1/2025</t>
  </si>
  <si>
    <t>https://media.economiayfinanzas.gob.bo/sites/default/files/2025-10/Bolet%C3%ADn%20SIP_diciembre%202024.pdf</t>
  </si>
  <si>
    <t>7/10/2026</t>
  </si>
  <si>
    <t>Prima por riesgo común</t>
  </si>
  <si>
    <t>Aporte solidario del asegurado</t>
  </si>
  <si>
    <t>Aporte Nacional Solidario: porcentaje sobre cada excedente</t>
  </si>
  <si>
    <t>Sobre lo que pasa de Bs 13.000</t>
  </si>
  <si>
    <t>1/10/2024</t>
  </si>
  <si>
    <t>https://www.economiayfinanzas.gob.bo/sites/default/files/2024-10/L15821807NCPP.pdf</t>
  </si>
  <si>
    <t>Sobre lo que pasa de Bs 25.000</t>
  </si>
  <si>
    <t>Sobre lo que pasa de Bs 35.000</t>
  </si>
  <si>
    <t>Aporte Nacional Solidario: montos desde los que se aporta</t>
  </si>
  <si>
    <t>Primer monto</t>
  </si>
  <si>
    <t>BOB</t>
  </si>
  <si>
    <t>Segundo monto</t>
  </si>
  <si>
    <t>Tercer monto</t>
  </si>
  <si>
    <t>Salario Mínimo Nacional</t>
  </si>
  <si>
    <t/>
  </si>
  <si>
    <t>1/1/2026</t>
  </si>
  <si>
    <t>https://www.impuestos.gob.bo/wp-content/uploads/2026/02/DS-5516.pdf</t>
  </si>
  <si>
    <t>Alícuota del RC-IVA</t>
  </si>
  <si>
    <t>https://www.impuestos.gob.bo/wp-content/uploads/2026/09/1.-LEY-N%C2%B0-843-08-26.pdf</t>
  </si>
  <si>
    <t>Mínimo no imponible del RC-IVA (en salarios mínimos)</t>
  </si>
  <si>
    <t>Cómputo del 13 % sobre salarios mínimos que se descuenta del RC-IVA</t>
  </si>
  <si>
    <t>1/5/2025</t>
  </si>
  <si>
    <t>Meses seguidos de trabajo en la gestión para cobrar aguinaldo</t>
  </si>
  <si>
    <t>Empleadas y empleados</t>
  </si>
  <si>
    <t>meses</t>
  </si>
  <si>
    <t>https://mintrabajo.gob.bo/wp-content/uploads/2025/12/INSTRUCTIVO-DGTHSO-No0119-2025.pdf</t>
  </si>
  <si>
    <t>Obreras y obreros</t>
  </si>
  <si>
    <t>Años de trabajo continuo que consolida un quinquenio</t>
  </si>
  <si>
    <t>años</t>
  </si>
  <si>
    <t>https://www.mintrabajo.gob.bo/wp-content/uploads/2025/10/Libro-No-73-Guia-de-derechos-laborales-MTEPS-2024.pdf</t>
  </si>
  <si>
    <t>Días de trabajo continuo para tener indemnización</t>
  </si>
  <si>
    <t>días</t>
  </si>
  <si>
    <t>Desahucio por despido injustificado (en sueldos)</t>
  </si>
  <si>
    <t>Días hábiles de vacación por año según antigüedad</t>
  </si>
  <si>
    <t>De 1 a 5 años de trabajo</t>
  </si>
  <si>
    <t>De 5 a 10 años de trabajo</t>
  </si>
  <si>
    <t>De 10 años 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</si>
</sst>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Bs &quot;#,##0.00"/>
    <numFmt numFmtId="165" formatCode="dd/mm/yyyy"/>
    <numFmt numFmtId="166" formatCode="#,##0.##"/>
    <numFmt numFmtId="167" formatCode="#,##0.00##"/>
  </numFmts>
  <fonts count="10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b/>
    </font>
    <font>
      <b/>
      <color rgb="FF1B5E20"/>
      <sz val="10"/>
    </font>
    <font>
      <sz val="10"/>
    </font>
    <font>
      <b/>
      <color rgb="FFB71C1C"/>
    </font>
    <font>
      <u/>
      <color rgb="FF1565C0"/>
    </font>
  </fonts>
  <fills count="11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0" fillId="4" borderId="1" xfId="0" applyFill="1" applyBorder="1" applyAlignment="1">
      <alignment horizontal="left" vertical="center" wrapText="1" indent="1"/>
    </xf>
    <xf numFmtId="164" fontId="5" fillId="5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7" fillId="4" borderId="1" xfId="0" applyFont="1" applyFill="1" applyBorder="1" applyAlignment="1">
      <alignment horizontal="left" wrapText="1" indent="1"/>
    </xf>
    <xf numFmtId="164" fontId="7" fillId="6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5" fillId="8" borderId="1" xfId="0" applyFont="1" applyFill="1" applyBorder="1" applyAlignment="1">
      <alignment horizontal="left" wrapText="1" indent="1"/>
    </xf>
    <xf numFmtId="164" fontId="5" fillId="8" borderId="1" xfId="0" applyNumberFormat="1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left" indent="1"/>
    </xf>
    <xf numFmtId="166" fontId="7" fillId="6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7" borderId="1" xfId="0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7" fontId="0" fillId="7" borderId="1" xfId="0" applyNumberFormat="1" applyFill="1" applyBorder="1" applyAlignment="1">
      <alignment horizontal="right"/>
    </xf>
    <xf numFmtId="167" fontId="7" fillId="6" borderId="1" xfId="0" applyNumberFormat="1" applyFon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6" borderId="1" xfId="0" applyFill="1" applyBorder="1" applyAlignment="1">
      <alignment vertical="top" wrapText="1"/>
    </xf>
    <xf numFmtId="167" fontId="0" fillId="6" borderId="1" xfId="0" applyNumberFormat="1" applyFill="1" applyBorder="1" applyAlignment="1">
      <alignment vertical="top"/>
    </xf>
    <xf numFmtId="0" fontId="9" fillId="6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7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/>
    </xf>
    <xf numFmtId="164" fontId="0" fillId="6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economiayfinanzas.gob.bo/sites/default/files/2025-10/Bolet%C3%ADn%20SIP_diciembre%202024.pdf" TargetMode="External"/><Relationship Id="rId2" Type="http://schemas.openxmlformats.org/officeDocument/2006/relationships/hyperlink" Target="https://media.economiayfinanzas.gob.bo/sites/default/files/2025-10/Bolet%C3%ADn%20SIP_diciembre%202024.pdf" TargetMode="External"/><Relationship Id="rId3" Type="http://schemas.openxmlformats.org/officeDocument/2006/relationships/hyperlink" Target="https://media.economiayfinanzas.gob.bo/sites/default/files/2025-10/Bolet%C3%ADn%20SIP_diciembre%202024.pdf" TargetMode="External"/><Relationship Id="rId4" Type="http://schemas.openxmlformats.org/officeDocument/2006/relationships/hyperlink" Target="https://media.economiayfinanzas.gob.bo/sites/default/files/2025-10/Bolet%C3%ADn%20SIP_diciembre%202024.pdf" TargetMode="External"/><Relationship Id="rId5" Type="http://schemas.openxmlformats.org/officeDocument/2006/relationships/hyperlink" Target="https://www.economiayfinanzas.gob.bo/sites/default/files/2024-10/L15821807NCPP.pdf" TargetMode="External"/><Relationship Id="rId6" Type="http://schemas.openxmlformats.org/officeDocument/2006/relationships/hyperlink" Target="https://www.economiayfinanzas.gob.bo/sites/default/files/2024-10/L15821807NCPP.pdf" TargetMode="External"/><Relationship Id="rId7" Type="http://schemas.openxmlformats.org/officeDocument/2006/relationships/hyperlink" Target="https://www.economiayfinanzas.gob.bo/sites/default/files/2024-10/L15821807NCPP.pdf" TargetMode="External"/><Relationship Id="rId8" Type="http://schemas.openxmlformats.org/officeDocument/2006/relationships/hyperlink" Target="https://www.economiayfinanzas.gob.bo/sites/default/files/2024-10/L15821807NCPP.pdf" TargetMode="External"/><Relationship Id="rId9" Type="http://schemas.openxmlformats.org/officeDocument/2006/relationships/hyperlink" Target="https://www.economiayfinanzas.gob.bo/sites/default/files/2024-10/L15821807NCPP.pdf" TargetMode="External"/><Relationship Id="rId10" Type="http://schemas.openxmlformats.org/officeDocument/2006/relationships/hyperlink" Target="https://www.economiayfinanzas.gob.bo/sites/default/files/2024-10/L15821807NCPP.pdf" TargetMode="External"/><Relationship Id="rId11" Type="http://schemas.openxmlformats.org/officeDocument/2006/relationships/hyperlink" Target="https://www.impuestos.gob.bo/wp-content/uploads/2026/02/DS-5516.pdf" TargetMode="External"/><Relationship Id="rId12" Type="http://schemas.openxmlformats.org/officeDocument/2006/relationships/hyperlink" Target="https://www.impuestos.gob.bo/wp-content/uploads/2026/09/1.-LEY-N%C2%B0-843-08-26.pdf" TargetMode="External"/><Relationship Id="rId13" Type="http://schemas.openxmlformats.org/officeDocument/2006/relationships/hyperlink" Target="https://www.impuestos.gob.bo/wp-content/uploads/2026/09/1.-LEY-N%C2%B0-843-08-26.pdf" TargetMode="External"/><Relationship Id="rId14" Type="http://schemas.openxmlformats.org/officeDocument/2006/relationships/hyperlink" Target="https://www.impuestos.gob.bo/wp-content/uploads/2026/09/1.-LEY-N%C2%B0-843-08-26.pdf" TargetMode="External"/><Relationship Id="rId15" Type="http://schemas.openxmlformats.org/officeDocument/2006/relationships/hyperlink" Target="https://mintrabajo.gob.bo/wp-content/uploads/2025/12/INSTRUCTIVO-DGTHSO-No0119-2025.pdf" TargetMode="External"/><Relationship Id="rId16" Type="http://schemas.openxmlformats.org/officeDocument/2006/relationships/hyperlink" Target="https://mintrabajo.gob.bo/wp-content/uploads/2025/12/INSTRUCTIVO-DGTHSO-No0119-2025.pdf" TargetMode="External"/><Relationship Id="rId17" Type="http://schemas.openxmlformats.org/officeDocument/2006/relationships/hyperlink" Target="https://www.mintrabajo.gob.bo/wp-content/uploads/2025/10/Libro-No-73-Guia-de-derechos-laborales-MTEPS-2024.pdf" TargetMode="External"/><Relationship Id="rId18" Type="http://schemas.openxmlformats.org/officeDocument/2006/relationships/hyperlink" Target="https://www.mintrabajo.gob.bo/wp-content/uploads/2025/10/Libro-No-73-Guia-de-derechos-laborales-MTEPS-2024.pdf" TargetMode="External"/><Relationship Id="rId19" Type="http://schemas.openxmlformats.org/officeDocument/2006/relationships/hyperlink" Target="https://www.mintrabajo.gob.bo/wp-content/uploads/2025/10/Libro-No-73-Guia-de-derechos-laborales-MTEPS-2024.pdf" TargetMode="External"/><Relationship Id="rId20" Type="http://schemas.openxmlformats.org/officeDocument/2006/relationships/hyperlink" Target="https://www.mintrabajo.gob.bo/wp-content/uploads/2025/10/Libro-No-73-Guia-de-derechos-laborales-MTEPS-2024.pdf" TargetMode="External"/><Relationship Id="rId21" Type="http://schemas.openxmlformats.org/officeDocument/2006/relationships/hyperlink" Target="https://www.mintrabajo.gob.bo/wp-content/uploads/2025/10/Libro-No-73-Guia-de-derechos-laborales-MTEPS-2024.pdf" TargetMode="External"/><Relationship Id="rId22" Type="http://schemas.openxmlformats.org/officeDocument/2006/relationships/hyperlink" Target="https://www.mintrabajo.gob.bo/wp-content/uploads/2025/10/Libro-No-73-Guia-de-derechos-laborales-MTEPS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20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9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3" x14ac:dyDescent="0.25">
      <c r="A4" s="6" t="s">
        <v>12</v>
      </c>
      <c r="B4" s="6"/>
      <c r="C4" s="6"/>
    </row>
    <row r="5" ht="30" customHeight="1" spans="1:5" x14ac:dyDescent="0.25">
      <c r="A5" s="7" t="s">
        <v>13</v>
      </c>
      <c r="B5" s="8">
        <v>9000</v>
      </c>
      <c r="C5" s="9" t="s">
        <v>14</v>
      </c>
      <c r="E5" s="10" t="s">
        <v>15</v>
      </c>
    </row>
    <row r="6" spans="1:6" x14ac:dyDescent="0.25">
      <c r="A6" s="7" t="s">
        <v>16</v>
      </c>
      <c r="B6" s="8"/>
      <c r="C6" s="9" t="s">
        <v>17</v>
      </c>
      <c r="E6" s="11" t="s">
        <v>18</v>
      </c>
      <c r="F6" s="12">
        <f>ROUND(B5*'Tablas oficiales'!$C$4/100,2)</f>
      </c>
    </row>
    <row r="7" spans="5:6" x14ac:dyDescent="0.25">
      <c r="E7" s="11" t="s">
        <v>19</v>
      </c>
      <c r="F7" s="12">
        <f>ROUND(B5*'Tablas oficiales'!$C$5/100,2)</f>
      </c>
    </row>
    <row r="8" spans="1:6" x14ac:dyDescent="0.25">
      <c r="A8" s="6" t="s">
        <v>20</v>
      </c>
      <c r="B8" s="6"/>
      <c r="C8" s="6"/>
      <c r="E8" s="11" t="s">
        <v>21</v>
      </c>
      <c r="F8" s="12">
        <f>ROUND(B5*'Tablas oficiales'!$C$6/100,2)</f>
      </c>
    </row>
    <row r="9" spans="1:6" x14ac:dyDescent="0.25">
      <c r="A9" s="13" t="s">
        <v>22</v>
      </c>
      <c r="B9" s="14">
        <f>F6</f>
      </c>
      <c r="E9" s="11" t="s">
        <v>23</v>
      </c>
      <c r="F9" s="12">
        <f>ROUND(B5*'Tablas oficiales'!$C$7/100,2)</f>
      </c>
    </row>
    <row r="10" spans="1:6" x14ac:dyDescent="0.25">
      <c r="A10" s="13" t="s">
        <v>19</v>
      </c>
      <c r="B10" s="14">
        <f>F7</f>
      </c>
      <c r="E10" s="11" t="s">
        <v>24</v>
      </c>
      <c r="F10" s="12">
        <f>ROUND(F6+F7+F8+F9,2)</f>
      </c>
    </row>
    <row r="11" spans="1:6" x14ac:dyDescent="0.25">
      <c r="A11" s="13" t="s">
        <v>21</v>
      </c>
      <c r="B11" s="14">
        <f>F8</f>
      </c>
      <c r="E11" s="11" t="s">
        <v>25</v>
      </c>
      <c r="F11" s="12">
        <f>ROUND(ROUND(MAX(0,B5-'Tablas oficiales'!$C$11)*'Tablas oficiales'!$C$8/100,2)+ROUND(MAX(0,B5-'Tablas oficiales'!$C$12)*'Tablas oficiales'!$C$9/100,2)+ROUND(MAX(0,B5-'Tablas oficiales'!$C$13)*'Tablas oficiales'!$C$10/100,2),2)</f>
      </c>
    </row>
    <row r="12" spans="1:6" x14ac:dyDescent="0.25">
      <c r="A12" s="13" t="s">
        <v>23</v>
      </c>
      <c r="B12" s="14">
        <f>F9</f>
      </c>
      <c r="E12" s="11" t="s">
        <v>26</v>
      </c>
      <c r="F12" s="12">
        <f>ROUND(B5-ROUND(F10+F11,2),2)</f>
      </c>
    </row>
    <row r="13" spans="1:2" x14ac:dyDescent="0.25">
      <c r="A13" s="13" t="s">
        <v>24</v>
      </c>
      <c r="B13" s="14">
        <f>F10</f>
      </c>
    </row>
    <row r="14" spans="1:5" x14ac:dyDescent="0.25">
      <c r="A14" s="13" t="s">
        <v>25</v>
      </c>
      <c r="B14" s="14">
        <f>F11</f>
      </c>
      <c r="E14" s="10" t="s">
        <v>27</v>
      </c>
    </row>
    <row r="15" spans="1:6" x14ac:dyDescent="0.25">
      <c r="A15" s="13" t="s">
        <v>27</v>
      </c>
      <c r="B15" s="14">
        <f>F19</f>
      </c>
      <c r="E15" s="11" t="s">
        <v>28</v>
      </c>
      <c r="F15" s="12">
        <f>ROUND(MAX(0,F12-ROUND('Tablas oficiales'!$C$14*'Tablas oficiales'!$C$16,2)),2)</f>
      </c>
    </row>
    <row r="16" spans="1:6" x14ac:dyDescent="0.25">
      <c r="A16" s="15" t="s">
        <v>29</v>
      </c>
      <c r="B16" s="16">
        <f>ROUND(F12-F19,2)</f>
      </c>
      <c r="E16" s="11" t="s">
        <v>30</v>
      </c>
      <c r="F16" s="12">
        <f>ROUND(F15*'Tablas oficiales'!$C$15/100,2)</f>
      </c>
    </row>
    <row r="17" spans="1:6" x14ac:dyDescent="0.25">
      <c r="A17" s="13" t="s">
        <v>31</v>
      </c>
      <c r="B17" s="14">
        <f>ROUND(MAX(0,F18-F17),2)</f>
      </c>
      <c r="E17" s="11" t="s">
        <v>32</v>
      </c>
      <c r="F17" s="12">
        <f>ROUND(MAX(0,F16-ROUND('Tablas oficiales'!$C$14*'Tablas oficiales'!$C$17*'Tablas oficiales'!$C$15/100,2)),2)</f>
      </c>
    </row>
    <row r="18" spans="5:6" x14ac:dyDescent="0.25">
      <c r="E18" s="11" t="s">
        <v>33</v>
      </c>
      <c r="F18" s="12">
        <f>ROUND(IF(ISNUMBER(B6),B6,0)*'Tablas oficiales'!$C$15/100,2)</f>
      </c>
    </row>
    <row r="19" ht="36" customHeight="1" spans="1:6" x14ac:dyDescent="0.25">
      <c r="A19" s="4" t="s">
        <v>34</v>
      </c>
      <c r="B19" s="4"/>
      <c r="C19" s="4"/>
      <c r="E19" s="11" t="s">
        <v>35</v>
      </c>
      <c r="F19" s="12">
        <f>ROUND(MAX(0,F17-F18),2)</f>
      </c>
    </row>
  </sheetData>
  <mergeCells count="5">
    <mergeCell ref="A1:C1"/>
    <mergeCell ref="E3:F3"/>
    <mergeCell ref="A4:C4"/>
    <mergeCell ref="A8:C8"/>
    <mergeCell ref="A19:C19"/>
  </mergeCells>
  <dataValidations count="1">
    <dataValidation type="decimal" allowBlank="1" showErrorMessage="1" error="Escribe un número mayor o igual a 0." sqref="B5:B6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36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11" t="s">
        <v>37</v>
      </c>
      <c r="F4" s="17">
        <f>IF(ISNUMBER(B8),B8,DATE(YEAR(B9),12,31))</f>
      </c>
    </row>
    <row r="5" spans="1:6" x14ac:dyDescent="0.25">
      <c r="A5" s="7" t="s">
        <v>38</v>
      </c>
      <c r="B5" s="18" t="s">
        <v>39</v>
      </c>
      <c r="E5" s="11" t="s">
        <v>40</v>
      </c>
      <c r="F5" s="19">
        <f>IF(EDATE(MAX(B7,DATE(YEAR(F4),1,1)),((YEAR((F4+1))-YEAR(MAX(B7,DATE(YEAR(F4),1,1))))*12+MONTH((F4+1))-MONTH(MAX(B7,DATE(YEAR(F4),1,1)))))&gt;(F4+1),((YEAR((F4+1))-YEAR(MAX(B7,DATE(YEAR(F4),1,1))))*12+MONTH((F4+1))-MONTH(MAX(B7,DATE(YEAR(F4),1,1))))-1,((YEAR((F4+1))-YEAR(MAX(B7,DATE(YEAR(F4),1,1))))*12+MONTH((F4+1))-MONTH(MAX(B7,DATE(YEAR(F4),1,1)))))</f>
      </c>
    </row>
    <row r="6" spans="1:6" x14ac:dyDescent="0.25">
      <c r="A6" s="7" t="s">
        <v>41</v>
      </c>
      <c r="B6" s="8">
        <v>6000</v>
      </c>
      <c r="C6" s="9" t="s">
        <v>42</v>
      </c>
      <c r="E6" s="11" t="s">
        <v>43</v>
      </c>
      <c r="F6" s="19">
        <f>INT(F5/12)</f>
      </c>
    </row>
    <row r="7" spans="1:6" x14ac:dyDescent="0.25">
      <c r="A7" s="7" t="s">
        <v>44</v>
      </c>
      <c r="B7" s="20">
        <v>45762</v>
      </c>
      <c r="E7" s="11" t="s">
        <v>45</v>
      </c>
      <c r="F7" s="19">
        <f>MOD(F5,12)</f>
      </c>
    </row>
    <row r="8" spans="1:6" x14ac:dyDescent="0.25">
      <c r="A8" s="7" t="s">
        <v>46</v>
      </c>
      <c r="B8" s="20"/>
      <c r="C8" s="9" t="s">
        <v>47</v>
      </c>
      <c r="E8" s="11" t="s">
        <v>48</v>
      </c>
      <c r="F8" s="19">
        <f>(F4+1)-EDATE(MAX(B7,DATE(YEAR(F4),1,1)),F5)</f>
      </c>
    </row>
    <row r="9" spans="1:6" x14ac:dyDescent="0.25">
      <c r="A9" s="7" t="s">
        <v>49</v>
      </c>
      <c r="B9" s="20">
        <f>TODAY()</f>
      </c>
      <c r="C9" s="9" t="s">
        <v>50</v>
      </c>
      <c r="E9" s="11" t="s">
        <v>51</v>
      </c>
      <c r="F9" s="19">
        <f>IF(B5="Obrera u obrero",'Tablas oficiales'!$C$19,'Tablas oficiales'!$C$18)</f>
      </c>
    </row>
    <row r="11" spans="1:3" x14ac:dyDescent="0.25">
      <c r="A11" s="6" t="s">
        <v>52</v>
      </c>
      <c r="B11" s="6"/>
      <c r="C11" s="6"/>
    </row>
    <row r="12" spans="1:3" x14ac:dyDescent="0.25">
      <c r="A12" s="21">
        <f>IF(F4&lt;B7,"Revise las fechas: el ingreso tiene que ser anterior al retiro o al fin de la gestión.","")</f>
      </c>
      <c r="B12" s="21"/>
      <c r="C12" s="21"/>
    </row>
    <row r="13" spans="1:2" x14ac:dyDescent="0.25">
      <c r="A13" s="13" t="s">
        <v>53</v>
      </c>
      <c r="B13" s="22">
        <f>F5&amp;" meses y "&amp;F8&amp;" días"</f>
      </c>
    </row>
    <row r="14" spans="1:2" x14ac:dyDescent="0.25">
      <c r="A14" s="15" t="s">
        <v>54</v>
      </c>
      <c r="B14" s="16">
        <f>IF(F5&gt;=F9,ROUND(ROUND(B6*0,2)+ROUND(B6/12*F5,2)+ROUND(B6/360*F8,2),2),0)</f>
      </c>
    </row>
    <row r="16" ht="36" customHeight="1" spans="1:3" x14ac:dyDescent="0.25">
      <c r="A16" s="4" t="s">
        <v>55</v>
      </c>
      <c r="B16" s="4"/>
      <c r="C16" s="4"/>
    </row>
  </sheetData>
  <mergeCells count="6">
    <mergeCell ref="A1:C1"/>
    <mergeCell ref="E3:F3"/>
    <mergeCell ref="A4:C4"/>
    <mergeCell ref="A11:C11"/>
    <mergeCell ref="A12:C12"/>
    <mergeCell ref="A16:C16"/>
  </mergeCells>
  <dataValidations count="3">
    <dataValidation type="list" showErrorMessage="1" error="Elige una opción de la lista." sqref="B5">
      <formula1>"Empleada o empleado,Obrera u obrero"</formula1>
    </dataValidation>
    <dataValidation type="decimal" allowBlank="1" showErrorMessage="1" error="Escribe un número mayor o igual a 0." sqref="B6">
      <formula1>0</formula1>
      <formula2>1000000000000</formula2>
    </dataValidation>
    <dataValidation type="date" operator="greaterThan" allowBlank="1" showErrorMessage="1" error="Escribe una fecha como dd/mm/aaaa." sqref="B7:B8">
      <formula1>18264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3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56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11" t="s">
        <v>57</v>
      </c>
      <c r="F4" s="19">
        <f>IF(EDATE(B7,((YEAR(B8)-YEAR(B7))*12+MONTH(B8)-MONTH(B7)))&gt;B8,((YEAR(B8)-YEAR(B7))*12+MONTH(B8)-MONTH(B7))-1,((YEAR(B8)-YEAR(B7))*12+MONTH(B8)-MONTH(B7)))</f>
      </c>
    </row>
    <row r="5" spans="1:6" x14ac:dyDescent="0.25">
      <c r="A5" s="7" t="s">
        <v>58</v>
      </c>
      <c r="B5" s="18" t="s">
        <v>59</v>
      </c>
      <c r="C5" s="9" t="s">
        <v>60</v>
      </c>
      <c r="E5" s="11" t="s">
        <v>61</v>
      </c>
      <c r="F5" s="19">
        <f>INT(F4/12)</f>
      </c>
    </row>
    <row r="6" spans="1:6" x14ac:dyDescent="0.25">
      <c r="A6" s="7" t="s">
        <v>41</v>
      </c>
      <c r="B6" s="8">
        <v>6000</v>
      </c>
      <c r="C6" s="9" t="s">
        <v>62</v>
      </c>
      <c r="E6" s="11" t="s">
        <v>63</v>
      </c>
      <c r="F6" s="19">
        <f>MOD(F4,12)</f>
      </c>
    </row>
    <row r="7" spans="1:6" x14ac:dyDescent="0.25">
      <c r="A7" s="7" t="s">
        <v>44</v>
      </c>
      <c r="B7" s="20">
        <v>44398</v>
      </c>
      <c r="E7" s="11" t="s">
        <v>64</v>
      </c>
      <c r="F7" s="19">
        <f>B8-EDATE(B7,F4)</f>
      </c>
    </row>
    <row r="8" spans="1:2" x14ac:dyDescent="0.25">
      <c r="A8" s="7" t="s">
        <v>65</v>
      </c>
      <c r="B8" s="20">
        <v>46308</v>
      </c>
    </row>
    <row r="9" spans="1:5" x14ac:dyDescent="0.25">
      <c r="A9" s="7" t="s">
        <v>66</v>
      </c>
      <c r="B9" s="23">
        <v>0</v>
      </c>
      <c r="E9" s="10" t="s">
        <v>67</v>
      </c>
    </row>
    <row r="10" ht="30" customHeight="1" spans="1:6" x14ac:dyDescent="0.25">
      <c r="A10" s="7" t="s">
        <v>68</v>
      </c>
      <c r="B10" s="24">
        <v>0</v>
      </c>
      <c r="C10" s="9" t="s">
        <v>69</v>
      </c>
      <c r="E10" s="11" t="s">
        <v>70</v>
      </c>
      <c r="F10" s="12">
        <f>IF(AND((B8-B7+1)&gt;'Tablas oficiales'!$C$21,B5&lt;&gt;"Me despidieron por una causa del artículo 16"),ROUND(ROUND(B6*(F5-B10*'Tablas oficiales'!$C$20),2)+ROUND(B6/12*F6,2)+ROUND(B6/360*F7,2),2),0)</f>
      </c>
    </row>
    <row r="11" spans="5:6" x14ac:dyDescent="0.25">
      <c r="E11" s="11" t="s">
        <v>71</v>
      </c>
      <c r="F11" s="12">
        <f>IF(AND((B8-B7+1)&gt;'Tablas oficiales'!$C$21,B5="Me despidieron sin causa justificada"),ROUND(B6*'Tablas oficiales'!$C$22,2),0)</f>
      </c>
    </row>
    <row r="12" spans="1:3" x14ac:dyDescent="0.25">
      <c r="A12" s="6" t="s">
        <v>72</v>
      </c>
      <c r="B12" s="6"/>
      <c r="C12" s="6"/>
    </row>
    <row r="13" spans="1:5" x14ac:dyDescent="0.25">
      <c r="A13" s="21">
        <f>IF(B8&lt;B7,"La fecha de retiro tiene que ser posterior a la de ingreso.",IF(B10*'Tablas oficiales'!$C$20&gt;F5,"Cobró más quinquenios que los años que trabajó. Revise el dato.",""))</f>
      </c>
      <c r="B13" s="21"/>
      <c r="C13" s="21"/>
      <c r="E13" s="10" t="s">
        <v>73</v>
      </c>
    </row>
    <row r="14" spans="1:6" x14ac:dyDescent="0.25">
      <c r="A14" s="13" t="s">
        <v>74</v>
      </c>
      <c r="B14" s="22">
        <f>F5&amp;" años, "&amp;F6&amp;" meses y "&amp;F7&amp;" días"</f>
      </c>
      <c r="E14" s="11" t="s">
        <v>40</v>
      </c>
      <c r="F14" s="19">
        <f>IF(EDATE(MAX(B7,DATE(YEAR(B8),1,1)),((YEAR((B8+1))-YEAR(MAX(B7,DATE(YEAR(B8),1,1))))*12+MONTH((B8+1))-MONTH(MAX(B7,DATE(YEAR(B8),1,1)))))&gt;(B8+1),((YEAR((B8+1))-YEAR(MAX(B7,DATE(YEAR(B8),1,1))))*12+MONTH((B8+1))-MONTH(MAX(B7,DATE(YEAR(B8),1,1))))-1,((YEAR((B8+1))-YEAR(MAX(B7,DATE(YEAR(B8),1,1))))*12+MONTH((B8+1))-MONTH(MAX(B7,DATE(YEAR(B8),1,1)))))</f>
      </c>
    </row>
    <row r="15" spans="1:6" x14ac:dyDescent="0.25">
      <c r="A15" s="13" t="s">
        <v>75</v>
      </c>
      <c r="B15" s="14">
        <f>F10</f>
      </c>
      <c r="E15" s="11" t="s">
        <v>43</v>
      </c>
      <c r="F15" s="19">
        <f>INT(F14/12)</f>
      </c>
    </row>
    <row r="16" spans="1:6" x14ac:dyDescent="0.25">
      <c r="A16" s="13" t="s">
        <v>71</v>
      </c>
      <c r="B16" s="14">
        <f>F11</f>
      </c>
      <c r="E16" s="11" t="s">
        <v>45</v>
      </c>
      <c r="F16" s="19">
        <f>MOD(F14,12)</f>
      </c>
    </row>
    <row r="17" spans="1:6" x14ac:dyDescent="0.25">
      <c r="A17" s="13" t="s">
        <v>76</v>
      </c>
      <c r="B17" s="14">
        <f>F18</f>
      </c>
      <c r="E17" s="11" t="s">
        <v>48</v>
      </c>
      <c r="F17" s="19">
        <f>(B8+1)-EDATE(MAX(B7,DATE(YEAR(B8),1,1)),F14)</f>
      </c>
    </row>
    <row r="18" spans="1:6" x14ac:dyDescent="0.25">
      <c r="A18" s="13" t="s">
        <v>77</v>
      </c>
      <c r="B18" s="14">
        <f>F20</f>
      </c>
      <c r="E18" s="11" t="s">
        <v>76</v>
      </c>
      <c r="F18" s="12">
        <f>IF(F14&gt;='Tablas oficiales'!$C$18,ROUND(ROUND(B6*0,2)+ROUND(B6/12*F14,2)+ROUND(B6/360*F17,2),2),0)</f>
      </c>
    </row>
    <row r="19" spans="1:6" x14ac:dyDescent="0.25">
      <c r="A19" s="13" t="s">
        <v>78</v>
      </c>
      <c r="B19" s="25">
        <f>ROUND(F19,2)</f>
      </c>
      <c r="E19" s="11" t="s">
        <v>78</v>
      </c>
      <c r="F19" s="26">
        <f>IF(F5&gt;=1,IF((F5+1)&lt;=5,'Tablas oficiales'!$C$23,IF((F5+1)&lt;=10,'Tablas oficiales'!$C$24,'Tablas oficiales'!$C$25))/12*F6+IF((F5+1)&lt;=5,'Tablas oficiales'!$C$23,IF((F5+1)&lt;=10,'Tablas oficiales'!$C$24,'Tablas oficiales'!$C$25))/360*F7,0)</f>
      </c>
    </row>
    <row r="20" spans="1:6" x14ac:dyDescent="0.25">
      <c r="A20" s="13" t="s">
        <v>79</v>
      </c>
      <c r="B20" s="14">
        <f>F21</f>
      </c>
      <c r="E20" s="11" t="s">
        <v>77</v>
      </c>
      <c r="F20" s="12">
        <f>ROUND(B6/30*B9,2)</f>
      </c>
    </row>
    <row r="21" spans="1:6" x14ac:dyDescent="0.25">
      <c r="A21" s="15" t="s">
        <v>80</v>
      </c>
      <c r="B21" s="16">
        <f>ROUND(F10+F11+F18+F20+F21,2)</f>
      </c>
      <c r="E21" s="11" t="s">
        <v>79</v>
      </c>
      <c r="F21" s="12">
        <f>ROUND(B6/30*F19,2)</f>
      </c>
    </row>
    <row r="23" ht="36" customHeight="1" spans="1:3" x14ac:dyDescent="0.25">
      <c r="A23" s="4" t="s">
        <v>81</v>
      </c>
      <c r="B23" s="4"/>
      <c r="C23" s="4"/>
    </row>
  </sheetData>
  <mergeCells count="6">
    <mergeCell ref="A1:C1"/>
    <mergeCell ref="E3:F3"/>
    <mergeCell ref="A4:C4"/>
    <mergeCell ref="A12:C12"/>
    <mergeCell ref="A13:C13"/>
    <mergeCell ref="A23:C23"/>
  </mergeCells>
  <dataValidations count="5">
    <dataValidation type="whole" allowBlank="1" showErrorMessage="1" error="Escribe un número entre 0 y 10." sqref="B10">
      <formula1>0</formula1>
      <formula2>10</formula2>
    </dataValidation>
    <dataValidation type="list" showErrorMessage="1" error="Elige una opción de la lista." sqref="B5">
      <formula1>"Me despidieron sin causa justificada,Renuncié (retiro voluntario),Terminó mi contrato a plazo fijo,Me despidieron por una causa del artículo 16"</formula1>
    </dataValidation>
    <dataValidation type="decimal" allowBlank="1" showErrorMessage="1" error="Escribe un número mayor o igual a 0." sqref="B6">
      <formula1>0</formula1>
      <formula2>1000000000000</formula2>
    </dataValidation>
    <dataValidation type="date" operator="greaterThan" allowBlank="1" showErrorMessage="1" error="Escribe una fecha como dd/mm/aaaa." sqref="B7:B8">
      <formula1>18264</formula1>
    </dataValidation>
    <dataValidation type="decimal" allowBlank="1" showErrorMessage="1" error="Escribe un número entre 0 y 300." sqref="B9">
      <formula1>0</formula1>
      <formula2>300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7" t="s">
        <v>82</v>
      </c>
      <c r="B1" s="27"/>
      <c r="C1" s="27"/>
      <c r="D1" s="27"/>
      <c r="E1" s="27"/>
      <c r="F1" s="27"/>
      <c r="G1" s="27"/>
    </row>
    <row r="2" ht="30" customHeight="1" spans="1:7" x14ac:dyDescent="0.25">
      <c r="A2" s="4" t="s">
        <v>83</v>
      </c>
      <c r="B2" s="4"/>
      <c r="C2" s="4"/>
      <c r="D2" s="4"/>
      <c r="E2" s="4"/>
      <c r="F2" s="4"/>
      <c r="G2" s="4"/>
    </row>
    <row r="3" spans="1:7" x14ac:dyDescent="0.25">
      <c r="A3" s="28" t="s">
        <v>84</v>
      </c>
      <c r="B3" s="28" t="s">
        <v>85</v>
      </c>
      <c r="C3" s="28" t="s">
        <v>86</v>
      </c>
      <c r="D3" s="28" t="s">
        <v>87</v>
      </c>
      <c r="E3" s="28" t="s">
        <v>88</v>
      </c>
      <c r="F3" s="28" t="s">
        <v>89</v>
      </c>
      <c r="G3" s="28" t="s">
        <v>90</v>
      </c>
    </row>
    <row r="4" spans="1:7" x14ac:dyDescent="0.25">
      <c r="A4" s="29" t="s">
        <v>91</v>
      </c>
      <c r="B4" s="29" t="s">
        <v>92</v>
      </c>
      <c r="C4" s="30">
        <v>10</v>
      </c>
      <c r="D4" s="29" t="s">
        <v>93</v>
      </c>
      <c r="E4" s="29" t="s">
        <v>94</v>
      </c>
      <c r="F4" s="31" t="s">
        <v>95</v>
      </c>
      <c r="G4" s="29" t="s">
        <v>96</v>
      </c>
    </row>
    <row r="5" spans="1:7" x14ac:dyDescent="0.25">
      <c r="A5" s="32" t="s">
        <v>91</v>
      </c>
      <c r="B5" s="32" t="s">
        <v>97</v>
      </c>
      <c r="C5" s="33">
        <v>1.71</v>
      </c>
      <c r="D5" s="32" t="s">
        <v>93</v>
      </c>
      <c r="E5" s="32" t="s">
        <v>94</v>
      </c>
      <c r="F5" s="34" t="s">
        <v>95</v>
      </c>
      <c r="G5" s="32" t="s">
        <v>96</v>
      </c>
    </row>
    <row r="6" spans="1:7" x14ac:dyDescent="0.25">
      <c r="A6" s="29" t="s">
        <v>91</v>
      </c>
      <c r="B6" s="29" t="s">
        <v>21</v>
      </c>
      <c r="C6" s="30">
        <v>0.5</v>
      </c>
      <c r="D6" s="29" t="s">
        <v>93</v>
      </c>
      <c r="E6" s="29" t="s">
        <v>94</v>
      </c>
      <c r="F6" s="31" t="s">
        <v>95</v>
      </c>
      <c r="G6" s="29" t="s">
        <v>96</v>
      </c>
    </row>
    <row r="7" spans="1:7" x14ac:dyDescent="0.25">
      <c r="A7" s="32" t="s">
        <v>91</v>
      </c>
      <c r="B7" s="32" t="s">
        <v>98</v>
      </c>
      <c r="C7" s="33">
        <v>0.5</v>
      </c>
      <c r="D7" s="32" t="s">
        <v>93</v>
      </c>
      <c r="E7" s="32" t="s">
        <v>94</v>
      </c>
      <c r="F7" s="34" t="s">
        <v>95</v>
      </c>
      <c r="G7" s="32" t="s">
        <v>96</v>
      </c>
    </row>
    <row r="8" spans="1:7" x14ac:dyDescent="0.25">
      <c r="A8" s="29" t="s">
        <v>99</v>
      </c>
      <c r="B8" s="29" t="s">
        <v>100</v>
      </c>
      <c r="C8" s="30">
        <v>1.15</v>
      </c>
      <c r="D8" s="29" t="s">
        <v>93</v>
      </c>
      <c r="E8" s="29" t="s">
        <v>101</v>
      </c>
      <c r="F8" s="31" t="s">
        <v>102</v>
      </c>
      <c r="G8" s="29" t="s">
        <v>96</v>
      </c>
    </row>
    <row r="9" spans="1:7" x14ac:dyDescent="0.25">
      <c r="A9" s="32" t="s">
        <v>99</v>
      </c>
      <c r="B9" s="32" t="s">
        <v>103</v>
      </c>
      <c r="C9" s="33">
        <v>5.74</v>
      </c>
      <c r="D9" s="32" t="s">
        <v>93</v>
      </c>
      <c r="E9" s="32" t="s">
        <v>101</v>
      </c>
      <c r="F9" s="34" t="s">
        <v>102</v>
      </c>
      <c r="G9" s="32" t="s">
        <v>96</v>
      </c>
    </row>
    <row r="10" spans="1:7" x14ac:dyDescent="0.25">
      <c r="A10" s="29" t="s">
        <v>99</v>
      </c>
      <c r="B10" s="29" t="s">
        <v>104</v>
      </c>
      <c r="C10" s="30">
        <v>11.48</v>
      </c>
      <c r="D10" s="29" t="s">
        <v>93</v>
      </c>
      <c r="E10" s="29" t="s">
        <v>101</v>
      </c>
      <c r="F10" s="31" t="s">
        <v>102</v>
      </c>
      <c r="G10" s="29" t="s">
        <v>96</v>
      </c>
    </row>
    <row r="11" spans="1:7" x14ac:dyDescent="0.25">
      <c r="A11" s="32" t="s">
        <v>105</v>
      </c>
      <c r="B11" s="32" t="s">
        <v>106</v>
      </c>
      <c r="C11" s="35">
        <v>13000</v>
      </c>
      <c r="D11" s="32" t="s">
        <v>107</v>
      </c>
      <c r="E11" s="32" t="s">
        <v>101</v>
      </c>
      <c r="F11" s="34" t="s">
        <v>102</v>
      </c>
      <c r="G11" s="32" t="s">
        <v>96</v>
      </c>
    </row>
    <row r="12" spans="1:7" x14ac:dyDescent="0.25">
      <c r="A12" s="29" t="s">
        <v>105</v>
      </c>
      <c r="B12" s="29" t="s">
        <v>108</v>
      </c>
      <c r="C12" s="36">
        <v>25000</v>
      </c>
      <c r="D12" s="29" t="s">
        <v>107</v>
      </c>
      <c r="E12" s="29" t="s">
        <v>101</v>
      </c>
      <c r="F12" s="31" t="s">
        <v>102</v>
      </c>
      <c r="G12" s="29" t="s">
        <v>96</v>
      </c>
    </row>
    <row r="13" spans="1:7" x14ac:dyDescent="0.25">
      <c r="A13" s="32" t="s">
        <v>105</v>
      </c>
      <c r="B13" s="32" t="s">
        <v>109</v>
      </c>
      <c r="C13" s="35">
        <v>35000</v>
      </c>
      <c r="D13" s="32" t="s">
        <v>107</v>
      </c>
      <c r="E13" s="32" t="s">
        <v>101</v>
      </c>
      <c r="F13" s="34" t="s">
        <v>102</v>
      </c>
      <c r="G13" s="32" t="s">
        <v>96</v>
      </c>
    </row>
    <row r="14" spans="1:7" x14ac:dyDescent="0.25">
      <c r="A14" s="29" t="s">
        <v>110</v>
      </c>
      <c r="B14" s="29" t="s">
        <v>111</v>
      </c>
      <c r="C14" s="36">
        <v>3300</v>
      </c>
      <c r="D14" s="29" t="s">
        <v>107</v>
      </c>
      <c r="E14" s="29" t="s">
        <v>112</v>
      </c>
      <c r="F14" s="31" t="s">
        <v>113</v>
      </c>
      <c r="G14" s="29" t="s">
        <v>96</v>
      </c>
    </row>
    <row r="15" spans="1:7" x14ac:dyDescent="0.25">
      <c r="A15" s="32" t="s">
        <v>114</v>
      </c>
      <c r="B15" s="32" t="s">
        <v>111</v>
      </c>
      <c r="C15" s="33">
        <v>13</v>
      </c>
      <c r="D15" s="32" t="s">
        <v>93</v>
      </c>
      <c r="E15" s="32" t="s">
        <v>94</v>
      </c>
      <c r="F15" s="34" t="s">
        <v>115</v>
      </c>
      <c r="G15" s="32" t="s">
        <v>96</v>
      </c>
    </row>
    <row r="16" spans="1:7" x14ac:dyDescent="0.25">
      <c r="A16" s="29" t="s">
        <v>116</v>
      </c>
      <c r="B16" s="29" t="s">
        <v>111</v>
      </c>
      <c r="C16" s="30">
        <v>2</v>
      </c>
      <c r="D16" s="29" t="s">
        <v>111</v>
      </c>
      <c r="E16" s="29" t="s">
        <v>94</v>
      </c>
      <c r="F16" s="31" t="s">
        <v>115</v>
      </c>
      <c r="G16" s="29" t="s">
        <v>96</v>
      </c>
    </row>
    <row r="17" spans="1:7" x14ac:dyDescent="0.25">
      <c r="A17" s="32" t="s">
        <v>117</v>
      </c>
      <c r="B17" s="32" t="s">
        <v>111</v>
      </c>
      <c r="C17" s="33">
        <v>1</v>
      </c>
      <c r="D17" s="32" t="s">
        <v>111</v>
      </c>
      <c r="E17" s="32" t="s">
        <v>118</v>
      </c>
      <c r="F17" s="34" t="s">
        <v>115</v>
      </c>
      <c r="G17" s="32" t="s">
        <v>96</v>
      </c>
    </row>
    <row r="18" spans="1:7" x14ac:dyDescent="0.25">
      <c r="A18" s="29" t="s">
        <v>119</v>
      </c>
      <c r="B18" s="29" t="s">
        <v>120</v>
      </c>
      <c r="C18" s="30">
        <v>3</v>
      </c>
      <c r="D18" s="29" t="s">
        <v>121</v>
      </c>
      <c r="E18" s="29" t="s">
        <v>94</v>
      </c>
      <c r="F18" s="31" t="s">
        <v>122</v>
      </c>
      <c r="G18" s="29" t="s">
        <v>96</v>
      </c>
    </row>
    <row r="19" spans="1:7" x14ac:dyDescent="0.25">
      <c r="A19" s="32" t="s">
        <v>119</v>
      </c>
      <c r="B19" s="32" t="s">
        <v>123</v>
      </c>
      <c r="C19" s="33">
        <v>1</v>
      </c>
      <c r="D19" s="32" t="s">
        <v>121</v>
      </c>
      <c r="E19" s="32" t="s">
        <v>94</v>
      </c>
      <c r="F19" s="34" t="s">
        <v>122</v>
      </c>
      <c r="G19" s="32" t="s">
        <v>96</v>
      </c>
    </row>
    <row r="20" spans="1:7" x14ac:dyDescent="0.25">
      <c r="A20" s="29" t="s">
        <v>124</v>
      </c>
      <c r="B20" s="29" t="s">
        <v>111</v>
      </c>
      <c r="C20" s="30">
        <v>5</v>
      </c>
      <c r="D20" s="29" t="s">
        <v>125</v>
      </c>
      <c r="E20" s="29" t="s">
        <v>94</v>
      </c>
      <c r="F20" s="31" t="s">
        <v>126</v>
      </c>
      <c r="G20" s="29" t="s">
        <v>96</v>
      </c>
    </row>
    <row r="21" spans="1:7" x14ac:dyDescent="0.25">
      <c r="A21" s="32" t="s">
        <v>127</v>
      </c>
      <c r="B21" s="32" t="s">
        <v>111</v>
      </c>
      <c r="C21" s="33">
        <v>90</v>
      </c>
      <c r="D21" s="32" t="s">
        <v>128</v>
      </c>
      <c r="E21" s="32" t="s">
        <v>94</v>
      </c>
      <c r="F21" s="34" t="s">
        <v>126</v>
      </c>
      <c r="G21" s="32" t="s">
        <v>96</v>
      </c>
    </row>
    <row r="22" spans="1:7" x14ac:dyDescent="0.25">
      <c r="A22" s="29" t="s">
        <v>129</v>
      </c>
      <c r="B22" s="29" t="s">
        <v>111</v>
      </c>
      <c r="C22" s="30">
        <v>3</v>
      </c>
      <c r="D22" s="29" t="s">
        <v>111</v>
      </c>
      <c r="E22" s="29" t="s">
        <v>94</v>
      </c>
      <c r="F22" s="31" t="s">
        <v>126</v>
      </c>
      <c r="G22" s="29" t="s">
        <v>96</v>
      </c>
    </row>
    <row r="23" spans="1:7" x14ac:dyDescent="0.25">
      <c r="A23" s="32" t="s">
        <v>130</v>
      </c>
      <c r="B23" s="32" t="s">
        <v>131</v>
      </c>
      <c r="C23" s="33">
        <v>15</v>
      </c>
      <c r="D23" s="32" t="s">
        <v>128</v>
      </c>
      <c r="E23" s="32" t="s">
        <v>94</v>
      </c>
      <c r="F23" s="34" t="s">
        <v>126</v>
      </c>
      <c r="G23" s="32" t="s">
        <v>96</v>
      </c>
    </row>
    <row r="24" spans="1:7" x14ac:dyDescent="0.25">
      <c r="A24" s="29" t="s">
        <v>130</v>
      </c>
      <c r="B24" s="29" t="s">
        <v>132</v>
      </c>
      <c r="C24" s="30">
        <v>20</v>
      </c>
      <c r="D24" s="29" t="s">
        <v>128</v>
      </c>
      <c r="E24" s="29" t="s">
        <v>94</v>
      </c>
      <c r="F24" s="31" t="s">
        <v>126</v>
      </c>
      <c r="G24" s="29" t="s">
        <v>96</v>
      </c>
    </row>
    <row r="25" spans="1:7" x14ac:dyDescent="0.25">
      <c r="A25" s="32" t="s">
        <v>130</v>
      </c>
      <c r="B25" s="32" t="s">
        <v>133</v>
      </c>
      <c r="C25" s="33">
        <v>30</v>
      </c>
      <c r="D25" s="32" t="s">
        <v>128</v>
      </c>
      <c r="E25" s="32" t="s">
        <v>94</v>
      </c>
      <c r="F25" s="34" t="s">
        <v>126</v>
      </c>
      <c r="G25" s="32" t="s">
        <v>96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5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Sueldo líquido</vt:lpstr>
      <vt:lpstr>Aguinaldo</vt:lpstr>
      <vt:lpstr>Finiquito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sueldo y finiquito Bolivia 2026</dc:title>
  <dc:subject/>
  <dc:description/>
  <cp:keywords/>
  <cp:category/>
  <cp:lastModifiedBy>Unknown</cp:lastModifiedBy>
  <dcterms:created xsi:type="dcterms:W3CDTF">2026-10-13T12:00:00Z</dcterms:created>
  <dcterms:modified xsi:type="dcterms:W3CDTF">2026-10-13T12:00:00Z</dcterms:modified>
</cp:coreProperties>
</file>