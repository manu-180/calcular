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<sst xmlns="http://schemas.openxmlformats.org/spreadsheetml/2006/main" count="364" uniqueCount="189">
  <si>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</si>
  <si>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</si>
  <si>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</si>
  <si>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</si>
  <si>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</si>
  <si>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</si>
  <si>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</si>
  <si>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</si>
  <si>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</si>
  <si>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</si>
  <si>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</si>
  <si>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AFP Habitat</t>
  </si>
  <si>
    <t>AFP Integra</t>
  </si>
  <si>
    <t>Paso a paso</t>
  </si>
  <si>
    <t>Prima AFP</t>
  </si>
  <si>
    <t>TUS DATOS</t>
  </si>
  <si>
    <t>Profuturo AFP</t>
  </si>
  <si>
    <t>Sueldo mensual bruto</t>
  </si>
  <si>
    <t>Pensión</t>
  </si>
  <si>
    <t>EsSalud</t>
  </si>
  <si>
    <t>Cobras asignación familiar</t>
  </si>
  <si>
    <t>No</t>
  </si>
  <si>
    <t>Asignación familiar</t>
  </si>
  <si>
    <t>EPS (entidad prestadora de salud)</t>
  </si>
  <si>
    <t>Sistema de pensiones</t>
  </si>
  <si>
    <t>AFP (sistema privado)</t>
  </si>
  <si>
    <t>Sueldo bruto</t>
  </si>
  <si>
    <t>Tu AFP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</si>
  <si>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</si>
  <si>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</si>
  <si>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</si>
  <si>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</si>
  <si>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</si>
  <si>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</si>
  <si>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</si>
  <si>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</si>
  <si>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</si>
  <si>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</si>
  <si>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</si>
  <si>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</si>
  <si>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</si>
  <si>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</si>
  <si>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</si>
  <si>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</si>
  <si>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</si>
  <si>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</si>
  <si>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</si>
  <si>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</si>
  <si>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</si>
  <si>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</si>
  <si>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</si>
  <si>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</si>
  <si>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</si>
  <si>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</si>
  <si>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</si>
  <si>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</si>
  <si>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</si>
  <si>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</si>
  <si>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</si>
  <si>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</si>
  <si>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</si>
  <si>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</si>
  <si>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</si>
  <si>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</si>
  <si>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</si>
  <si>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</si>
  <si>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</si>
  <si>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</si>
  <si>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</si>
  <si>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</si>
  <si>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</si>
  <si>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</si>
  <si>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</si>
  <si>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</si>
  <si>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</si>
  <si>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</si>
  <si>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</si>
  <si>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</si>
  <si>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</si>
  <si>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</si>
  <si>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</si>
  <si>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</si>
  <si>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</si>
  <si>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</si>
  <si>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</si>
  <si>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</si>
  <si>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</si>
  <si>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</si>
  <si>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</si>
  <si>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</si>
  <si>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</si>
  <si>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</si>
  <si>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</si>
  <si>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</si>
  <si>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</si>
  <si>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</si>
  <si>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</si>
  <si>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</si>
  <si>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</si>
  <si>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</si>
  <si>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</si>
  <si>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</si>
  <si>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</si>
  <si>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</si>
  <si>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</si>
  <si>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</si>
  <si>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</si>
  <si>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</si>
  <si>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</si>
  <si>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</si>
  <si>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</si>
  <si>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</si>
  <si>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</si>
  <si>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</si>
  <si>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</si>
  <si>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</si>
  <si>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</si>
  <si>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</si>
  <si>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</si>
  <si>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</si>
  <si>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</si>
  <si>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</si>
  <si>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</si>
  <si>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</si>
  <si>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</si>
  <si>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</si>
  <si>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</si>
  <si>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</si>
  <si>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</si>
  <si>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</si>
  <si>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</si>
  <si>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</si>
  <si>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</si>
  <si>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</si>
  <si>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</si>
  <si>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</si>
  <si>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</si>
  <si>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</si>
  <si>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</si>
  <si>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</si>
  <si>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</si>
  <si>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</si>
  <si>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</si>
  <si>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</si>
  <si>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</si>
  <si>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</si>
  <si>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</si>
  <si>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</si>
  <si>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</si>
  <si>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Bonificación extraordinaria sobre la gratificación</t>
  </si>
  <si>
    <t>25/6/2015</t>
  </si>
  <si>
    <t>https://cdn.www.gob.pe/uploads/document/file/3321103/guia_gratificaciones.pdf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</si>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</sst>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26" x14ac:dyDescent="0.25">
      <c r="E3" s="6" t="s">
        <v>13</v>
      </c>
      <c r="F3" s="6"/>
      <c r="Z3" t="s">
        <v>14</v>
      </c>
    </row>
    <row r="4" spans="1:26" x14ac:dyDescent="0.25">
      <c r="A4" s="6" t="s">
        <v>15</v>
      </c>
      <c r="B4" s="6"/>
      <c r="C4" s="6"/>
      <c r="Z4" t="s">
        <v>16</v>
      </c>
    </row>
    <row r="5" spans="1:26" x14ac:dyDescent="0.25">
      <c r="A5" s="7" t="s">
        <v>17</v>
      </c>
      <c r="B5" s="8">
        <v>3000</v>
      </c>
      <c r="E5" s="9" t="s">
        <v>18</v>
      </c>
      <c r="Z5" t="s">
        <v>19</v>
      </c>
    </row>
    <row r="6" spans="1:26" x14ac:dyDescent="0.25">
      <c r="A6" s="7" t="s">
        <v>20</v>
      </c>
      <c r="B6" s="10" t="s">
        <v>21</v>
      </c>
      <c r="E6" s="11" t="s">
        <v>22</v>
      </c>
      <c r="F6" s="12">
        <f>IF(B6="Sí",ROUND('Tablas oficiales'!$C$11*'Tablas oficiales'!$C$12/100,2),0)</f>
      </c>
      <c r="Z6" t="s">
        <v>23</v>
      </c>
    </row>
    <row r="7" spans="1:6" x14ac:dyDescent="0.25">
      <c r="A7" s="7" t="s">
        <v>24</v>
      </c>
      <c r="B7" s="10" t="s">
        <v>25</v>
      </c>
      <c r="E7" s="11" t="s">
        <v>26</v>
      </c>
      <c r="F7" s="12">
        <f>ROUND(B5+F6,2)</f>
      </c>
    </row>
    <row r="8" spans="1:6" x14ac:dyDescent="0.25">
      <c r="A8" s="7" t="s">
        <v>27</v>
      </c>
      <c r="B8" s="10" t="s">
        <v>11</v>
      </c>
      <c r="E8" s="11" t="s">
        <v>28</v>
      </c>
      <c r="F8" s="12">
        <f>IF(B7="AFP (sistema privado)",0,ROUND(F7*'Tablas oficiales'!$C$13/100,2))</f>
      </c>
    </row>
    <row r="9" ht="30" customHeight="1" spans="1:6" x14ac:dyDescent="0.25">
      <c r="A9" s="7" t="s">
        <v>29</v>
      </c>
      <c r="B9" s="10" t="s">
        <v>30</v>
      </c>
      <c r="C9" s="13" t="s">
        <v>31</v>
      </c>
      <c r="E9" s="11" t="s">
        <v>32</v>
      </c>
      <c r="F9" s="12">
        <f>IF(B7="AFP (sistema privado)",ROUND(F7*'Tablas oficiales'!$C$14/100,2),0)</f>
      </c>
    </row>
    <row r="10" spans="1:6" x14ac:dyDescent="0.25">
      <c r="A10" s="7" t="s">
        <v>33</v>
      </c>
      <c r="B10" s="10" t="s">
        <v>34</v>
      </c>
      <c r="C10" s="13" t="s">
        <v>35</v>
      </c>
      <c r="E10" s="11" t="s">
        <v>36</v>
      </c>
      <c r="F10" s="12">
        <f>IF(B7="AFP (sistema privado)",ROUND(MIN(F7,'Tablas oficiales'!$C$15)*'Tablas oficiales'!$C$16/100,2),0)</f>
      </c>
    </row>
    <row r="11" spans="1:6" x14ac:dyDescent="0.25">
      <c r="A11" s="7" t="s">
        <v>37</v>
      </c>
      <c r="B11" s="10" t="s">
        <v>19</v>
      </c>
      <c r="E11" s="11" t="s">
        <v>38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39</v>
      </c>
      <c r="F12" s="12">
        <f>IF(B7="AFP (sistema privado)",ROUND(F7*F11/100,2),0)</f>
      </c>
    </row>
    <row r="13" spans="1:6" x14ac:dyDescent="0.25">
      <c r="A13" s="6" t="s">
        <v>40</v>
      </c>
      <c r="B13" s="6"/>
      <c r="C13" s="6"/>
      <c r="E13" s="11" t="s">
        <v>41</v>
      </c>
      <c r="F13" s="12">
        <f>ROUND(F8+F9+F10+F12,2)</f>
      </c>
    </row>
    <row r="14" spans="1:2" x14ac:dyDescent="0.25">
      <c r="A14" s="15" t="s">
        <v>26</v>
      </c>
      <c r="B14" s="16">
        <f>F7</f>
      </c>
    </row>
    <row r="15" spans="1:5" x14ac:dyDescent="0.25">
      <c r="A15" s="15" t="s">
        <v>28</v>
      </c>
      <c r="B15" s="16">
        <f>F8</f>
      </c>
      <c r="E15" s="9" t="s">
        <v>42</v>
      </c>
    </row>
    <row r="16" spans="1:6" x14ac:dyDescent="0.25">
      <c r="A16" s="15" t="s">
        <v>43</v>
      </c>
      <c r="B16" s="16">
        <f>F9</f>
      </c>
      <c r="E16" s="11" t="s">
        <v>44</v>
      </c>
      <c r="F16" s="12">
        <f>ROUND(F7*IF(B10="Sí: un sueldo cada una",2,IF(B10="Sí: medio sueldo cada una",1,0)),2)</f>
      </c>
    </row>
    <row r="17" spans="1:6" x14ac:dyDescent="0.25">
      <c r="A17" s="15" t="s">
        <v>36</v>
      </c>
      <c r="B17" s="16">
        <f>F10</f>
      </c>
      <c r="E17" s="11" t="s">
        <v>45</v>
      </c>
      <c r="F17" s="12">
        <f>ROUND(F16*INDEX('Tablas oficiales'!$C$8:$C$9,MATCH(B11,'Tablas oficiales'!$B$8:$B$9,0))/100,2)</f>
      </c>
    </row>
    <row r="18" spans="1:6" x14ac:dyDescent="0.25">
      <c r="A18" s="15" t="s">
        <v>39</v>
      </c>
      <c r="B18" s="16">
        <f>F12</f>
      </c>
      <c r="E18" s="11" t="s">
        <v>46</v>
      </c>
      <c r="F18" s="12">
        <f>ROUND(F7*12+F16+F17,2)</f>
      </c>
    </row>
    <row r="19" spans="1:6" x14ac:dyDescent="0.25">
      <c r="A19" s="15" t="s">
        <v>47</v>
      </c>
      <c r="B19" s="16">
        <f>F13</f>
      </c>
      <c r="E19" s="11" t="s">
        <v>48</v>
      </c>
      <c r="F19" s="12">
        <f>MAX(0,ROUND(F18-'Tablas oficiales'!$C$18*'Tablas oficiales'!$C$10,2))</f>
      </c>
    </row>
    <row r="20" spans="1:6" x14ac:dyDescent="0.25">
      <c r="A20" s="15" t="s">
        <v>49</v>
      </c>
      <c r="B20" s="16">
        <f>F26</f>
      </c>
      <c r="E20" s="11" t="s">
        <v>50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51</v>
      </c>
      <c r="B21" s="18">
        <f>ROUND(F7-F13-F26,2)</f>
      </c>
      <c r="E21" s="11" t="s">
        <v>52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53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54</v>
      </c>
      <c r="B23" s="4"/>
      <c r="C23" s="4"/>
      <c r="E23" s="11" t="s">
        <v>55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56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57</v>
      </c>
      <c r="F25" s="12">
        <f>SUM(F20,F21,F22,F23,F24)</f>
      </c>
    </row>
    <row r="26" spans="5:6" x14ac:dyDescent="0.25">
      <c r="E26" s="11" t="s">
        <v>58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 (Tu seguro de salud)." sqref="B11">
      <formula1>'Sueldo neto'!$Z$5:$Z$6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 (Tu AFP)." sqref="B8">
      <formula1>'Sueldo neto'!$Z$1:$Z$4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59</v>
      </c>
      <c r="B1" s="5"/>
      <c r="C1" s="5"/>
      <c r="Z1" t="s">
        <v>19</v>
      </c>
    </row>
    <row r="2" spans="26:26" x14ac:dyDescent="0.25">
      <c r="Z2" t="s">
        <v>23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1" t="s">
        <v>22</v>
      </c>
      <c r="F4" s="12">
        <f>IF(B6="Sí",ROUND('Tablas oficiales'!$C$11*'Tablas oficiales'!$C$12/100,2),0)</f>
      </c>
    </row>
    <row r="5" spans="1:3" x14ac:dyDescent="0.25">
      <c r="A5" s="7" t="s">
        <v>60</v>
      </c>
      <c r="B5" s="8">
        <v>3000</v>
      </c>
      <c r="C5" s="13" t="s">
        <v>61</v>
      </c>
    </row>
    <row r="6" spans="1:5" x14ac:dyDescent="0.25">
      <c r="A6" s="7" t="s">
        <v>20</v>
      </c>
      <c r="B6" s="10" t="s">
        <v>21</v>
      </c>
      <c r="E6" s="9" t="s">
        <v>62</v>
      </c>
    </row>
    <row r="7" ht="30" customHeight="1" spans="1:6" x14ac:dyDescent="0.25">
      <c r="A7" s="7" t="s">
        <v>63</v>
      </c>
      <c r="B7" s="8"/>
      <c r="C7" s="13" t="s">
        <v>64</v>
      </c>
      <c r="E7" s="11" t="s">
        <v>65</v>
      </c>
      <c r="F7" s="12">
        <f>ROUND(B5+F4+IF(ISNUMBER(B7),B7,0),2)</f>
      </c>
    </row>
    <row r="8" spans="1:6" x14ac:dyDescent="0.25">
      <c r="A8" s="7" t="s">
        <v>66</v>
      </c>
      <c r="B8" s="10" t="s">
        <v>67</v>
      </c>
      <c r="E8" s="11" t="s">
        <v>62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68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69</v>
      </c>
      <c r="B10" s="6"/>
      <c r="C10" s="6"/>
    </row>
    <row r="11" spans="1:5" x14ac:dyDescent="0.25">
      <c r="A11" s="7" t="s">
        <v>70</v>
      </c>
      <c r="B11" s="19">
        <v>6</v>
      </c>
      <c r="E11" s="9" t="s">
        <v>71</v>
      </c>
    </row>
    <row r="12" spans="1:6" x14ac:dyDescent="0.25">
      <c r="A12" s="7" t="s">
        <v>37</v>
      </c>
      <c r="B12" s="10" t="s">
        <v>19</v>
      </c>
      <c r="E12" s="11" t="s">
        <v>72</v>
      </c>
      <c r="F12" s="12">
        <f>ROUND(IF(ISNUMBER(B22),B22,0)/6,2)</f>
      </c>
    </row>
    <row r="13" spans="1:6" x14ac:dyDescent="0.25">
      <c r="A13" s="15" t="s">
        <v>73</v>
      </c>
      <c r="B13" s="16">
        <f>F7</f>
      </c>
      <c r="E13" s="11" t="s">
        <v>74</v>
      </c>
      <c r="F13" s="12">
        <f>ROUND(B5+F4+IF(ISNUMBER(B7),B7,0)+F12,2)</f>
      </c>
    </row>
    <row r="14" spans="1:6" x14ac:dyDescent="0.25">
      <c r="A14" s="15" t="s">
        <v>75</v>
      </c>
      <c r="B14" s="16">
        <f>F4</f>
      </c>
      <c r="E14" s="11" t="s">
        <v>76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62</v>
      </c>
      <c r="B15" s="16">
        <f>F8</f>
      </c>
      <c r="E15" s="11" t="s">
        <v>77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68</v>
      </c>
      <c r="B16" s="16">
        <f>F9</f>
      </c>
    </row>
    <row r="17" spans="1:2" x14ac:dyDescent="0.25">
      <c r="A17" s="17" t="s">
        <v>78</v>
      </c>
      <c r="B17" s="18">
        <f>ROUND(F8+F9,2)</f>
      </c>
    </row>
    <row r="19" ht="36" customHeight="1" spans="1:3" x14ac:dyDescent="0.25">
      <c r="A19" s="4" t="s">
        <v>79</v>
      </c>
      <c r="B19" s="4"/>
      <c r="C19" s="4"/>
    </row>
    <row r="21" spans="1:3" x14ac:dyDescent="0.25">
      <c r="A21" s="6" t="s">
        <v>71</v>
      </c>
      <c r="B21" s="6"/>
      <c r="C21" s="6"/>
    </row>
    <row r="22" ht="30" customHeight="1" spans="1:3" x14ac:dyDescent="0.25">
      <c r="A22" s="7" t="s">
        <v>80</v>
      </c>
      <c r="B22" s="8"/>
      <c r="C22" s="13" t="s">
        <v>81</v>
      </c>
    </row>
    <row r="23" spans="1:2" x14ac:dyDescent="0.25">
      <c r="A23" s="7" t="s">
        <v>82</v>
      </c>
      <c r="B23" s="19">
        <v>6</v>
      </c>
    </row>
    <row r="24" spans="1:2" x14ac:dyDescent="0.25">
      <c r="A24" s="7" t="s">
        <v>83</v>
      </c>
      <c r="B24" s="19">
        <v>0</v>
      </c>
    </row>
    <row r="25" spans="1:2" x14ac:dyDescent="0.25">
      <c r="A25" s="15" t="s">
        <v>84</v>
      </c>
      <c r="B25" s="16">
        <f>F13</f>
      </c>
    </row>
    <row r="26" spans="1:2" x14ac:dyDescent="0.25">
      <c r="A26" s="15" t="s">
        <v>85</v>
      </c>
      <c r="B26" s="16">
        <f>F12</f>
      </c>
    </row>
    <row r="27" spans="1:2" x14ac:dyDescent="0.25">
      <c r="A27" s="15" t="s">
        <v>86</v>
      </c>
      <c r="B27" s="16">
        <f>F14</f>
      </c>
    </row>
    <row r="28" spans="1:2" x14ac:dyDescent="0.25">
      <c r="A28" s="15" t="s">
        <v>87</v>
      </c>
      <c r="B28" s="16">
        <f>F15</f>
      </c>
    </row>
    <row r="29" spans="1:2" x14ac:dyDescent="0.25">
      <c r="A29" s="17" t="s">
        <v>88</v>
      </c>
      <c r="B29" s="18">
        <f>ROUND(F14+F15,2)</f>
      </c>
    </row>
    <row r="31" ht="36" customHeight="1" spans="1:3" x14ac:dyDescent="0.25">
      <c r="A31" s="4" t="s">
        <v>89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 (Tu seguro de salud)." sqref="B12">
      <formula1>'Gratificación y CTS'!$Z$1:$Z$2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90</v>
      </c>
      <c r="B1" s="5"/>
      <c r="C1" s="5"/>
      <c r="Z1" t="s">
        <v>19</v>
      </c>
    </row>
    <row r="2" spans="26:26" x14ac:dyDescent="0.25">
      <c r="Z2" t="s">
        <v>23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1" t="s">
        <v>22</v>
      </c>
      <c r="F4" s="12">
        <f>IF(B8="Sí",ROUND('Tablas oficiales'!$C$11*'Tablas oficiales'!$C$12/100,2),0)</f>
      </c>
    </row>
    <row r="5" spans="1:6" x14ac:dyDescent="0.25">
      <c r="A5" s="7" t="s">
        <v>91</v>
      </c>
      <c r="B5" s="20">
        <v>44986</v>
      </c>
      <c r="E5" s="11" t="s">
        <v>84</v>
      </c>
      <c r="F5" s="12">
        <f>ROUND(B7+F4+IF(ISNUMBER(B9),B9,0),2)</f>
      </c>
    </row>
    <row r="6" spans="1:2" x14ac:dyDescent="0.25">
      <c r="A6" s="7" t="s">
        <v>92</v>
      </c>
      <c r="B6" s="20">
        <v>46317</v>
      </c>
    </row>
    <row r="7" spans="1:5" x14ac:dyDescent="0.25">
      <c r="A7" s="7" t="s">
        <v>93</v>
      </c>
      <c r="B7" s="8">
        <v>3000</v>
      </c>
      <c r="E7" s="9" t="s">
        <v>94</v>
      </c>
    </row>
    <row r="8" spans="1:6" x14ac:dyDescent="0.25">
      <c r="A8" s="7" t="s">
        <v>20</v>
      </c>
      <c r="B8" s="10" t="s">
        <v>21</v>
      </c>
      <c r="E8" s="11" t="s">
        <v>95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63</v>
      </c>
      <c r="B9" s="8"/>
      <c r="C9" s="13" t="s">
        <v>96</v>
      </c>
      <c r="E9" s="11" t="s">
        <v>97</v>
      </c>
      <c r="F9" s="21">
        <f>INT(F8/12)</f>
      </c>
    </row>
    <row r="10" spans="1:6" x14ac:dyDescent="0.25">
      <c r="A10" s="7" t="s">
        <v>66</v>
      </c>
      <c r="B10" s="10" t="s">
        <v>67</v>
      </c>
      <c r="E10" s="11" t="s">
        <v>98</v>
      </c>
      <c r="F10" s="21">
        <f>MOD(F8,12)</f>
      </c>
    </row>
    <row r="11" spans="1:6" x14ac:dyDescent="0.25">
      <c r="A11" s="7" t="s">
        <v>99</v>
      </c>
      <c r="B11" s="8"/>
      <c r="C11" s="13" t="s">
        <v>100</v>
      </c>
      <c r="E11" s="11" t="s">
        <v>101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102</v>
      </c>
      <c r="B12" s="19">
        <v>0</v>
      </c>
    </row>
    <row r="13" spans="1:5" x14ac:dyDescent="0.25">
      <c r="A13" s="7" t="s">
        <v>37</v>
      </c>
      <c r="B13" s="10" t="s">
        <v>19</v>
      </c>
      <c r="E13" s="9" t="s">
        <v>103</v>
      </c>
    </row>
    <row r="14" spans="5:6" x14ac:dyDescent="0.25">
      <c r="E14" s="11" t="s">
        <v>104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105</v>
      </c>
      <c r="B15" s="6"/>
      <c r="C15" s="6"/>
      <c r="E15" s="11" t="s">
        <v>106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107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84</v>
      </c>
      <c r="B17" s="16">
        <f>F5</f>
      </c>
      <c r="E17" s="11" t="s">
        <v>108</v>
      </c>
      <c r="F17" s="12">
        <f>F5+ROUND(IF(ISNUMBER(B11),B11,0)/6,2)</f>
      </c>
    </row>
    <row r="18" spans="1:6" x14ac:dyDescent="0.25">
      <c r="A18" s="15" t="s">
        <v>103</v>
      </c>
      <c r="B18" s="16">
        <f>F18</f>
      </c>
      <c r="E18" s="11" t="s">
        <v>103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109</v>
      </c>
      <c r="B19" s="16">
        <f>F22</f>
      </c>
    </row>
    <row r="20" spans="1:5" x14ac:dyDescent="0.25">
      <c r="A20" s="15" t="s">
        <v>68</v>
      </c>
      <c r="B20" s="16">
        <f>F23</f>
      </c>
      <c r="E20" s="9" t="s">
        <v>109</v>
      </c>
    </row>
    <row r="21" spans="1:6" x14ac:dyDescent="0.25">
      <c r="A21" s="15" t="s">
        <v>110</v>
      </c>
      <c r="B21" s="16">
        <f>F27</f>
      </c>
      <c r="E21" s="11" t="s">
        <v>111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112</v>
      </c>
      <c r="B22" s="16">
        <f>F28</f>
      </c>
      <c r="E22" s="11" t="s">
        <v>109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113</v>
      </c>
      <c r="B23" s="18">
        <f>ROUND(F18+F22+F23+F27+F28,2)</f>
      </c>
      <c r="E23" s="11" t="s">
        <v>68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114</v>
      </c>
      <c r="B24" s="23">
        <f>F15</f>
      </c>
    </row>
    <row r="25" spans="1:5" x14ac:dyDescent="0.25">
      <c r="A25" s="15" t="s">
        <v>115</v>
      </c>
      <c r="B25" s="23">
        <f>F16</f>
      </c>
      <c r="E25" s="9" t="s">
        <v>116</v>
      </c>
    </row>
    <row r="26" spans="1:6" x14ac:dyDescent="0.25">
      <c r="A26" s="15" t="s">
        <v>117</v>
      </c>
      <c r="B26" s="23">
        <f>F21</f>
      </c>
      <c r="E26" s="11" t="s">
        <v>118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110</v>
      </c>
      <c r="F27" s="12">
        <f>IF(OR(F9&gt;0,F10&gt;0),ROUND(F26/12*F10+F26/360*F11,2),0)</f>
      </c>
    </row>
    <row r="28" ht="36" customHeight="1" spans="1:6" x14ac:dyDescent="0.25">
      <c r="A28" s="4" t="s">
        <v>119</v>
      </c>
      <c r="B28" s="4"/>
      <c r="C28" s="4"/>
      <c r="E28" s="11" t="s">
        <v>112</v>
      </c>
      <c r="F28" s="12">
        <f>ROUND(F5/30*B12,2)</f>
      </c>
    </row>
    <row r="30" spans="1:5" x14ac:dyDescent="0.25">
      <c r="A30" s="6" t="s">
        <v>120</v>
      </c>
      <c r="B30" s="6"/>
      <c r="C30" s="6"/>
      <c r="E30" s="9" t="s">
        <v>121</v>
      </c>
    </row>
    <row r="31" spans="1:6" x14ac:dyDescent="0.25">
      <c r="A31" s="7" t="s">
        <v>122</v>
      </c>
      <c r="B31" s="10" t="s">
        <v>123</v>
      </c>
      <c r="E31" s="11" t="s">
        <v>124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125</v>
      </c>
      <c r="B32" s="19">
        <v>0</v>
      </c>
      <c r="C32" s="13" t="s">
        <v>126</v>
      </c>
      <c r="E32" s="11" t="s">
        <v>127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128</v>
      </c>
      <c r="B33" s="19">
        <v>0</v>
      </c>
      <c r="C33" s="13" t="s">
        <v>126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129</v>
      </c>
      <c r="B35" s="16">
        <f>F5</f>
      </c>
    </row>
    <row r="36" spans="1:2" x14ac:dyDescent="0.25">
      <c r="A36" s="15" t="s">
        <v>130</v>
      </c>
      <c r="B36" s="23">
        <f>F9</f>
      </c>
    </row>
    <row r="37" spans="1:2" x14ac:dyDescent="0.25">
      <c r="A37" s="15" t="s">
        <v>131</v>
      </c>
      <c r="B37" s="23">
        <f>F10</f>
      </c>
    </row>
    <row r="38" spans="1:2" x14ac:dyDescent="0.25">
      <c r="A38" s="15" t="s">
        <v>132</v>
      </c>
      <c r="B38" s="23">
        <f>F11</f>
      </c>
    </row>
    <row r="39" spans="1:2" x14ac:dyDescent="0.25">
      <c r="A39" s="15" t="s">
        <v>133</v>
      </c>
      <c r="B39" s="25">
        <f>ROUND(F32,2)</f>
      </c>
    </row>
    <row r="40" spans="1:2" x14ac:dyDescent="0.25">
      <c r="A40" s="17" t="s">
        <v>121</v>
      </c>
      <c r="B40" s="18">
        <f>ROUND(F32*F5/30,2)</f>
      </c>
    </row>
    <row r="42" ht="36" customHeight="1" spans="1:3" x14ac:dyDescent="0.25">
      <c r="A42" s="4" t="s">
        <v>134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 (Tu seguro de salud)." sqref="B13">
      <formula1>'Liquidación'!$Z$1:$Z$2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135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136</v>
      </c>
      <c r="B2" s="4"/>
      <c r="C2" s="4"/>
      <c r="D2" s="4"/>
      <c r="E2" s="4"/>
      <c r="F2" s="4"/>
      <c r="G2" s="4"/>
    </row>
    <row r="3" spans="1:7" x14ac:dyDescent="0.25">
      <c r="A3" s="27" t="s">
        <v>137</v>
      </c>
      <c r="B3" s="27" t="s">
        <v>138</v>
      </c>
      <c r="C3" s="27" t="s">
        <v>139</v>
      </c>
      <c r="D3" s="27" t="s">
        <v>140</v>
      </c>
      <c r="E3" s="27" t="s">
        <v>141</v>
      </c>
      <c r="F3" s="27" t="s">
        <v>142</v>
      </c>
      <c r="G3" s="27" t="s">
        <v>143</v>
      </c>
    </row>
    <row r="4" spans="1:7" x14ac:dyDescent="0.25">
      <c r="A4" s="28" t="s">
        <v>144</v>
      </c>
      <c r="B4" s="28" t="s">
        <v>11</v>
      </c>
      <c r="C4" s="29">
        <v>1.47</v>
      </c>
      <c r="D4" s="28" t="s">
        <v>145</v>
      </c>
      <c r="E4" s="28" t="s">
        <v>146</v>
      </c>
      <c r="F4" s="30" t="s">
        <v>147</v>
      </c>
      <c r="G4" s="28" t="s">
        <v>148</v>
      </c>
    </row>
    <row r="5" spans="1:7" x14ac:dyDescent="0.25">
      <c r="A5" s="31" t="s">
        <v>144</v>
      </c>
      <c r="B5" s="31" t="s">
        <v>12</v>
      </c>
      <c r="C5" s="32">
        <v>1.55</v>
      </c>
      <c r="D5" s="31" t="s">
        <v>145</v>
      </c>
      <c r="E5" s="31" t="s">
        <v>146</v>
      </c>
      <c r="F5" s="33" t="s">
        <v>147</v>
      </c>
      <c r="G5" s="31" t="s">
        <v>148</v>
      </c>
    </row>
    <row r="6" spans="1:7" x14ac:dyDescent="0.25">
      <c r="A6" s="28" t="s">
        <v>144</v>
      </c>
      <c r="B6" s="28" t="s">
        <v>14</v>
      </c>
      <c r="C6" s="29">
        <v>1.6</v>
      </c>
      <c r="D6" s="28" t="s">
        <v>145</v>
      </c>
      <c r="E6" s="28" t="s">
        <v>146</v>
      </c>
      <c r="F6" s="30" t="s">
        <v>147</v>
      </c>
      <c r="G6" s="28" t="s">
        <v>148</v>
      </c>
    </row>
    <row r="7" spans="1:7" x14ac:dyDescent="0.25">
      <c r="A7" s="31" t="s">
        <v>144</v>
      </c>
      <c r="B7" s="31" t="s">
        <v>16</v>
      </c>
      <c r="C7" s="32">
        <v>1.69</v>
      </c>
      <c r="D7" s="31" t="s">
        <v>145</v>
      </c>
      <c r="E7" s="31" t="s">
        <v>146</v>
      </c>
      <c r="F7" s="33" t="s">
        <v>147</v>
      </c>
      <c r="G7" s="31" t="s">
        <v>148</v>
      </c>
    </row>
    <row r="8" spans="1:7" x14ac:dyDescent="0.25">
      <c r="A8" s="28" t="s">
        <v>149</v>
      </c>
      <c r="B8" s="28" t="s">
        <v>19</v>
      </c>
      <c r="C8" s="29">
        <v>9</v>
      </c>
      <c r="D8" s="28" t="s">
        <v>145</v>
      </c>
      <c r="E8" s="28" t="s">
        <v>150</v>
      </c>
      <c r="F8" s="30" t="s">
        <v>151</v>
      </c>
      <c r="G8" s="28" t="s">
        <v>148</v>
      </c>
    </row>
    <row r="9" spans="1:7" x14ac:dyDescent="0.25">
      <c r="A9" s="31" t="s">
        <v>149</v>
      </c>
      <c r="B9" s="31" t="s">
        <v>23</v>
      </c>
      <c r="C9" s="32">
        <v>6.75</v>
      </c>
      <c r="D9" s="31" t="s">
        <v>145</v>
      </c>
      <c r="E9" s="31" t="s">
        <v>150</v>
      </c>
      <c r="F9" s="33" t="s">
        <v>151</v>
      </c>
      <c r="G9" s="31" t="s">
        <v>148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148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146</v>
      </c>
      <c r="F11" s="33" t="s">
        <v>158</v>
      </c>
      <c r="G11" s="31" t="s">
        <v>148</v>
      </c>
    </row>
    <row r="12" spans="1:7" x14ac:dyDescent="0.25">
      <c r="A12" s="28" t="s">
        <v>22</v>
      </c>
      <c r="B12" s="28" t="s">
        <v>153</v>
      </c>
      <c r="C12" s="29">
        <v>10</v>
      </c>
      <c r="D12" s="28" t="s">
        <v>145</v>
      </c>
      <c r="E12" s="28" t="s">
        <v>159</v>
      </c>
      <c r="F12" s="30" t="s">
        <v>160</v>
      </c>
      <c r="G12" s="28" t="s">
        <v>148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145</v>
      </c>
      <c r="E13" s="31" t="s">
        <v>155</v>
      </c>
      <c r="F13" s="33" t="s">
        <v>162</v>
      </c>
      <c r="G13" s="31" t="s">
        <v>148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145</v>
      </c>
      <c r="E14" s="28" t="s">
        <v>146</v>
      </c>
      <c r="F14" s="30" t="s">
        <v>147</v>
      </c>
      <c r="G14" s="28" t="s">
        <v>148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146</v>
      </c>
      <c r="F15" s="33" t="s">
        <v>147</v>
      </c>
      <c r="G15" s="31" t="s">
        <v>148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145</v>
      </c>
      <c r="E16" s="28" t="s">
        <v>146</v>
      </c>
      <c r="F16" s="30" t="s">
        <v>147</v>
      </c>
      <c r="G16" s="28" t="s">
        <v>148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145</v>
      </c>
      <c r="E17" s="31" t="s">
        <v>167</v>
      </c>
      <c r="F17" s="33" t="s">
        <v>147</v>
      </c>
      <c r="G17" s="31" t="s">
        <v>148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148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148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67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148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148</v>
      </c>
    </row>
    <row r="29" spans="1:7" x14ac:dyDescent="0.25">
      <c r="A29" s="31" t="s">
        <v>183</v>
      </c>
      <c r="B29" s="31" t="s">
        <v>67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148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148</v>
      </c>
    </row>
    <row r="31" spans="1:7" x14ac:dyDescent="0.25">
      <c r="A31" s="31" t="s">
        <v>184</v>
      </c>
      <c r="B31" s="31" t="s">
        <v>67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148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148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148</v>
      </c>
    </row>
    <row r="34" spans="1:7" x14ac:dyDescent="0.25">
      <c r="A34" s="28" t="s">
        <v>187</v>
      </c>
      <c r="B34" s="28" t="s">
        <v>67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148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148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148</v>
      </c>
    </row>
    <row r="37" spans="1:7" x14ac:dyDescent="0.25">
      <c r="A37" s="31" t="s">
        <v>188</v>
      </c>
      <c r="B37" s="31" t="s">
        <v>67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148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148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