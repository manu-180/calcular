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ueldo neto" state="visible" r:id="rId5"/>
    <sheet sheetId="3" name="Gratificación y CTS" state="visible" r:id="rId6"/>
    <sheet sheetId="4" name="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<sst xmlns="http://schemas.openxmlformats.org/spreadsheetml/2006/main" count="354" uniqueCount="189">
  <si>
    <t>Planilla de sueldo y liquidación Perú 2026</t>
  </si>
  <si>
    <t>Las celdas amarillas son para tus datos. Las verdes se calculan solas, con las fórmulas de la ley. A la derecha de cada hoja está el paso a paso de la cuenta.</t>
  </si>
  <si>
    <t>«Sueldo neto»: pones tu sueldo y te dice el descuento de pensión (AFP u ONP), la retención de quinta categoría y tu sueldo neto.</t>
  </si>
  <si>
    <t>«Gratificación y CTS»: calcula la gratificación con su bonificación extraordinaria y el depósito de CTS de mayo o noviembre.</t>
  </si>
  <si>
    <t>«Liquidación»: pones tus fechas y tu sueldo, y te dice la CTS trunca, la gratificación trunca, las vacaciones y, si te despidieron sin causa, la indemnización.</t>
  </si>
  <si>
    <t>«Tablas oficiales» tiene cada valor oficial que usan las fórmulas, con el enlace a su fuente y la fecha en que lo verificamos. Los valores son los vigentes al 8/10/2026.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</si>
  <si>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</si>
  <si>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</si>
  <si>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Tu contrato o tu empresa pueden darte más que el mínimo de ley.</t>
  </si>
  <si>
    <t>Las fechas van como dd/mm/aaaa. Si tu Excel está en inglés y las lee al revés, escríbelas como aaaa-mm-dd.</t>
  </si>
  <si>
    <t>Sueldo neto: AFP u ONP y renta de quinta</t>
  </si>
  <si>
    <t>Paso a paso</t>
  </si>
  <si>
    <t>TUS DATOS</t>
  </si>
  <si>
    <t>Sueldo mensual bruto</t>
  </si>
  <si>
    <t>Pensión</t>
  </si>
  <si>
    <t>Cobras asignación familiar</t>
  </si>
  <si>
    <t>No</t>
  </si>
  <si>
    <t>Asignación familiar</t>
  </si>
  <si>
    <t>Sistema de pensiones</t>
  </si>
  <si>
    <t>AFP (sistema privado)</t>
  </si>
  <si>
    <t>Sueldo bruto</t>
  </si>
  <si>
    <t>Tu AFP</t>
  </si>
  <si>
    <t>AFP Habitat</t>
  </si>
  <si>
    <t>Aporte a la ONP</t>
  </si>
  <si>
    <t>Tipo de comisión de tu AFP</t>
  </si>
  <si>
    <t>Sobre el saldo (mixta)</t>
  </si>
  <si>
    <t>Si entraste a la AFP desde 2013 o no elegiste nada, tienes comisión sobre el saldo.</t>
  </si>
  <si>
    <t>Aporte al fondo AFP</t>
  </si>
  <si>
    <t>Gratificaciones de julio y diciembre</t>
  </si>
  <si>
    <t>Sí: un sueldo cada una</t>
  </si>
  <si>
    <t>Medio sueldo es lo que paga la pequeña empresa del régimen especial.</t>
  </si>
  <si>
    <t>Prima de seguro AFP</t>
  </si>
  <si>
    <t>Tu seguro de salud</t>
  </si>
  <si>
    <t>EsSalud</t>
  </si>
  <si>
    <t>Comisión sobre el sueldo (%)</t>
  </si>
  <si>
    <t>Comisión de la AFP</t>
  </si>
  <si>
    <t>TU SUELDO NETO</t>
  </si>
  <si>
    <t>Total de pensión</t>
  </si>
  <si>
    <t>Renta de quinta categoría</t>
  </si>
  <si>
    <t>Aporte a tu fondo AFP</t>
  </si>
  <si>
    <t>Gratificaciones del año</t>
  </si>
  <si>
    <t>Bonificación extraordinaria del año</t>
  </si>
  <si>
    <t>Ingreso del año</t>
  </si>
  <si>
    <t>Total de descuento de pensión</t>
  </si>
  <si>
    <t>Renta neta (menos 7 UIT)</t>
  </si>
  <si>
    <t>Retención de quinta categoría</t>
  </si>
  <si>
    <t>Impuesto anual: tramo 1</t>
  </si>
  <si>
    <t>Sueldo neto</t>
  </si>
  <si>
    <t>Impuesto anual: tramo 2</t>
  </si>
  <si>
    <t>Impuesto anual: tramo 3</t>
  </si>
  <si>
    <t>La retención de quinta es un promedio mensual: la empresa la ajusta en el año si cambian tus ingresos. Con comisión sobre el saldo, la AFP no te descuenta comisión del sueldo.</t>
  </si>
  <si>
    <t>Impuesto anual: tramo 4</t>
  </si>
  <si>
    <t>Impuesto anual: tramo 5</t>
  </si>
  <si>
    <t>Impuesto anual: total</t>
  </si>
  <si>
    <t>Retención de quinta del mes</t>
  </si>
  <si>
    <t>Gratificación de julio y diciembre, y depósito de CTS</t>
  </si>
  <si>
    <t>Sueldo mensual</t>
  </si>
  <si>
    <t>Tu remuneración básica, sin descuentos.</t>
  </si>
  <si>
    <t>Gratificación</t>
  </si>
  <si>
    <t>Promedio mensual de pagos variables (opcional)</t>
  </si>
  <si>
    <t>Comisiones, horas extras u otros pagos que recibiste al menos 3 meses del semestre. Déjalo vacío si no tienes.</t>
  </si>
  <si>
    <t>Remuneración computable de la gratificación</t>
  </si>
  <si>
    <t>Régimen laboral de tu empleador</t>
  </si>
  <si>
    <t>Régimen general</t>
  </si>
  <si>
    <t>Bonificación extraordinaria</t>
  </si>
  <si>
    <t>GRATIFICACIÓN</t>
  </si>
  <si>
    <t>Meses completos trabajados en el semestre</t>
  </si>
  <si>
    <t>CTS</t>
  </si>
  <si>
    <t>Sexto de la gratificación</t>
  </si>
  <si>
    <t>Remuneración que se usa para el cálculo</t>
  </si>
  <si>
    <t>Remuneración computable de la CTS</t>
  </si>
  <si>
    <t>Asignación familiar incluida</t>
  </si>
  <si>
    <t>CTS por los meses</t>
  </si>
  <si>
    <t>CTS por los días</t>
  </si>
  <si>
    <t>Total a cobrar</t>
  </si>
  <si>
    <t>Se paga en la primera quincena de julio y de diciembre. En la microempresa del régimen especial no se paga gratificación.</t>
  </si>
  <si>
    <t>Gratificación que cobraste en el semestre (opcional)</t>
  </si>
  <si>
    <t>La de diciembre para el depósito de mayo y la de julio para el de noviembre, sin la bonificación. Se suma un sexto.</t>
  </si>
  <si>
    <t>Meses completos trabajados en el semestre de la CTS</t>
  </si>
  <si>
    <t>Días sueltos, además de los meses</t>
  </si>
  <si>
    <t>Remuneración computable</t>
  </si>
  <si>
    <t>Sexto de la gratificación incluido</t>
  </si>
  <si>
    <t>Por los meses completos</t>
  </si>
  <si>
    <t>Por los días sueltos</t>
  </si>
  <si>
    <t>Depósito de CTS</t>
  </si>
  <si>
    <t>Se deposita en la cuenta CTS en los primeros 15 días de mayo y de noviembre. En la microempresa del régimen especial no hay CTS.</t>
  </si>
  <si>
    <t>Liquidación de beneficios sociales e indemnización</t>
  </si>
  <si>
    <t>Fecha de ingreso</t>
  </si>
  <si>
    <t>Último día de trabajo</t>
  </si>
  <si>
    <t>Último sueldo mensual</t>
  </si>
  <si>
    <t>Tiempo de servicio</t>
  </si>
  <si>
    <t>Servicio: meses de servicio</t>
  </si>
  <si>
    <t>Comisiones, horas extras u otros pagos regulares. Déjalo vacío si no tienes.</t>
  </si>
  <si>
    <t>Servicio: años</t>
  </si>
  <si>
    <t>Servicio: meses</t>
  </si>
  <si>
    <t>Última gratificación que cobraste (opcional)</t>
  </si>
  <si>
    <t>Sin la bonificación extraordinaria. Un sexto se suma a la CTS trunca.</t>
  </si>
  <si>
    <t>Servicio: días</t>
  </si>
  <si>
    <t>Días de vacaciones ganadas que no tomaste</t>
  </si>
  <si>
    <t>CTS trunca</t>
  </si>
  <si>
    <t>CTS: días sueltos de las puntas</t>
  </si>
  <si>
    <t>TU LIQUIDACIÓN</t>
  </si>
  <si>
    <t>CTS: meses</t>
  </si>
  <si>
    <t>CTS: días</t>
  </si>
  <si>
    <t>Remuneración de la CTS (con un sexto de la gratificación)</t>
  </si>
  <si>
    <t>Gratificación trunca</t>
  </si>
  <si>
    <t>Vacaciones truncas</t>
  </si>
  <si>
    <t>Meses completos del semestre</t>
  </si>
  <si>
    <t>Vacaciones ganadas no tomadas</t>
  </si>
  <si>
    <t>Total de la liquidación</t>
  </si>
  <si>
    <t>Meses que cuenta la CTS trunca</t>
  </si>
  <si>
    <t>Días sueltos de la CTS trunca</t>
  </si>
  <si>
    <t>Vacaciones</t>
  </si>
  <si>
    <t>Meses que cuenta la gratificación trunca</t>
  </si>
  <si>
    <t>Remuneración vacacional</t>
  </si>
  <si>
    <t>Si ya te pagaron la gratificación de este semestre, réstala: no se cobra dos veces. En la microempresa del régimen especial solo se pagan las vacaciones.</t>
  </si>
  <si>
    <t>SI TE DESPIDIERON SIN CAUSA</t>
  </si>
  <si>
    <t>Indemnización por despido arbitrario</t>
  </si>
  <si>
    <t>Tipo de contrato</t>
  </si>
  <si>
    <t>A plazo indeterminado</t>
  </si>
  <si>
    <t>Remuneraciones diarias antes del tope</t>
  </si>
  <si>
    <t>Meses que faltaban para terminar el contrato</t>
  </si>
  <si>
    <t>Solo si tu contrato era a plazo fijo.</t>
  </si>
  <si>
    <t>Remuneraciones diarias</t>
  </si>
  <si>
    <t>Días sueltos que faltaban</t>
  </si>
  <si>
    <t>Remuneración mensual que se usa</t>
  </si>
  <si>
    <t>Años completos trabajados</t>
  </si>
  <si>
    <t>Meses adicionales</t>
  </si>
  <si>
    <t>Días adicionales</t>
  </si>
  <si>
    <t>Remuneraciones diarias que te corresponden</t>
  </si>
  <si>
    <t>Régimen general: una remuneración y media por año, con tope de 12 remuneraciones (DS 003-97-TR, art. 38). No incluye la indemnización por vacaciones vencidas.</t>
  </si>
  <si>
    <t>Tablas oficiales de Perú</t>
  </si>
  <si>
    <t>Son los valores que usan las fórmulas de esta planilla, vigentes al 8/10/2026.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</si>
  <si>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</si>
  <si>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</si>
  <si>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</si>
  <si>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</si>
  <si>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</si>
  <si>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</si>
  <si>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</si>
  <si>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Comisión sobre la remuneración (flujo) de cada AFP</t>
  </si>
  <si>
    <t>%</t>
  </si>
  <si>
    <t>1/10/2026</t>
  </si>
  <si>
    <t>https://www.sbs.gob.pe/app/spp/empleadores/comisiones_spp/Paginas/comision_prima.aspx</t>
  </si>
  <si>
    <t>7/10/2026</t>
  </si>
  <si>
    <t>AFP Integra</t>
  </si>
  <si>
    <t>Prima AFP</t>
  </si>
  <si>
    <t>Profuturo AFP</t>
  </si>
  <si>
    <t>Bonificación extraordinaria sobre la gratificación</t>
  </si>
  <si>
    <t>25/6/2015</t>
  </si>
  <si>
    <t>https://cdn.www.gob.pe/uploads/document/file/3321103/guia_gratificaciones.pdf</t>
  </si>
  <si>
    <t>EPS (entidad prestadora de salud)</t>
  </si>
  <si>
    <t>Unidad impositiva tributaria</t>
  </si>
  <si>
    <t/>
  </si>
  <si>
    <t>PEN</t>
  </si>
  <si>
    <t>1/1/2026</t>
  </si>
  <si>
    <t>https://busquedas.elperuano.pe/dispositivo/NL/2469116-1</t>
  </si>
  <si>
    <t>Remuneración mínima vital</t>
  </si>
  <si>
    <t>https://busquedas.elperuano.pe/dispositivo/EX/2559163-1</t>
  </si>
  <si>
    <t>7/12/1989</t>
  </si>
  <si>
    <t>https://www2.congreso.gob.pe/sicr/cendocbib/con4_uibd.nsf/e39398877e100a4a05257e37005c2e26/$file/compendio_normas_laborales_mintra_2013.pdf</t>
  </si>
  <si>
    <t>Aporte al Sistema Nacional de Pensiones (ONP)</t>
  </si>
  <si>
    <t>https://www.gob.pe/7944-aportes-a-la-onp-recaudados-por-sunat</t>
  </si>
  <si>
    <t>Aporte obligatorio al fondo de la AFP</t>
  </si>
  <si>
    <t>Remuneración máxima asegurable (tope de la prima de seguro AFP)</t>
  </si>
  <si>
    <t>Prima de seguro de invalidez, sobrevivencia y gastos de sepelio (AFP)</t>
  </si>
  <si>
    <t>Componente sobre el sueldo de la comisión mixta (AFP)</t>
  </si>
  <si>
    <t>1/2/2023</t>
  </si>
  <si>
    <t>Deducción fija de las rentas de cuarta y quinta categoría</t>
  </si>
  <si>
    <t>UIT</t>
  </si>
  <si>
    <t>1/1/2017</t>
  </si>
  <si>
    <t>https://www.sunat.gob.pe/legislacion/renta/ley/capvi.pdf</t>
  </si>
  <si>
    <t>Escala del impuesto a la renta de trabajo</t>
  </si>
  <si>
    <t>1/1/2015</t>
  </si>
  <si>
    <t>https://www.sunat.gob.pe/legislacion/renta/ley/capvii.pdf</t>
  </si>
  <si>
    <t>Desde</t>
  </si>
  <si>
    <t>Hasta</t>
  </si>
  <si>
    <t>Tasa %</t>
  </si>
  <si>
    <t>Cuota fija</t>
  </si>
  <si>
    <t>Gratificación por régimen laboral (remuneraciones por semestre)</t>
  </si>
  <si>
    <t>veces</t>
  </si>
  <si>
    <t>1/10/2008</t>
  </si>
  <si>
    <t>Pequeña empresa</t>
  </si>
  <si>
    <t>CTS por régimen laboral (remuneraciones por año)</t>
  </si>
  <si>
    <t>Días de vacaciones por año completo</t>
  </si>
  <si>
    <t>días</t>
  </si>
  <si>
    <t>Microempresa</t>
  </si>
  <si>
    <t>Indemnización por despido arbitrario por año completo</t>
  </si>
  <si>
    <t>Tope de la indemnización por despido arbitrario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</si>
</sst>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S/ &quot;#,##0.00"/>
    <numFmt numFmtId="165" formatCode="0.00##&quot; %&quot;"/>
    <numFmt numFmtId="166" formatCode="#,##0.##"/>
    <numFmt numFmtId="167" formatCode="dd/mm/yyyy"/>
    <numFmt numFmtId="168" formatCode="#,##0.00##"/>
    <numFmt numFmtId="169" formatCode="[&gt;=100000000000000]&quot;en adelante&quot;;#,##0.00##"/>
    <numFmt numFmtId="170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b/>
    </font>
    <font>
      <b/>
      <color rgb="FF1B5E20"/>
      <sz val="10"/>
    </font>
    <font>
      <sz val="10"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4" borderId="1" xfId="0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right"/>
    </xf>
    <xf numFmtId="0" fontId="6" fillId="0" borderId="0" xfId="0" applyFont="1"/>
    <xf numFmtId="0" fontId="5" fillId="5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left" wrapText="1" indent="1"/>
    </xf>
    <xf numFmtId="164" fontId="7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165" fontId="7" fillId="6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left" wrapText="1" indent="1"/>
    </xf>
    <xf numFmtId="164" fontId="5" fillId="8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6" fontId="7" fillId="6" borderId="1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166" fontId="0" fillId="7" borderId="1" xfId="0" applyNumberFormat="1" applyFill="1" applyBorder="1" applyAlignment="1">
      <alignment horizontal="right"/>
    </xf>
    <xf numFmtId="168" fontId="7" fillId="6" borderId="1" xfId="0" applyNumberFormat="1" applyFont="1" applyFill="1" applyBorder="1" applyAlignment="1">
      <alignment horizontal="right"/>
    </xf>
    <xf numFmtId="168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6" borderId="1" xfId="0" applyFill="1" applyBorder="1" applyAlignment="1">
      <alignment vertical="top" wrapText="1"/>
    </xf>
    <xf numFmtId="168" fontId="0" fillId="6" borderId="1" xfId="0" applyNumberForma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8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64" fontId="0" fillId="6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bs.gob.pe/app/spp/empleadores/comisiones_spp/Paginas/comision_prima.aspx" TargetMode="External"/><Relationship Id="rId2" Type="http://schemas.openxmlformats.org/officeDocument/2006/relationships/hyperlink" Target="https://www.sbs.gob.pe/app/spp/empleadores/comisiones_spp/Paginas/comision_prima.aspx" TargetMode="External"/><Relationship Id="rId3" Type="http://schemas.openxmlformats.org/officeDocument/2006/relationships/hyperlink" Target="https://www.sbs.gob.pe/app/spp/empleadores/comisiones_spp/Paginas/comision_prima.aspx" TargetMode="External"/><Relationship Id="rId4" Type="http://schemas.openxmlformats.org/officeDocument/2006/relationships/hyperlink" Target="https://www.sbs.gob.pe/app/spp/empleadores/comisiones_spp/Paginas/comision_prima.aspx" TargetMode="External"/><Relationship Id="rId5" Type="http://schemas.openxmlformats.org/officeDocument/2006/relationships/hyperlink" Target="https://cdn.www.gob.pe/uploads/document/file/3321103/guia_gratificaciones.pdf" TargetMode="External"/><Relationship Id="rId6" Type="http://schemas.openxmlformats.org/officeDocument/2006/relationships/hyperlink" Target="https://cdn.www.gob.pe/uploads/document/file/3321103/guia_gratificaciones.pdf" TargetMode="External"/><Relationship Id="rId7" Type="http://schemas.openxmlformats.org/officeDocument/2006/relationships/hyperlink" Target="https://busquedas.elperuano.pe/dispositivo/NL/2469116-1" TargetMode="External"/><Relationship Id="rId8" Type="http://schemas.openxmlformats.org/officeDocument/2006/relationships/hyperlink" Target="https://busquedas.elperuano.pe/dispositivo/EX/2559163-1" TargetMode="External"/><Relationship Id="rId9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10" Type="http://schemas.openxmlformats.org/officeDocument/2006/relationships/hyperlink" Target="https://www.gob.pe/7944-aportes-a-la-onp-recaudados-por-sunat" TargetMode="External"/><Relationship Id="rId11" Type="http://schemas.openxmlformats.org/officeDocument/2006/relationships/hyperlink" Target="https://www.sbs.gob.pe/app/spp/empleadores/comisiones_spp/Paginas/comision_prima.aspx" TargetMode="External"/><Relationship Id="rId12" Type="http://schemas.openxmlformats.org/officeDocument/2006/relationships/hyperlink" Target="https://www.sbs.gob.pe/app/spp/empleadores/comisiones_spp/Paginas/comision_prima.aspx" TargetMode="External"/><Relationship Id="rId13" Type="http://schemas.openxmlformats.org/officeDocument/2006/relationships/hyperlink" Target="https://www.sbs.gob.pe/app/spp/empleadores/comisiones_spp/Paginas/comision_prima.aspx" TargetMode="External"/><Relationship Id="rId14" Type="http://schemas.openxmlformats.org/officeDocument/2006/relationships/hyperlink" Target="https://www.sbs.gob.pe/app/spp/empleadores/comisiones_spp/Paginas/comision_prima.aspx" TargetMode="External"/><Relationship Id="rId15" Type="http://schemas.openxmlformats.org/officeDocument/2006/relationships/hyperlink" Target="https://www.sunat.gob.pe/legislacion/renta/ley/capvi.pdf" TargetMode="External"/><Relationship Id="rId16" Type="http://schemas.openxmlformats.org/officeDocument/2006/relationships/hyperlink" Target="https://www.sunat.gob.pe/legislacion/renta/ley/capvii.pdf" TargetMode="External"/><Relationship Id="rId17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18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19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0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1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2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3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4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5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6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7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8" Type="http://schemas.openxmlformats.org/officeDocument/2006/relationships/hyperlink" Target="https://www2.congreso.gob.pe/sicr/cendocbib/con4_uibd.nsf/e39398877e100a4a05257e37005c2e26/$file/compendio_normas_laborales_mintra_2013.pdf" TargetMode="External"/><Relationship Id="rId29" Type="http://schemas.openxmlformats.org/officeDocument/2006/relationships/hyperlink" Target="https://www2.congreso.gob.pe/sicr/cendocbib/con4_uibd.nsf/e39398877e100a4a05257e37005c2e26/$file/compendio_normas_laborales_mintra_20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7" t="s">
        <v>13</v>
      </c>
      <c r="B5" s="8">
        <v>3000</v>
      </c>
      <c r="E5" s="9" t="s">
        <v>14</v>
      </c>
    </row>
    <row r="6" spans="1:6" x14ac:dyDescent="0.25">
      <c r="A6" s="7" t="s">
        <v>15</v>
      </c>
      <c r="B6" s="10" t="s">
        <v>16</v>
      </c>
      <c r="E6" s="11" t="s">
        <v>17</v>
      </c>
      <c r="F6" s="12">
        <f>IF(B6="Sí",ROUND('Tablas oficiales'!$C$11*'Tablas oficiales'!$C$12/100,2),0)</f>
      </c>
    </row>
    <row r="7" spans="1:6" x14ac:dyDescent="0.25">
      <c r="A7" s="7" t="s">
        <v>18</v>
      </c>
      <c r="B7" s="10" t="s">
        <v>19</v>
      </c>
      <c r="E7" s="11" t="s">
        <v>20</v>
      </c>
      <c r="F7" s="12">
        <f>ROUND(B5+F6,2)</f>
      </c>
    </row>
    <row r="8" spans="1:6" x14ac:dyDescent="0.25">
      <c r="A8" s="7" t="s">
        <v>21</v>
      </c>
      <c r="B8" s="10" t="s">
        <v>22</v>
      </c>
      <c r="E8" s="11" t="s">
        <v>23</v>
      </c>
      <c r="F8" s="12">
        <f>IF(B7="AFP (sistema privado)",0,ROUND(F7*'Tablas oficiales'!$C$13/100,2))</f>
      </c>
    </row>
    <row r="9" ht="30" customHeight="1" spans="1:6" x14ac:dyDescent="0.25">
      <c r="A9" s="7" t="s">
        <v>24</v>
      </c>
      <c r="B9" s="10" t="s">
        <v>25</v>
      </c>
      <c r="C9" s="13" t="s">
        <v>26</v>
      </c>
      <c r="E9" s="11" t="s">
        <v>27</v>
      </c>
      <c r="F9" s="12">
        <f>IF(B7="AFP (sistema privado)",ROUND(F7*'Tablas oficiales'!$C$14/100,2),0)</f>
      </c>
    </row>
    <row r="10" spans="1:6" x14ac:dyDescent="0.25">
      <c r="A10" s="7" t="s">
        <v>28</v>
      </c>
      <c r="B10" s="10" t="s">
        <v>29</v>
      </c>
      <c r="C10" s="13" t="s">
        <v>30</v>
      </c>
      <c r="E10" s="11" t="s">
        <v>31</v>
      </c>
      <c r="F10" s="12">
        <f>IF(B7="AFP (sistema privado)",ROUND(MIN(F7,'Tablas oficiales'!$C$15)*'Tablas oficiales'!$C$16/100,2),0)</f>
      </c>
    </row>
    <row r="11" spans="1:6" x14ac:dyDescent="0.25">
      <c r="A11" s="7" t="s">
        <v>32</v>
      </c>
      <c r="B11" s="10" t="s">
        <v>33</v>
      </c>
      <c r="E11" s="11" t="s">
        <v>34</v>
      </c>
      <c r="F11" s="14">
        <f>IF(B9="Sobre el sueldo (flujo)",INDEX('Tablas oficiales'!$C$4:$C$7,MATCH(B8,'Tablas oficiales'!$B$4:$B$7,0)),'Tablas oficiales'!$C$17)</f>
      </c>
    </row>
    <row r="12" spans="5:6" x14ac:dyDescent="0.25">
      <c r="E12" s="11" t="s">
        <v>35</v>
      </c>
      <c r="F12" s="12">
        <f>IF(B7="AFP (sistema privado)",ROUND(F7*F11/100,2),0)</f>
      </c>
    </row>
    <row r="13" spans="1:6" x14ac:dyDescent="0.25">
      <c r="A13" s="6" t="s">
        <v>36</v>
      </c>
      <c r="B13" s="6"/>
      <c r="C13" s="6"/>
      <c r="E13" s="11" t="s">
        <v>37</v>
      </c>
      <c r="F13" s="12">
        <f>ROUND(F8+F9+F10+F12,2)</f>
      </c>
    </row>
    <row r="14" spans="1:2" x14ac:dyDescent="0.25">
      <c r="A14" s="15" t="s">
        <v>20</v>
      </c>
      <c r="B14" s="16">
        <f>F7</f>
      </c>
    </row>
    <row r="15" spans="1:5" x14ac:dyDescent="0.25">
      <c r="A15" s="15" t="s">
        <v>23</v>
      </c>
      <c r="B15" s="16">
        <f>F8</f>
      </c>
      <c r="E15" s="9" t="s">
        <v>38</v>
      </c>
    </row>
    <row r="16" spans="1:6" x14ac:dyDescent="0.25">
      <c r="A16" s="15" t="s">
        <v>39</v>
      </c>
      <c r="B16" s="16">
        <f>F9</f>
      </c>
      <c r="E16" s="11" t="s">
        <v>40</v>
      </c>
      <c r="F16" s="12">
        <f>ROUND(F7*IF(B10="Sí: un sueldo cada una",2,IF(B10="Sí: medio sueldo cada una",1,0)),2)</f>
      </c>
    </row>
    <row r="17" spans="1:6" x14ac:dyDescent="0.25">
      <c r="A17" s="15" t="s">
        <v>31</v>
      </c>
      <c r="B17" s="16">
        <f>F10</f>
      </c>
      <c r="E17" s="11" t="s">
        <v>41</v>
      </c>
      <c r="F17" s="12">
        <f>ROUND(F16*INDEX('Tablas oficiales'!$C$8:$C$9,MATCH(B11,'Tablas oficiales'!$B$8:$B$9,0))/100,2)</f>
      </c>
    </row>
    <row r="18" spans="1:6" x14ac:dyDescent="0.25">
      <c r="A18" s="15" t="s">
        <v>35</v>
      </c>
      <c r="B18" s="16">
        <f>F12</f>
      </c>
      <c r="E18" s="11" t="s">
        <v>42</v>
      </c>
      <c r="F18" s="12">
        <f>ROUND(F7*12+F16+F17,2)</f>
      </c>
    </row>
    <row r="19" spans="1:6" x14ac:dyDescent="0.25">
      <c r="A19" s="15" t="s">
        <v>43</v>
      </c>
      <c r="B19" s="16">
        <f>F13</f>
      </c>
      <c r="E19" s="11" t="s">
        <v>44</v>
      </c>
      <c r="F19" s="12">
        <f>MAX(0,ROUND(F18-'Tablas oficiales'!$C$18*'Tablas oficiales'!$C$10,2))</f>
      </c>
    </row>
    <row r="20" spans="1:6" x14ac:dyDescent="0.25">
      <c r="A20" s="15" t="s">
        <v>45</v>
      </c>
      <c r="B20" s="16">
        <f>F26</f>
      </c>
      <c r="E20" s="11" t="s">
        <v>46</v>
      </c>
      <c r="F20" s="12">
        <f>MAX(0,MIN(F19,'Tablas oficiales'!$C$21*'Tablas oficiales'!$C$10)-'Tablas oficiales'!$B$21*'Tablas oficiales'!$C$10)*'Tablas oficiales'!$D$21/100</f>
      </c>
    </row>
    <row r="21" spans="1:6" x14ac:dyDescent="0.25">
      <c r="A21" s="17" t="s">
        <v>47</v>
      </c>
      <c r="B21" s="18">
        <f>ROUND(F7-F13-F26,2)</f>
      </c>
      <c r="E21" s="11" t="s">
        <v>48</v>
      </c>
      <c r="F21" s="12">
        <f>MAX(0,MIN(F19,'Tablas oficiales'!$C$22*'Tablas oficiales'!$C$10)-'Tablas oficiales'!$B$22*'Tablas oficiales'!$C$10)*'Tablas oficiales'!$D$22/100</f>
      </c>
    </row>
    <row r="22" spans="5:6" x14ac:dyDescent="0.25">
      <c r="E22" s="11" t="s">
        <v>49</v>
      </c>
      <c r="F22" s="12">
        <f>MAX(0,MIN(F19,'Tablas oficiales'!$C$23*'Tablas oficiales'!$C$10)-'Tablas oficiales'!$B$23*'Tablas oficiales'!$C$10)*'Tablas oficiales'!$D$23/100</f>
      </c>
    </row>
    <row r="23" ht="36" customHeight="1" spans="1:6" x14ac:dyDescent="0.25">
      <c r="A23" s="4" t="s">
        <v>50</v>
      </c>
      <c r="B23" s="4"/>
      <c r="C23" s="4"/>
      <c r="E23" s="11" t="s">
        <v>51</v>
      </c>
      <c r="F23" s="12">
        <f>MAX(0,MIN(F19,'Tablas oficiales'!$C$24*'Tablas oficiales'!$C$10)-'Tablas oficiales'!$B$24*'Tablas oficiales'!$C$10)*'Tablas oficiales'!$D$24/100</f>
      </c>
    </row>
    <row r="24" spans="5:6" x14ac:dyDescent="0.25">
      <c r="E24" s="11" t="s">
        <v>52</v>
      </c>
      <c r="F24" s="12">
        <f>MAX(0,MIN(F19,'Tablas oficiales'!$C$25*'Tablas oficiales'!$C$10)-'Tablas oficiales'!$B$25*'Tablas oficiales'!$C$10)*'Tablas oficiales'!$D$25/100</f>
      </c>
    </row>
    <row r="25" spans="5:6" x14ac:dyDescent="0.25">
      <c r="E25" s="11" t="s">
        <v>53</v>
      </c>
      <c r="F25" s="12">
        <f>SUM(F20,F21,F22,F23,F24)</f>
      </c>
    </row>
    <row r="26" spans="5:6" x14ac:dyDescent="0.25">
      <c r="E26" s="11" t="s">
        <v>54</v>
      </c>
      <c r="F26" s="12">
        <f>ROUND(ROUND(F25,2)/12,2)</f>
      </c>
    </row>
  </sheetData>
  <mergeCells count="5">
    <mergeCell ref="A1:C1"/>
    <mergeCell ref="E3:F3"/>
    <mergeCell ref="A4:C4"/>
    <mergeCell ref="A13:C13"/>
    <mergeCell ref="A23:C23"/>
  </mergeCells>
  <dataValidations count="7">
    <dataValidation type="list" showErrorMessage="1" error="Elige una opción de la lista." sqref="B10">
      <formula1>"Sí: un sueldo cada una,Sí: medio sueldo cada una,No recibo gratificaciones"</formula1>
    </dataValidation>
    <dataValidation type="list" showErrorMessage="1" error="Elige una opción de la lista." sqref="B11">
      <formula1>"EsSalud,EPS (entidad prestadora de salud)"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"Sí,No"</formula1>
    </dataValidation>
    <dataValidation type="list" showErrorMessage="1" error="Elige una opción de la lista." sqref="B7">
      <formula1>"AFP (sistema privado),ONP (sistema nacional)"</formula1>
    </dataValidation>
    <dataValidation type="list" showErrorMessage="1" error="Elige una opción de la lista." sqref="B8">
      <formula1>"AFP Habitat,AFP Integra,Prima AFP,Profuturo AFP"</formula1>
    </dataValidation>
    <dataValidation type="list" showErrorMessage="1" error="Elige una opción de la lista." sqref="B9">
      <formula1>"Sobre el saldo (mixta),Sobre el sueldo (flujo)"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31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55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11" t="s">
        <v>17</v>
      </c>
      <c r="F4" s="12">
        <f>IF(B6="Sí",ROUND('Tablas oficiales'!$C$11*'Tablas oficiales'!$C$12/100,2),0)</f>
      </c>
    </row>
    <row r="5" spans="1:3" x14ac:dyDescent="0.25">
      <c r="A5" s="7" t="s">
        <v>56</v>
      </c>
      <c r="B5" s="8">
        <v>3000</v>
      </c>
      <c r="C5" s="13" t="s">
        <v>57</v>
      </c>
    </row>
    <row r="6" spans="1:5" x14ac:dyDescent="0.25">
      <c r="A6" s="7" t="s">
        <v>15</v>
      </c>
      <c r="B6" s="10" t="s">
        <v>16</v>
      </c>
      <c r="E6" s="9" t="s">
        <v>58</v>
      </c>
    </row>
    <row r="7" ht="30" customHeight="1" spans="1:6" x14ac:dyDescent="0.25">
      <c r="A7" s="7" t="s">
        <v>59</v>
      </c>
      <c r="B7" s="8"/>
      <c r="C7" s="13" t="s">
        <v>60</v>
      </c>
      <c r="E7" s="11" t="s">
        <v>61</v>
      </c>
      <c r="F7" s="12">
        <f>ROUND(B5+F4+IF(ISNUMBER(B7),B7,0),2)</f>
      </c>
    </row>
    <row r="8" spans="1:6" x14ac:dyDescent="0.25">
      <c r="A8" s="7" t="s">
        <v>62</v>
      </c>
      <c r="B8" s="10" t="s">
        <v>63</v>
      </c>
      <c r="E8" s="11" t="s">
        <v>58</v>
      </c>
      <c r="F8" s="12">
        <f>IF(B8="Microempresa (REMYPE)",0,ROUND(F7*IF(B8="Régimen general",'Tablas oficiales'!$C$27,IF(B8="Pequeña empresa (REMYPE)",'Tablas oficiales'!$C$28,0))*B11/6,2))</f>
      </c>
    </row>
    <row r="9" spans="5:6" x14ac:dyDescent="0.25">
      <c r="E9" s="11" t="s">
        <v>64</v>
      </c>
      <c r="F9" s="12">
        <f>IF(B8="Microempresa (REMYPE)",0,ROUND(F8*INDEX('Tablas oficiales'!$C$8:$C$9,MATCH(B12,'Tablas oficiales'!$B$8:$B$9,0))/100,2))</f>
      </c>
    </row>
    <row r="10" spans="1:3" x14ac:dyDescent="0.25">
      <c r="A10" s="6" t="s">
        <v>65</v>
      </c>
      <c r="B10" s="6"/>
      <c r="C10" s="6"/>
    </row>
    <row r="11" spans="1:5" x14ac:dyDescent="0.25">
      <c r="A11" s="7" t="s">
        <v>66</v>
      </c>
      <c r="B11" s="19">
        <v>6</v>
      </c>
      <c r="E11" s="9" t="s">
        <v>67</v>
      </c>
    </row>
    <row r="12" spans="1:6" x14ac:dyDescent="0.25">
      <c r="A12" s="7" t="s">
        <v>32</v>
      </c>
      <c r="B12" s="10" t="s">
        <v>33</v>
      </c>
      <c r="E12" s="11" t="s">
        <v>68</v>
      </c>
      <c r="F12" s="12">
        <f>ROUND(IF(ISNUMBER(B22),B22,0)/6,2)</f>
      </c>
    </row>
    <row r="13" spans="1:6" x14ac:dyDescent="0.25">
      <c r="A13" s="15" t="s">
        <v>69</v>
      </c>
      <c r="B13" s="16">
        <f>F7</f>
      </c>
      <c r="E13" s="11" t="s">
        <v>70</v>
      </c>
      <c r="F13" s="12">
        <f>ROUND(B5+F4+IF(ISNUMBER(B7),B7,0)+F12,2)</f>
      </c>
    </row>
    <row r="14" spans="1:6" x14ac:dyDescent="0.25">
      <c r="A14" s="15" t="s">
        <v>71</v>
      </c>
      <c r="B14" s="16">
        <f>F4</f>
      </c>
      <c r="E14" s="11" t="s">
        <v>72</v>
      </c>
      <c r="F14" s="12">
        <f>IF(B8="Microempresa (REMYPE)",0,ROUND(F13*IF(B8="Régimen general",'Tablas oficiales'!$C$29,IF(B8="Pequeña empresa (REMYPE)",'Tablas oficiales'!$C$30,0))/12*B23,2))</f>
      </c>
    </row>
    <row r="15" spans="1:6" x14ac:dyDescent="0.25">
      <c r="A15" s="15" t="s">
        <v>58</v>
      </c>
      <c r="B15" s="16">
        <f>F8</f>
      </c>
      <c r="E15" s="11" t="s">
        <v>73</v>
      </c>
      <c r="F15" s="12">
        <f>IF(B8="Microempresa (REMYPE)",0,ROUND(F13*IF(B8="Régimen general",'Tablas oficiales'!$C$29,IF(B8="Pequeña empresa (REMYPE)",'Tablas oficiales'!$C$30,0))/360*B24,2))</f>
      </c>
    </row>
    <row r="16" spans="1:2" x14ac:dyDescent="0.25">
      <c r="A16" s="15" t="s">
        <v>64</v>
      </c>
      <c r="B16" s="16">
        <f>F9</f>
      </c>
    </row>
    <row r="17" spans="1:2" x14ac:dyDescent="0.25">
      <c r="A17" s="17" t="s">
        <v>74</v>
      </c>
      <c r="B17" s="18">
        <f>ROUND(F8+F9,2)</f>
      </c>
    </row>
    <row r="19" ht="36" customHeight="1" spans="1:3" x14ac:dyDescent="0.25">
      <c r="A19" s="4" t="s">
        <v>75</v>
      </c>
      <c r="B19" s="4"/>
      <c r="C19" s="4"/>
    </row>
    <row r="21" spans="1:3" x14ac:dyDescent="0.25">
      <c r="A21" s="6" t="s">
        <v>67</v>
      </c>
      <c r="B21" s="6"/>
      <c r="C21" s="6"/>
    </row>
    <row r="22" ht="30" customHeight="1" spans="1:3" x14ac:dyDescent="0.25">
      <c r="A22" s="7" t="s">
        <v>76</v>
      </c>
      <c r="B22" s="8"/>
      <c r="C22" s="13" t="s">
        <v>77</v>
      </c>
    </row>
    <row r="23" spans="1:2" x14ac:dyDescent="0.25">
      <c r="A23" s="7" t="s">
        <v>78</v>
      </c>
      <c r="B23" s="19">
        <v>6</v>
      </c>
    </row>
    <row r="24" spans="1:2" x14ac:dyDescent="0.25">
      <c r="A24" s="7" t="s">
        <v>79</v>
      </c>
      <c r="B24" s="19">
        <v>0</v>
      </c>
    </row>
    <row r="25" spans="1:2" x14ac:dyDescent="0.25">
      <c r="A25" s="15" t="s">
        <v>80</v>
      </c>
      <c r="B25" s="16">
        <f>F13</f>
      </c>
    </row>
    <row r="26" spans="1:2" x14ac:dyDescent="0.25">
      <c r="A26" s="15" t="s">
        <v>81</v>
      </c>
      <c r="B26" s="16">
        <f>F12</f>
      </c>
    </row>
    <row r="27" spans="1:2" x14ac:dyDescent="0.25">
      <c r="A27" s="15" t="s">
        <v>82</v>
      </c>
      <c r="B27" s="16">
        <f>F14</f>
      </c>
    </row>
    <row r="28" spans="1:2" x14ac:dyDescent="0.25">
      <c r="A28" s="15" t="s">
        <v>83</v>
      </c>
      <c r="B28" s="16">
        <f>F15</f>
      </c>
    </row>
    <row r="29" spans="1:2" x14ac:dyDescent="0.25">
      <c r="A29" s="17" t="s">
        <v>84</v>
      </c>
      <c r="B29" s="18">
        <f>ROUND(F14+F15,2)</f>
      </c>
    </row>
    <row r="31" ht="36" customHeight="1" spans="1:3" x14ac:dyDescent="0.25">
      <c r="A31" s="4" t="s">
        <v>85</v>
      </c>
      <c r="B31" s="4"/>
      <c r="C31" s="4"/>
    </row>
  </sheetData>
  <mergeCells count="7">
    <mergeCell ref="A1:C1"/>
    <mergeCell ref="E3:F3"/>
    <mergeCell ref="A4:C4"/>
    <mergeCell ref="A10:C10"/>
    <mergeCell ref="A19:C19"/>
    <mergeCell ref="A21:C21"/>
    <mergeCell ref="A31:C31"/>
  </mergeCells>
  <dataValidations count="9">
    <dataValidation type="whole" allowBlank="1" showErrorMessage="1" error="Escribe un número entre 0 y 6." sqref="B11">
      <formula1>0</formula1>
      <formula2>6</formula2>
    </dataValidation>
    <dataValidation type="list" showErrorMessage="1" error="Elige una opción de la lista." sqref="B12">
      <formula1>"EsSalud,EPS (entidad prestadora de salud)"</formula1>
    </dataValidation>
    <dataValidation type="decimal" allowBlank="1" showErrorMessage="1" error="Escribe un número mayor o igual a 0." sqref="B22">
      <formula1>0</formula1>
      <formula2>1000000000000</formula2>
    </dataValidation>
    <dataValidation type="whole" allowBlank="1" showErrorMessage="1" error="Escribe un número entre 0 y 6." sqref="B23">
      <formula1>0</formula1>
      <formula2>6</formula2>
    </dataValidation>
    <dataValidation type="whole" allowBlank="1" showErrorMessage="1" error="Escribe un número entre 0 y 29." sqref="B24">
      <formula1>0</formula1>
      <formula2>29</formula2>
    </dataValidation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"Sí,No"</formula1>
    </dataValidation>
    <dataValidation type="decimal" allowBlank="1" showErrorMessage="1" error="Escribe un número mayor o igual a 0." sqref="B7">
      <formula1>0</formula1>
      <formula2>1000000000000</formula2>
    </dataValidation>
    <dataValidation type="list" showErrorMessage="1" error="Elige una opción de la lista." sqref="B8">
      <formula1>"Régimen general,Pequeña empresa (REMYPE),Microempresa (REMYPE)"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42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86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11" t="s">
        <v>17</v>
      </c>
      <c r="F4" s="12">
        <f>IF(B8="Sí",ROUND('Tablas oficiales'!$C$11*'Tablas oficiales'!$C$12/100,2),0)</f>
      </c>
    </row>
    <row r="5" spans="1:6" x14ac:dyDescent="0.25">
      <c r="A5" s="7" t="s">
        <v>87</v>
      </c>
      <c r="B5" s="20">
        <v>44986</v>
      </c>
      <c r="E5" s="11" t="s">
        <v>80</v>
      </c>
      <c r="F5" s="12">
        <f>ROUND(B7+F4+IF(ISNUMBER(B9),B9,0),2)</f>
      </c>
    </row>
    <row r="6" spans="1:2" x14ac:dyDescent="0.25">
      <c r="A6" s="7" t="s">
        <v>88</v>
      </c>
      <c r="B6" s="20">
        <v>46303</v>
      </c>
    </row>
    <row r="7" spans="1:5" x14ac:dyDescent="0.25">
      <c r="A7" s="7" t="s">
        <v>89</v>
      </c>
      <c r="B7" s="8">
        <v>3000</v>
      </c>
      <c r="E7" s="9" t="s">
        <v>90</v>
      </c>
    </row>
    <row r="8" spans="1:6" x14ac:dyDescent="0.25">
      <c r="A8" s="7" t="s">
        <v>15</v>
      </c>
      <c r="B8" s="10" t="s">
        <v>16</v>
      </c>
      <c r="E8" s="11" t="s">
        <v>91</v>
      </c>
      <c r="F8" s="21">
        <f>IF(B6&lt;B5,0,(YEAR((B6+1))-YEAR(B5))*12+MONTH((B6+1))-MONTH(B5)-IF(DAY((B6+1))&lt;DAY(B5),1,0))</f>
      </c>
    </row>
    <row r="9" ht="30" customHeight="1" spans="1:6" x14ac:dyDescent="0.25">
      <c r="A9" s="7" t="s">
        <v>59</v>
      </c>
      <c r="B9" s="8"/>
      <c r="C9" s="13" t="s">
        <v>92</v>
      </c>
      <c r="E9" s="11" t="s">
        <v>93</v>
      </c>
      <c r="F9" s="21">
        <f>INT(F8/12)</f>
      </c>
    </row>
    <row r="10" spans="1:6" x14ac:dyDescent="0.25">
      <c r="A10" s="7" t="s">
        <v>62</v>
      </c>
      <c r="B10" s="10" t="s">
        <v>63</v>
      </c>
      <c r="E10" s="11" t="s">
        <v>94</v>
      </c>
      <c r="F10" s="21">
        <f>MOD(F8,12)</f>
      </c>
    </row>
    <row r="11" spans="1:6" x14ac:dyDescent="0.25">
      <c r="A11" s="7" t="s">
        <v>95</v>
      </c>
      <c r="B11" s="8"/>
      <c r="C11" s="13" t="s">
        <v>96</v>
      </c>
      <c r="E11" s="11" t="s">
        <v>97</v>
      </c>
      <c r="F11" s="21">
        <f>IF(B6&lt;B5,0,MIN((B6+1)-DATE(YEAR(DATE(YEAR(B5),MONTH(B5)+F8,1)),MONTH(DATE(YEAR(B5),MONTH(B5)+F8,1)),MIN(DAY(B5),DAY(EOMONTH(DATE(YEAR(B5),MONTH(B5)+F8,1),0)))),29))</f>
      </c>
    </row>
    <row r="12" spans="1:2" x14ac:dyDescent="0.25">
      <c r="A12" s="7" t="s">
        <v>98</v>
      </c>
      <c r="B12" s="19">
        <v>0</v>
      </c>
    </row>
    <row r="13" spans="1:5" x14ac:dyDescent="0.25">
      <c r="A13" s="7" t="s">
        <v>32</v>
      </c>
      <c r="B13" s="10" t="s">
        <v>33</v>
      </c>
      <c r="E13" s="9" t="s">
        <v>99</v>
      </c>
    </row>
    <row r="14" spans="5:6" x14ac:dyDescent="0.25">
      <c r="E14" s="11" t="s">
        <v>100</v>
      </c>
      <c r="F14" s="21">
        <f>IF(DAY(MAX(B5,IF(MONTH(B6)&gt;=11,DATE(YEAR(B6),11,1),IF(MONTH(B6)&gt;=5,DATE(YEAR(B6),5,1),DATE(YEAR(B6)-1,11,1)))))=1,0,DAY(EOMONTH(MAX(B5,IF(MONTH(B6)&gt;=11,DATE(YEAR(B6),11,1),IF(MONTH(B6)&gt;=5,DATE(YEAR(B6),5,1),DATE(YEAR(B6)-1,11,1)))),0))-DAY(MAX(B5,IF(MONTH(B6)&gt;=11,DATE(YEAR(B6),11,1),IF(MONTH(B6)&gt;=5,DATE(YEAR(B6),5,1),DATE(YEAR(B6)-1,11,1)))))+1)+IF(DAY(B6)=DAY(EOMONTH(B6,0)),0,DAY(B6))</f>
      </c>
    </row>
    <row r="15" spans="1:6" x14ac:dyDescent="0.25">
      <c r="A15" s="6" t="s">
        <v>101</v>
      </c>
      <c r="B15" s="6"/>
      <c r="C15" s="6"/>
      <c r="E15" s="11" t="s">
        <v>102</v>
      </c>
      <c r="F15" s="21">
        <f>IF(B6&lt;MAX(B5,IF(MONTH(B6)&gt;=11,DATE(YEAR(B6),11,1),IF(MONTH(B6)&gt;=5,DATE(YEAR(B6),5,1),DATE(YEAR(B6)-1,11,1)))),0,IF(AND(YEAR(MAX(B5,IF(MONTH(B6)&gt;=11,DATE(YEAR(B6),11,1),IF(MONTH(B6)&gt;=5,DATE(YEAR(B6),5,1),DATE(YEAR(B6)-1,11,1)))))=YEAR(B6),MONTH(MAX(B5,IF(MONTH(B6)&gt;=11,DATE(YEAR(B6),11,1),IF(MONTH(B6)&gt;=5,DATE(YEAR(B6),5,1),DATE(YEAR(B6)-1,11,1)))))=MONTH(B6)),IF(AND(DAY(MAX(B5,IF(MONTH(B6)&gt;=11,DATE(YEAR(B6),11,1),IF(MONTH(B6)&gt;=5,DATE(YEAR(B6),5,1),DATE(YEAR(B6)-1,11,1)))))=1,DAY(B6)=DAY(EOMONTH(B6,0))),1,0),IF(DAY(MAX(B5,IF(MONTH(B6)&gt;=11,DATE(YEAR(B6),11,1),IF(MONTH(B6)&gt;=5,DATE(YEAR(B6),5,1),DATE(YEAR(B6)-1,11,1)))))=1,1,0)+IF(DAY(B6)=DAY(EOMONTH(B6,0)),1,0)+MAX(0,(YEAR(B6)*12+MONTH(B6))-(YEAR(MAX(B5,IF(MONTH(B6)&gt;=11,DATE(YEAR(B6),11,1),IF(MONTH(B6)&gt;=5,DATE(YEAR(B6),5,1),DATE(YEAR(B6)-1,11,1)))))*12+MONTH(MAX(B5,IF(MONTH(B6)&gt;=11,DATE(YEAR(B6),11,1),IF(MONTH(B6)&gt;=5,DATE(YEAR(B6),5,1),DATE(YEAR(B6)-1,11,1))))))-1)+INT(F14/30)))</f>
      </c>
    </row>
    <row r="16" spans="1:6" x14ac:dyDescent="0.25">
      <c r="A16" s="22">
        <f>IF(B6&lt;B5,"El último día de trabajo tiene que ser posterior a la fecha de ingreso.","")</f>
      </c>
      <c r="B16" s="22"/>
      <c r="C16" s="22"/>
      <c r="E16" s="11" t="s">
        <v>103</v>
      </c>
      <c r="F16" s="21">
        <f>IF(B6&lt;MAX(B5,IF(MONTH(B6)&gt;=11,DATE(YEAR(B6),11,1),IF(MONTH(B6)&gt;=5,DATE(YEAR(B6),5,1),DATE(YEAR(B6)-1,11,1)))),0,IF(AND(YEAR(MAX(B5,IF(MONTH(B6)&gt;=11,DATE(YEAR(B6),11,1),IF(MONTH(B6)&gt;=5,DATE(YEAR(B6),5,1),DATE(YEAR(B6)-1,11,1)))))=YEAR(B6),MONTH(MAX(B5,IF(MONTH(B6)&gt;=11,DATE(YEAR(B6),11,1),IF(MONTH(B6)&gt;=5,DATE(YEAR(B6),5,1),DATE(YEAR(B6)-1,11,1)))))=MONTH(B6)),IF(AND(DAY(MAX(B5,IF(MONTH(B6)&gt;=11,DATE(YEAR(B6),11,1),IF(MONTH(B6)&gt;=5,DATE(YEAR(B6),5,1),DATE(YEAR(B6)-1,11,1)))))=1,DAY(B6)=DAY(EOMONTH(B6,0))),0,DAY(B6)-DAY(MAX(B5,IF(MONTH(B6)&gt;=11,DATE(YEAR(B6),11,1),IF(MONTH(B6)&gt;=5,DATE(YEAR(B6),5,1),DATE(YEAR(B6)-1,11,1)))))+1),MOD(F14,30)))</f>
      </c>
    </row>
    <row r="17" spans="1:6" x14ac:dyDescent="0.25">
      <c r="A17" s="15" t="s">
        <v>80</v>
      </c>
      <c r="B17" s="16">
        <f>F5</f>
      </c>
      <c r="E17" s="11" t="s">
        <v>104</v>
      </c>
      <c r="F17" s="12">
        <f>F5+ROUND(IF(ISNUMBER(B11),B11,0)/6,2)</f>
      </c>
    </row>
    <row r="18" spans="1:6" x14ac:dyDescent="0.25">
      <c r="A18" s="15" t="s">
        <v>99</v>
      </c>
      <c r="B18" s="16">
        <f>F18</f>
      </c>
      <c r="E18" s="11" t="s">
        <v>99</v>
      </c>
      <c r="F18" s="12">
        <f>IF(AND(NOT(B10="Microempresa (REMYPE)"),OR(F9&gt;0,F10&gt;0)),ROUND(F17*IF(B10="Régimen general",'Tablas oficiales'!$C$29,IF(B10="Pequeña empresa (REMYPE)",'Tablas oficiales'!$C$30,0))/12*F15+F17*IF(B10="Régimen general",'Tablas oficiales'!$C$29,IF(B10="Pequeña empresa (REMYPE)",'Tablas oficiales'!$C$30,0))/360*F16,2),0)</f>
      </c>
    </row>
    <row r="19" spans="1:2" x14ac:dyDescent="0.25">
      <c r="A19" s="15" t="s">
        <v>105</v>
      </c>
      <c r="B19" s="16">
        <f>F22</f>
      </c>
    </row>
    <row r="20" spans="1:5" x14ac:dyDescent="0.25">
      <c r="A20" s="15" t="s">
        <v>64</v>
      </c>
      <c r="B20" s="16">
        <f>F23</f>
      </c>
      <c r="E20" s="9" t="s">
        <v>105</v>
      </c>
    </row>
    <row r="21" spans="1:6" x14ac:dyDescent="0.25">
      <c r="A21" s="15" t="s">
        <v>106</v>
      </c>
      <c r="B21" s="16">
        <f>F27</f>
      </c>
      <c r="E21" s="11" t="s">
        <v>107</v>
      </c>
      <c r="F21" s="21">
        <f>IF(B6&lt;MAX(B5,DATE(YEAR(B6),IF(MONTH(B6)&lt;=6,1,7),1)),0,MAX(0,IF(DAY(B6)=DAY(EOMONTH(B6,0)),(YEAR(B6)*12+MONTH(B6)),(YEAR(B6)*12+MONTH(B6))-1)-IF(DAY(MAX(B5,DATE(YEAR(B6),IF(MONTH(B6)&lt;=6,1,7),1)))=1,(YEAR(MAX(B5,DATE(YEAR(B6),IF(MONTH(B6)&lt;=6,1,7),1)))*12+MONTH(MAX(B5,DATE(YEAR(B6),IF(MONTH(B6)&lt;=6,1,7),1)))),(YEAR(MAX(B5,DATE(YEAR(B6),IF(MONTH(B6)&lt;=6,1,7),1)))*12+MONTH(MAX(B5,DATE(YEAR(B6),IF(MONTH(B6)&lt;=6,1,7),1))))+1)+1))</f>
      </c>
    </row>
    <row r="22" spans="1:6" x14ac:dyDescent="0.25">
      <c r="A22" s="15" t="s">
        <v>108</v>
      </c>
      <c r="B22" s="16">
        <f>F28</f>
      </c>
      <c r="E22" s="11" t="s">
        <v>105</v>
      </c>
      <c r="F22" s="12">
        <f>IF(B10="Microempresa (REMYPE)",0,ROUND(F5*IF(B10="Régimen general",'Tablas oficiales'!$C$27,IF(B10="Pequeña empresa (REMYPE)",'Tablas oficiales'!$C$28,0))*F21/6,2))</f>
      </c>
    </row>
    <row r="23" spans="1:6" x14ac:dyDescent="0.25">
      <c r="A23" s="17" t="s">
        <v>109</v>
      </c>
      <c r="B23" s="18">
        <f>ROUND(F18+F22+F23+F27+F28,2)</f>
      </c>
      <c r="E23" s="11" t="s">
        <v>64</v>
      </c>
      <c r="F23" s="12">
        <f>IF(B10="Microempresa (REMYPE)",0,ROUND(F22*INDEX('Tablas oficiales'!$C$8:$C$9,MATCH(B13,'Tablas oficiales'!$B$8:$B$9,0))/100,2))</f>
      </c>
    </row>
    <row r="24" spans="1:2" x14ac:dyDescent="0.25">
      <c r="A24" s="15" t="s">
        <v>110</v>
      </c>
      <c r="B24" s="23">
        <f>F15</f>
      </c>
    </row>
    <row r="25" spans="1:5" x14ac:dyDescent="0.25">
      <c r="A25" s="15" t="s">
        <v>111</v>
      </c>
      <c r="B25" s="23">
        <f>F16</f>
      </c>
      <c r="E25" s="9" t="s">
        <v>112</v>
      </c>
    </row>
    <row r="26" spans="1:6" x14ac:dyDescent="0.25">
      <c r="A26" s="15" t="s">
        <v>113</v>
      </c>
      <c r="B26" s="23">
        <f>F21</f>
      </c>
      <c r="E26" s="11" t="s">
        <v>114</v>
      </c>
      <c r="F26" s="12">
        <f>F5*IF(B10="Régimen general",'Tablas oficiales'!$C$31,IF(B10="Pequeña empresa (REMYPE)",'Tablas oficiales'!$C$32,'Tablas oficiales'!$C$33))/30</f>
      </c>
    </row>
    <row r="27" spans="5:6" x14ac:dyDescent="0.25">
      <c r="E27" s="11" t="s">
        <v>106</v>
      </c>
      <c r="F27" s="12">
        <f>IF(OR(F9&gt;0,F10&gt;0),ROUND(F26/12*F10+F26/360*F11,2),0)</f>
      </c>
    </row>
    <row r="28" ht="36" customHeight="1" spans="1:6" x14ac:dyDescent="0.25">
      <c r="A28" s="4" t="s">
        <v>115</v>
      </c>
      <c r="B28" s="4"/>
      <c r="C28" s="4"/>
      <c r="E28" s="11" t="s">
        <v>108</v>
      </c>
      <c r="F28" s="12">
        <f>ROUND(F5/30*B12,2)</f>
      </c>
    </row>
    <row r="30" spans="1:5" x14ac:dyDescent="0.25">
      <c r="A30" s="6" t="s">
        <v>116</v>
      </c>
      <c r="B30" s="6"/>
      <c r="C30" s="6"/>
      <c r="E30" s="9" t="s">
        <v>117</v>
      </c>
    </row>
    <row r="31" spans="1:6" x14ac:dyDescent="0.25">
      <c r="A31" s="7" t="s">
        <v>118</v>
      </c>
      <c r="B31" s="10" t="s">
        <v>119</v>
      </c>
      <c r="E31" s="11" t="s">
        <v>120</v>
      </c>
      <c r="F31" s="24">
        <f>IF(B31="A plazo fijo (con fecha de fin)",IF(B10="Régimen general",'Tablas oficiales'!$C$34,IF(B10="Pequeña empresa (REMYPE)",'Tablas oficiales'!$C$35,'Tablas oficiales'!$C$36))*B32+IF(B10="Régimen general",'Tablas oficiales'!$C$34,IF(B10="Pequeña empresa (REMYPE)",'Tablas oficiales'!$C$35,'Tablas oficiales'!$C$36))/30*B33,IF(B10="Régimen general",IF(B10="Régimen general",'Tablas oficiales'!$C$34,IF(B10="Pequeña empresa (REMYPE)",'Tablas oficiales'!$C$35,'Tablas oficiales'!$C$36))*(F9+F10/12+F11/360),IF(B10="Régimen general",'Tablas oficiales'!$C$34,IF(B10="Pequeña empresa (REMYPE)",'Tablas oficiales'!$C$35,'Tablas oficiales'!$C$36))*(F9+F10/12)))</f>
      </c>
    </row>
    <row r="32" spans="1:6" x14ac:dyDescent="0.25">
      <c r="A32" s="7" t="s">
        <v>121</v>
      </c>
      <c r="B32" s="19">
        <v>0</v>
      </c>
      <c r="C32" s="13" t="s">
        <v>122</v>
      </c>
      <c r="E32" s="11" t="s">
        <v>123</v>
      </c>
      <c r="F32" s="24">
        <f>IF(AND(F9=0,F10&lt;3),0,MIN(F31,IF(B10="Régimen general",'Tablas oficiales'!$C$37,IF(B10="Pequeña empresa (REMYPE)",'Tablas oficiales'!$C$38,'Tablas oficiales'!$C$39))))</f>
      </c>
    </row>
    <row r="33" spans="1:3" x14ac:dyDescent="0.25">
      <c r="A33" s="7" t="s">
        <v>124</v>
      </c>
      <c r="B33" s="19">
        <v>0</v>
      </c>
      <c r="C33" s="13" t="s">
        <v>122</v>
      </c>
    </row>
    <row r="34" spans="1:3" x14ac:dyDescent="0.25">
      <c r="A34" s="22">
        <f>IF(AND(B31="A plazo fijo (con fecha de fin)",NOT(B10="Régimen general")),"Para contratos a plazo fijo en la micro o pequeña empresa no tenemos una regla confirmada en la norma.",IF(AND(F9=0,F10&lt;3),"Si te despiden durante los tres primeros meses (periodo de prueba) no corresponde indemnización.",""))</f>
      </c>
      <c r="B34" s="22"/>
      <c r="C34" s="22"/>
    </row>
    <row r="35" spans="1:2" x14ac:dyDescent="0.25">
      <c r="A35" s="15" t="s">
        <v>125</v>
      </c>
      <c r="B35" s="16">
        <f>F5</f>
      </c>
    </row>
    <row r="36" spans="1:2" x14ac:dyDescent="0.25">
      <c r="A36" s="15" t="s">
        <v>126</v>
      </c>
      <c r="B36" s="23">
        <f>F9</f>
      </c>
    </row>
    <row r="37" spans="1:2" x14ac:dyDescent="0.25">
      <c r="A37" s="15" t="s">
        <v>127</v>
      </c>
      <c r="B37" s="23">
        <f>F10</f>
      </c>
    </row>
    <row r="38" spans="1:2" x14ac:dyDescent="0.25">
      <c r="A38" s="15" t="s">
        <v>128</v>
      </c>
      <c r="B38" s="23">
        <f>F11</f>
      </c>
    </row>
    <row r="39" spans="1:2" x14ac:dyDescent="0.25">
      <c r="A39" s="15" t="s">
        <v>129</v>
      </c>
      <c r="B39" s="25">
        <f>ROUND(F32,2)</f>
      </c>
    </row>
    <row r="40" spans="1:2" x14ac:dyDescent="0.25">
      <c r="A40" s="17" t="s">
        <v>117</v>
      </c>
      <c r="B40" s="18">
        <f>ROUND(F32*F5/30,2)</f>
      </c>
    </row>
    <row r="42" ht="36" customHeight="1" spans="1:3" x14ac:dyDescent="0.25">
      <c r="A42" s="4" t="s">
        <v>130</v>
      </c>
      <c r="B42" s="4"/>
      <c r="C42" s="4"/>
    </row>
  </sheetData>
  <mergeCells count="9">
    <mergeCell ref="A1:C1"/>
    <mergeCell ref="E3:F3"/>
    <mergeCell ref="A4:C4"/>
    <mergeCell ref="A15:C15"/>
    <mergeCell ref="A16:C16"/>
    <mergeCell ref="A28:C28"/>
    <mergeCell ref="A30:C30"/>
    <mergeCell ref="A34:C34"/>
    <mergeCell ref="A42:C42"/>
  </mergeCells>
  <dataValidations count="11">
    <dataValidation type="list" showErrorMessage="1" error="Elige una opción de la lista." sqref="B10">
      <formula1>"Régimen general,Pequeña empresa (REMYPE),Microempresa (REMYPE)"</formula1>
    </dataValidation>
    <dataValidation type="decimal" allowBlank="1" showErrorMessage="1" error="Escribe un número mayor o igual a 0." sqref="B11">
      <formula1>0</formula1>
      <formula2>1000000000000</formula2>
    </dataValidation>
    <dataValidation type="whole" allowBlank="1" showErrorMessage="1" error="Escribe un número entre 0 y 120." sqref="B12">
      <formula1>0</formula1>
      <formula2>120</formula2>
    </dataValidation>
    <dataValidation type="list" showErrorMessage="1" error="Elige una opción de la lista." sqref="B13">
      <formula1>"EsSalud,EPS (entidad prestadora de salud)"</formula1>
    </dataValidation>
    <dataValidation type="list" showErrorMessage="1" error="Elige una opción de la lista." sqref="B31">
      <formula1>"A plazo indeterminado,A plazo fijo (con fecha de fin)"</formula1>
    </dataValidation>
    <dataValidation type="whole" allowBlank="1" showErrorMessage="1" error="Escribe un número entre 0 y 120." sqref="B32">
      <formula1>0</formula1>
      <formula2>120</formula2>
    </dataValidation>
    <dataValidation type="whole" allowBlank="1" showErrorMessage="1" error="Escribe un número entre 0 y 29." sqref="B33">
      <formula1>0</formula1>
      <formula2>29</formula2>
    </dataValidation>
    <dataValidation type="date" operator="greaterThan" allowBlank="1" showErrorMessage="1" error="Escribe una fecha como dd/mm/aaaa." sqref="B5:B6">
      <formula1>18264</formula1>
    </dataValidation>
    <dataValidation type="decimal" allowBlank="1" showErrorMessage="1" error="Escribe un número mayor o igual a 0." sqref="B7">
      <formula1>0</formula1>
      <formula2>1000000000000</formula2>
    </dataValidation>
    <dataValidation type="list" showErrorMessage="1" error="Elige una opción de la lista." sqref="B8">
      <formula1>"Sí,No"</formula1>
    </dataValidation>
    <dataValidation type="decimal" allowBlank="1" showErrorMessage="1" error="Escribe un número mayor o igual a 0." sqref="B9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6" t="s">
        <v>131</v>
      </c>
      <c r="B1" s="26"/>
      <c r="C1" s="26"/>
      <c r="D1" s="26"/>
      <c r="E1" s="26"/>
      <c r="F1" s="26"/>
      <c r="G1" s="26"/>
    </row>
    <row r="2" ht="30" customHeight="1" spans="1:7" x14ac:dyDescent="0.25">
      <c r="A2" s="4" t="s">
        <v>132</v>
      </c>
      <c r="B2" s="4"/>
      <c r="C2" s="4"/>
      <c r="D2" s="4"/>
      <c r="E2" s="4"/>
      <c r="F2" s="4"/>
      <c r="G2" s="4"/>
    </row>
    <row r="3" spans="1:7" x14ac:dyDescent="0.25">
      <c r="A3" s="27" t="s">
        <v>133</v>
      </c>
      <c r="B3" s="27" t="s">
        <v>134</v>
      </c>
      <c r="C3" s="27" t="s">
        <v>135</v>
      </c>
      <c r="D3" s="27" t="s">
        <v>136</v>
      </c>
      <c r="E3" s="27" t="s">
        <v>137</v>
      </c>
      <c r="F3" s="27" t="s">
        <v>138</v>
      </c>
      <c r="G3" s="27" t="s">
        <v>139</v>
      </c>
    </row>
    <row r="4" spans="1:7" x14ac:dyDescent="0.25">
      <c r="A4" s="28" t="s">
        <v>140</v>
      </c>
      <c r="B4" s="28" t="s">
        <v>22</v>
      </c>
      <c r="C4" s="29">
        <v>1.47</v>
      </c>
      <c r="D4" s="28" t="s">
        <v>141</v>
      </c>
      <c r="E4" s="28" t="s">
        <v>142</v>
      </c>
      <c r="F4" s="30" t="s">
        <v>143</v>
      </c>
      <c r="G4" s="28" t="s">
        <v>144</v>
      </c>
    </row>
    <row r="5" spans="1:7" x14ac:dyDescent="0.25">
      <c r="A5" s="31" t="s">
        <v>140</v>
      </c>
      <c r="B5" s="31" t="s">
        <v>145</v>
      </c>
      <c r="C5" s="32">
        <v>1.55</v>
      </c>
      <c r="D5" s="31" t="s">
        <v>141</v>
      </c>
      <c r="E5" s="31" t="s">
        <v>142</v>
      </c>
      <c r="F5" s="33" t="s">
        <v>143</v>
      </c>
      <c r="G5" s="31" t="s">
        <v>144</v>
      </c>
    </row>
    <row r="6" spans="1:7" x14ac:dyDescent="0.25">
      <c r="A6" s="28" t="s">
        <v>140</v>
      </c>
      <c r="B6" s="28" t="s">
        <v>146</v>
      </c>
      <c r="C6" s="29">
        <v>1.6</v>
      </c>
      <c r="D6" s="28" t="s">
        <v>141</v>
      </c>
      <c r="E6" s="28" t="s">
        <v>142</v>
      </c>
      <c r="F6" s="30" t="s">
        <v>143</v>
      </c>
      <c r="G6" s="28" t="s">
        <v>144</v>
      </c>
    </row>
    <row r="7" spans="1:7" x14ac:dyDescent="0.25">
      <c r="A7" s="31" t="s">
        <v>140</v>
      </c>
      <c r="B7" s="31" t="s">
        <v>147</v>
      </c>
      <c r="C7" s="32">
        <v>1.69</v>
      </c>
      <c r="D7" s="31" t="s">
        <v>141</v>
      </c>
      <c r="E7" s="31" t="s">
        <v>142</v>
      </c>
      <c r="F7" s="33" t="s">
        <v>143</v>
      </c>
      <c r="G7" s="31" t="s">
        <v>144</v>
      </c>
    </row>
    <row r="8" spans="1:7" x14ac:dyDescent="0.25">
      <c r="A8" s="28" t="s">
        <v>148</v>
      </c>
      <c r="B8" s="28" t="s">
        <v>33</v>
      </c>
      <c r="C8" s="29">
        <v>9</v>
      </c>
      <c r="D8" s="28" t="s">
        <v>141</v>
      </c>
      <c r="E8" s="28" t="s">
        <v>149</v>
      </c>
      <c r="F8" s="30" t="s">
        <v>150</v>
      </c>
      <c r="G8" s="28" t="s">
        <v>144</v>
      </c>
    </row>
    <row r="9" spans="1:7" x14ac:dyDescent="0.25">
      <c r="A9" s="31" t="s">
        <v>148</v>
      </c>
      <c r="B9" s="31" t="s">
        <v>151</v>
      </c>
      <c r="C9" s="32">
        <v>6.75</v>
      </c>
      <c r="D9" s="31" t="s">
        <v>141</v>
      </c>
      <c r="E9" s="31" t="s">
        <v>149</v>
      </c>
      <c r="F9" s="33" t="s">
        <v>150</v>
      </c>
      <c r="G9" s="31" t="s">
        <v>144</v>
      </c>
    </row>
    <row r="10" spans="1:7" x14ac:dyDescent="0.25">
      <c r="A10" s="28" t="s">
        <v>152</v>
      </c>
      <c r="B10" s="28" t="s">
        <v>153</v>
      </c>
      <c r="C10" s="34">
        <v>5500</v>
      </c>
      <c r="D10" s="28" t="s">
        <v>154</v>
      </c>
      <c r="E10" s="28" t="s">
        <v>155</v>
      </c>
      <c r="F10" s="30" t="s">
        <v>156</v>
      </c>
      <c r="G10" s="28" t="s">
        <v>144</v>
      </c>
    </row>
    <row r="11" spans="1:7" x14ac:dyDescent="0.25">
      <c r="A11" s="31" t="s">
        <v>157</v>
      </c>
      <c r="B11" s="31" t="s">
        <v>153</v>
      </c>
      <c r="C11" s="35">
        <v>1230</v>
      </c>
      <c r="D11" s="31" t="s">
        <v>154</v>
      </c>
      <c r="E11" s="31" t="s">
        <v>142</v>
      </c>
      <c r="F11" s="33" t="s">
        <v>158</v>
      </c>
      <c r="G11" s="31" t="s">
        <v>144</v>
      </c>
    </row>
    <row r="12" spans="1:7" x14ac:dyDescent="0.25">
      <c r="A12" s="28" t="s">
        <v>17</v>
      </c>
      <c r="B12" s="28" t="s">
        <v>153</v>
      </c>
      <c r="C12" s="29">
        <v>10</v>
      </c>
      <c r="D12" s="28" t="s">
        <v>141</v>
      </c>
      <c r="E12" s="28" t="s">
        <v>159</v>
      </c>
      <c r="F12" s="30" t="s">
        <v>160</v>
      </c>
      <c r="G12" s="28" t="s">
        <v>144</v>
      </c>
    </row>
    <row r="13" spans="1:7" x14ac:dyDescent="0.25">
      <c r="A13" s="31" t="s">
        <v>161</v>
      </c>
      <c r="B13" s="31" t="s">
        <v>153</v>
      </c>
      <c r="C13" s="32">
        <v>13</v>
      </c>
      <c r="D13" s="31" t="s">
        <v>141</v>
      </c>
      <c r="E13" s="31" t="s">
        <v>155</v>
      </c>
      <c r="F13" s="33" t="s">
        <v>162</v>
      </c>
      <c r="G13" s="31" t="s">
        <v>144</v>
      </c>
    </row>
    <row r="14" spans="1:7" x14ac:dyDescent="0.25">
      <c r="A14" s="28" t="s">
        <v>163</v>
      </c>
      <c r="B14" s="28" t="s">
        <v>153</v>
      </c>
      <c r="C14" s="29">
        <v>10</v>
      </c>
      <c r="D14" s="28" t="s">
        <v>141</v>
      </c>
      <c r="E14" s="28" t="s">
        <v>142</v>
      </c>
      <c r="F14" s="30" t="s">
        <v>143</v>
      </c>
      <c r="G14" s="28" t="s">
        <v>144</v>
      </c>
    </row>
    <row r="15" spans="1:7" x14ac:dyDescent="0.25">
      <c r="A15" s="31" t="s">
        <v>164</v>
      </c>
      <c r="B15" s="31" t="s">
        <v>153</v>
      </c>
      <c r="C15" s="35">
        <v>12732.7</v>
      </c>
      <c r="D15" s="31" t="s">
        <v>154</v>
      </c>
      <c r="E15" s="31" t="s">
        <v>142</v>
      </c>
      <c r="F15" s="33" t="s">
        <v>143</v>
      </c>
      <c r="G15" s="31" t="s">
        <v>144</v>
      </c>
    </row>
    <row r="16" spans="1:7" x14ac:dyDescent="0.25">
      <c r="A16" s="28" t="s">
        <v>165</v>
      </c>
      <c r="B16" s="28" t="s">
        <v>153</v>
      </c>
      <c r="C16" s="29">
        <v>1.37</v>
      </c>
      <c r="D16" s="28" t="s">
        <v>141</v>
      </c>
      <c r="E16" s="28" t="s">
        <v>142</v>
      </c>
      <c r="F16" s="30" t="s">
        <v>143</v>
      </c>
      <c r="G16" s="28" t="s">
        <v>144</v>
      </c>
    </row>
    <row r="17" spans="1:7" x14ac:dyDescent="0.25">
      <c r="A17" s="31" t="s">
        <v>166</v>
      </c>
      <c r="B17" s="31" t="s">
        <v>153</v>
      </c>
      <c r="C17" s="32">
        <v>0</v>
      </c>
      <c r="D17" s="31" t="s">
        <v>141</v>
      </c>
      <c r="E17" s="31" t="s">
        <v>167</v>
      </c>
      <c r="F17" s="33" t="s">
        <v>143</v>
      </c>
      <c r="G17" s="31" t="s">
        <v>144</v>
      </c>
    </row>
    <row r="18" spans="1:7" x14ac:dyDescent="0.25">
      <c r="A18" s="28" t="s">
        <v>168</v>
      </c>
      <c r="B18" s="28" t="s">
        <v>153</v>
      </c>
      <c r="C18" s="29">
        <v>7</v>
      </c>
      <c r="D18" s="28" t="s">
        <v>169</v>
      </c>
      <c r="E18" s="28" t="s">
        <v>170</v>
      </c>
      <c r="F18" s="30" t="s">
        <v>171</v>
      </c>
      <c r="G18" s="28" t="s">
        <v>144</v>
      </c>
    </row>
    <row r="19" spans="1:7" x14ac:dyDescent="0.25">
      <c r="A19" s="36" t="s">
        <v>172</v>
      </c>
      <c r="B19" s="37"/>
      <c r="C19" s="37"/>
      <c r="D19" s="37" t="s">
        <v>169</v>
      </c>
      <c r="E19" s="37" t="s">
        <v>173</v>
      </c>
      <c r="F19" s="38" t="s">
        <v>174</v>
      </c>
      <c r="G19" s="37" t="s">
        <v>144</v>
      </c>
    </row>
    <row r="20" spans="2:5" x14ac:dyDescent="0.25">
      <c r="B20" s="39" t="s">
        <v>175</v>
      </c>
      <c r="C20" s="39" t="s">
        <v>176</v>
      </c>
      <c r="D20" s="39" t="s">
        <v>177</v>
      </c>
      <c r="E20" s="39" t="s">
        <v>178</v>
      </c>
    </row>
    <row r="21" spans="2:5" x14ac:dyDescent="0.25">
      <c r="B21" s="40">
        <v>0</v>
      </c>
      <c r="C21" s="41">
        <v>5</v>
      </c>
      <c r="D21" s="42">
        <v>8</v>
      </c>
      <c r="E21" s="40">
        <v>0</v>
      </c>
    </row>
    <row r="22" spans="2:5" x14ac:dyDescent="0.25">
      <c r="B22" s="40">
        <v>5</v>
      </c>
      <c r="C22" s="41">
        <v>20</v>
      </c>
      <c r="D22" s="42">
        <v>14</v>
      </c>
      <c r="E22" s="40">
        <v>0</v>
      </c>
    </row>
    <row r="23" spans="2:5" x14ac:dyDescent="0.25">
      <c r="B23" s="40">
        <v>20</v>
      </c>
      <c r="C23" s="41">
        <v>35</v>
      </c>
      <c r="D23" s="42">
        <v>17</v>
      </c>
      <c r="E23" s="40">
        <v>0</v>
      </c>
    </row>
    <row r="24" spans="2:5" x14ac:dyDescent="0.25">
      <c r="B24" s="40">
        <v>35</v>
      </c>
      <c r="C24" s="41">
        <v>45</v>
      </c>
      <c r="D24" s="42">
        <v>20</v>
      </c>
      <c r="E24" s="40">
        <v>0</v>
      </c>
    </row>
    <row r="25" spans="2:5" x14ac:dyDescent="0.25">
      <c r="B25" s="40">
        <v>45</v>
      </c>
      <c r="C25" s="41">
        <v>1000000000000000</v>
      </c>
      <c r="D25" s="42">
        <v>30</v>
      </c>
      <c r="E25" s="40">
        <v>0</v>
      </c>
    </row>
    <row r="27" spans="1:7" x14ac:dyDescent="0.25">
      <c r="A27" s="31" t="s">
        <v>179</v>
      </c>
      <c r="B27" s="31" t="s">
        <v>63</v>
      </c>
      <c r="C27" s="32">
        <v>1</v>
      </c>
      <c r="D27" s="31" t="s">
        <v>180</v>
      </c>
      <c r="E27" s="31" t="s">
        <v>181</v>
      </c>
      <c r="F27" s="33" t="s">
        <v>160</v>
      </c>
      <c r="G27" s="31" t="s">
        <v>144</v>
      </c>
    </row>
    <row r="28" spans="1:7" x14ac:dyDescent="0.25">
      <c r="A28" s="28" t="s">
        <v>179</v>
      </c>
      <c r="B28" s="28" t="s">
        <v>182</v>
      </c>
      <c r="C28" s="29">
        <v>0.5</v>
      </c>
      <c r="D28" s="28" t="s">
        <v>180</v>
      </c>
      <c r="E28" s="28" t="s">
        <v>181</v>
      </c>
      <c r="F28" s="30" t="s">
        <v>160</v>
      </c>
      <c r="G28" s="28" t="s">
        <v>144</v>
      </c>
    </row>
    <row r="29" spans="1:7" x14ac:dyDescent="0.25">
      <c r="A29" s="31" t="s">
        <v>183</v>
      </c>
      <c r="B29" s="31" t="s">
        <v>63</v>
      </c>
      <c r="C29" s="32">
        <v>1</v>
      </c>
      <c r="D29" s="31" t="s">
        <v>180</v>
      </c>
      <c r="E29" s="31" t="s">
        <v>181</v>
      </c>
      <c r="F29" s="33" t="s">
        <v>160</v>
      </c>
      <c r="G29" s="31" t="s">
        <v>144</v>
      </c>
    </row>
    <row r="30" spans="1:7" x14ac:dyDescent="0.25">
      <c r="A30" s="28" t="s">
        <v>183</v>
      </c>
      <c r="B30" s="28" t="s">
        <v>182</v>
      </c>
      <c r="C30" s="29">
        <v>0.5</v>
      </c>
      <c r="D30" s="28" t="s">
        <v>180</v>
      </c>
      <c r="E30" s="28" t="s">
        <v>181</v>
      </c>
      <c r="F30" s="30" t="s">
        <v>160</v>
      </c>
      <c r="G30" s="28" t="s">
        <v>144</v>
      </c>
    </row>
    <row r="31" spans="1:7" x14ac:dyDescent="0.25">
      <c r="A31" s="31" t="s">
        <v>184</v>
      </c>
      <c r="B31" s="31" t="s">
        <v>63</v>
      </c>
      <c r="C31" s="32">
        <v>30</v>
      </c>
      <c r="D31" s="31" t="s">
        <v>185</v>
      </c>
      <c r="E31" s="31" t="s">
        <v>181</v>
      </c>
      <c r="F31" s="33" t="s">
        <v>160</v>
      </c>
      <c r="G31" s="31" t="s">
        <v>144</v>
      </c>
    </row>
    <row r="32" spans="1:7" x14ac:dyDescent="0.25">
      <c r="A32" s="28" t="s">
        <v>184</v>
      </c>
      <c r="B32" s="28" t="s">
        <v>182</v>
      </c>
      <c r="C32" s="29">
        <v>15</v>
      </c>
      <c r="D32" s="28" t="s">
        <v>185</v>
      </c>
      <c r="E32" s="28" t="s">
        <v>181</v>
      </c>
      <c r="F32" s="30" t="s">
        <v>160</v>
      </c>
      <c r="G32" s="28" t="s">
        <v>144</v>
      </c>
    </row>
    <row r="33" spans="1:7" x14ac:dyDescent="0.25">
      <c r="A33" s="31" t="s">
        <v>184</v>
      </c>
      <c r="B33" s="31" t="s">
        <v>186</v>
      </c>
      <c r="C33" s="32">
        <v>15</v>
      </c>
      <c r="D33" s="31" t="s">
        <v>185</v>
      </c>
      <c r="E33" s="31" t="s">
        <v>181</v>
      </c>
      <c r="F33" s="33" t="s">
        <v>160</v>
      </c>
      <c r="G33" s="31" t="s">
        <v>144</v>
      </c>
    </row>
    <row r="34" spans="1:7" x14ac:dyDescent="0.25">
      <c r="A34" s="28" t="s">
        <v>187</v>
      </c>
      <c r="B34" s="28" t="s">
        <v>63</v>
      </c>
      <c r="C34" s="29">
        <v>45</v>
      </c>
      <c r="D34" s="28" t="s">
        <v>185</v>
      </c>
      <c r="E34" s="28" t="s">
        <v>181</v>
      </c>
      <c r="F34" s="30" t="s">
        <v>160</v>
      </c>
      <c r="G34" s="28" t="s">
        <v>144</v>
      </c>
    </row>
    <row r="35" spans="1:7" x14ac:dyDescent="0.25">
      <c r="A35" s="31" t="s">
        <v>187</v>
      </c>
      <c r="B35" s="31" t="s">
        <v>182</v>
      </c>
      <c r="C35" s="32">
        <v>20</v>
      </c>
      <c r="D35" s="31" t="s">
        <v>185</v>
      </c>
      <c r="E35" s="31" t="s">
        <v>181</v>
      </c>
      <c r="F35" s="33" t="s">
        <v>160</v>
      </c>
      <c r="G35" s="31" t="s">
        <v>144</v>
      </c>
    </row>
    <row r="36" spans="1:7" x14ac:dyDescent="0.25">
      <c r="A36" s="28" t="s">
        <v>187</v>
      </c>
      <c r="B36" s="28" t="s">
        <v>186</v>
      </c>
      <c r="C36" s="29">
        <v>10</v>
      </c>
      <c r="D36" s="28" t="s">
        <v>185</v>
      </c>
      <c r="E36" s="28" t="s">
        <v>181</v>
      </c>
      <c r="F36" s="30" t="s">
        <v>160</v>
      </c>
      <c r="G36" s="28" t="s">
        <v>144</v>
      </c>
    </row>
    <row r="37" spans="1:7" x14ac:dyDescent="0.25">
      <c r="A37" s="31" t="s">
        <v>188</v>
      </c>
      <c r="B37" s="31" t="s">
        <v>63</v>
      </c>
      <c r="C37" s="32">
        <v>360</v>
      </c>
      <c r="D37" s="31" t="s">
        <v>185</v>
      </c>
      <c r="E37" s="31" t="s">
        <v>181</v>
      </c>
      <c r="F37" s="33" t="s">
        <v>160</v>
      </c>
      <c r="G37" s="31" t="s">
        <v>144</v>
      </c>
    </row>
    <row r="38" spans="1:7" x14ac:dyDescent="0.25">
      <c r="A38" s="28" t="s">
        <v>188</v>
      </c>
      <c r="B38" s="28" t="s">
        <v>182</v>
      </c>
      <c r="C38" s="29">
        <v>120</v>
      </c>
      <c r="D38" s="28" t="s">
        <v>185</v>
      </c>
      <c r="E38" s="28" t="s">
        <v>181</v>
      </c>
      <c r="F38" s="30" t="s">
        <v>160</v>
      </c>
      <c r="G38" s="28" t="s">
        <v>144</v>
      </c>
    </row>
    <row r="39" spans="1:7" x14ac:dyDescent="0.25">
      <c r="A39" s="31" t="s">
        <v>188</v>
      </c>
      <c r="B39" s="31" t="s">
        <v>186</v>
      </c>
      <c r="C39" s="32">
        <v>90</v>
      </c>
      <c r="D39" s="31" t="s">
        <v>185</v>
      </c>
      <c r="E39" s="31" t="s">
        <v>181</v>
      </c>
      <c r="F39" s="33" t="s">
        <v>160</v>
      </c>
      <c r="G39" s="31" t="s">
        <v>144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7" r:id="rId17"/>
    <hyperlink ref="F28" r:id="rId18"/>
    <hyperlink ref="F29" r:id="rId19"/>
    <hyperlink ref="F30" r:id="rId20"/>
    <hyperlink ref="F31" r:id="rId21"/>
    <hyperlink ref="F32" r:id="rId22"/>
    <hyperlink ref="F33" r:id="rId23"/>
    <hyperlink ref="F34" r:id="rId24"/>
    <hyperlink ref="F35" r:id="rId25"/>
    <hyperlink ref="F36" r:id="rId26"/>
    <hyperlink ref="F37" r:id="rId27"/>
    <hyperlink ref="F38" r:id="rId28"/>
    <hyperlink ref="F3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Sueldo neto</vt:lpstr>
      <vt:lpstr>Gratificación y CTS</vt:lpstr>
      <vt:lpstr>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sueldo y liquidación Perú 2026</dc:title>
  <dc:subject/>
  <dc:description/>
  <cp:keywords/>
  <cp:category/>
  <cp:lastModifiedBy>Unknown</cp:lastModifiedBy>
  <dcterms:created xsi:type="dcterms:W3CDTF">2026-10-08T12:00:00Z</dcterms:created>
  <dcterms:modified xsi:type="dcterms:W3CDTF">2026-10-08T12:00:00Z</dcterms:modified>
</cp:coreProperties>
</file>