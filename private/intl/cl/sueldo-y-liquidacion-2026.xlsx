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<sst xmlns="http://schemas.openxmlformats.org/spreadsheetml/2006/main" count="268" uniqueCount="154">
  <si>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</si>
  <si>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</si>
  <si>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</si>
  <si>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</si>
  <si>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</si>
  <si>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21/10/2026.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</si>
  <si>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</si>
  <si>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</si>
  <si>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</si>
  <si>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</si>
  <si>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</si>
  <si>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AFP Capital</t>
  </si>
  <si>
    <t>AFP Cuprum</t>
  </si>
  <si>
    <t>Paso a paso</t>
  </si>
  <si>
    <t>AFP Habitat</t>
  </si>
  <si>
    <t>TUS DATOS</t>
  </si>
  <si>
    <t>AFP Modelo</t>
  </si>
  <si>
    <t>Sueldo bruto imponible</t>
  </si>
  <si>
    <t>Sueldo base más gratificación, horas extra, bonos y comisiones del mes.</t>
  </si>
  <si>
    <t>Cotizaciones</t>
  </si>
  <si>
    <t>AFP PlanVital</t>
  </si>
  <si>
    <t>Colación y movilización</t>
  </si>
  <si>
    <t>Lo que no paga cotizaciones ni impuesto. Si no tienes, deja 0.</t>
  </si>
  <si>
    <t>Tope imponible del mes</t>
  </si>
  <si>
    <t>AFP ProVida</t>
  </si>
  <si>
    <t>Tu AFP</t>
  </si>
  <si>
    <t>Tope imponible del seguro de cesantía</t>
  </si>
  <si>
    <t>AFP Uno</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</si>
  <si>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</si>
  <si>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</si>
  <si>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</si>
  <si>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</si>
  <si>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</si>
  <si>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</si>
  <si>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</si>
  <si>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</si>
  <si>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</si>
  <si>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</si>
  <si>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</si>
  <si>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</si>
  <si>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</si>
  <si>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</si>
  <si>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</si>
  <si>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</si>
  <si>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</si>
  <si>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</si>
  <si>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</si>
  <si>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</si>
  <si>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</si>
  <si>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</si>
  <si>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</si>
  <si>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</si>
  <si>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</si>
  <si>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</si>
  <si>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</si>
  <si>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</si>
  <si>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</si>
  <si>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</si>
  <si>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</si>
  <si>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</si>
  <si>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</si>
  <si>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</si>
  <si>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</si>
  <si>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</si>
  <si>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</si>
  <si>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</si>
  <si>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</si>
  <si>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</si>
  <si>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</si>
  <si>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</si>
  <si>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</si>
  <si>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</si>
  <si>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</si>
  <si>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</si>
  <si>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</si>
  <si>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</si>
  <si>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</si>
  <si>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</si>
  <si>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</si>
  <si>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</si>
  <si>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</si>
  <si>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</si>
  <si>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</si>
  <si>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</si>
  <si>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</si>
  <si>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</si>
  <si>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</si>
  <si>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</si>
  <si>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</si>
  <si>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</si>
  <si>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</si>
  <si>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</si>
  <si>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</si>
  <si>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</si>
  <si>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</si>
  <si>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</si>
  <si>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</si>
  <si>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</si>
  <si>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</si>
  <si>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</si>
  <si>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</si>
  <si>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21/10/2026. Cada uno trae el enlace a la norma o al organismo que lo publica y la fecha en que lo verificamos.</t>
  </si>
  <si>
    <t>Dato</t>
  </si>
  <si>
    <t>Detalle</t>
  </si>
  <si>
    <t>Valor</t>
  </si>
  <si>
    <t>Unidad</t>
  </si>
  <si>
    <t>Vigente desde</t>
  </si>
  <si>
    <t>Fuente oficial</t>
  </si>
  <si>
    <t>Verificado el</t>
  </si>
  <si>
    <t>Comisión mensual de cada AFP</t>
  </si>
  <si>
    <t>%</t>
  </si>
  <si>
    <t>1/10/2026</t>
  </si>
  <si>
    <t>https://www.spensiones.cl/infoydec</t>
  </si>
  <si>
    <t>7/10/2026</t>
  </si>
  <si>
    <t>Unidad de Fomento (UF)</t>
  </si>
  <si>
    <t>Valor al 21/10/2026</t>
  </si>
  <si>
    <t>CLP</t>
  </si>
  <si>
    <t>21/10/2026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</si>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</sst>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Z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 min="26" max="26" width="9" hidden="1" customWidth="1"/>
  </cols>
  <sheetData>
    <row r="1" ht="28" customHeight="1" spans="1:26" x14ac:dyDescent="0.25">
      <c r="A1" s="5" t="s">
        <v>10</v>
      </c>
      <c r="B1" s="5"/>
      <c r="C1" s="5"/>
      <c r="Z1" t="s">
        <v>11</v>
      </c>
    </row>
    <row r="2" spans="26:26" x14ac:dyDescent="0.25">
      <c r="Z2" t="s">
        <v>12</v>
      </c>
    </row>
    <row r="3" spans="5:26" x14ac:dyDescent="0.25">
      <c r="E3" s="6" t="s">
        <v>13</v>
      </c>
      <c r="F3" s="6"/>
      <c r="Z3" t="s">
        <v>14</v>
      </c>
    </row>
    <row r="4" spans="1:26" x14ac:dyDescent="0.25">
      <c r="A4" s="6" t="s">
        <v>15</v>
      </c>
      <c r="B4" s="6"/>
      <c r="C4" s="6"/>
      <c r="Z4" t="s">
        <v>16</v>
      </c>
    </row>
    <row r="5" ht="30" customHeight="1" spans="1:26" x14ac:dyDescent="0.25">
      <c r="A5" s="7" t="s">
        <v>17</v>
      </c>
      <c r="B5" s="8">
        <v>1200000</v>
      </c>
      <c r="C5" s="9" t="s">
        <v>18</v>
      </c>
      <c r="E5" s="10" t="s">
        <v>19</v>
      </c>
      <c r="Z5" t="s">
        <v>20</v>
      </c>
    </row>
    <row r="6" spans="1:26" x14ac:dyDescent="0.25">
      <c r="A6" s="7" t="s">
        <v>21</v>
      </c>
      <c r="B6" s="8">
        <v>0</v>
      </c>
      <c r="C6" s="9" t="s">
        <v>22</v>
      </c>
      <c r="E6" s="11" t="s">
        <v>23</v>
      </c>
      <c r="F6" s="12">
        <f>ROUND('Tablas oficiales'!$C$13*'Tablas oficiales'!$C$11,0)</f>
      </c>
      <c r="Z6" t="s">
        <v>24</v>
      </c>
    </row>
    <row r="7" spans="1:26" x14ac:dyDescent="0.25">
      <c r="A7" s="7" t="s">
        <v>25</v>
      </c>
      <c r="B7" s="13" t="s">
        <v>14</v>
      </c>
      <c r="E7" s="11" t="s">
        <v>26</v>
      </c>
      <c r="F7" s="12">
        <f>ROUND('Tablas oficiales'!$C$14*'Tablas oficiales'!$C$11,0)</f>
      </c>
      <c r="Z7" t="s">
        <v>27</v>
      </c>
    </row>
    <row r="8" spans="1:6" x14ac:dyDescent="0.25">
      <c r="A8" s="7" t="s">
        <v>28</v>
      </c>
      <c r="B8" s="13" t="s">
        <v>29</v>
      </c>
      <c r="E8" s="11" t="s">
        <v>30</v>
      </c>
      <c r="F8" s="12">
        <f>MIN(B5,F6)</f>
      </c>
    </row>
    <row r="9" ht="30" customHeight="1" spans="1:6" x14ac:dyDescent="0.25">
      <c r="A9" s="7" t="s">
        <v>31</v>
      </c>
      <c r="B9" s="14">
        <v>0</v>
      </c>
      <c r="C9" s="9" t="s">
        <v>32</v>
      </c>
      <c r="E9" s="11" t="s">
        <v>33</v>
      </c>
      <c r="F9" s="15">
        <f>'Tablas oficiales'!$C$15+INDEX('Tablas oficiales'!$C$4:$C$10,MATCH(B7,'Tablas oficiales'!$B$4:$B$10,0))</f>
      </c>
    </row>
    <row r="10" spans="1:6" x14ac:dyDescent="0.25">
      <c r="A10" s="7" t="s">
        <v>34</v>
      </c>
      <c r="B10" s="13" t="s">
        <v>35</v>
      </c>
      <c r="E10" s="11" t="s">
        <v>36</v>
      </c>
      <c r="F10" s="12">
        <f>ROUND(F8*F9/100,0)</f>
      </c>
    </row>
    <row r="11" spans="5:6" x14ac:dyDescent="0.25">
      <c r="E11" s="11" t="s">
        <v>37</v>
      </c>
      <c r="F11" s="12">
        <f>ROUND(F8*'Tablas oficiales'!$C$16/100,0)</f>
      </c>
    </row>
    <row r="12" spans="1:6" x14ac:dyDescent="0.25">
      <c r="A12" s="6" t="s">
        <v>38</v>
      </c>
      <c r="B12" s="6"/>
      <c r="C12" s="6"/>
      <c r="E12" s="11" t="s">
        <v>39</v>
      </c>
      <c r="F12" s="12">
        <f>IF(B8="Isapre",ROUND(B9*'Tablas oficiales'!$C$11,0),0)</f>
      </c>
    </row>
    <row r="13" spans="1:6" x14ac:dyDescent="0.25">
      <c r="A13" s="16" t="s">
        <v>17</v>
      </c>
      <c r="B13" s="17">
        <f>B5</f>
      </c>
      <c r="E13" s="11" t="s">
        <v>40</v>
      </c>
      <c r="F13" s="12">
        <f>MAX(F11,F12)</f>
      </c>
    </row>
    <row r="14" spans="1:6" x14ac:dyDescent="0.25">
      <c r="A14" s="16" t="s">
        <v>41</v>
      </c>
      <c r="B14" s="17">
        <f>F10</f>
      </c>
      <c r="E14" s="11" t="s">
        <v>42</v>
      </c>
      <c r="F14" s="12">
        <f>IF(B10="Indefinido",ROUND(MIN(B5,F7)*'Tablas oficiales'!$C$17/100,0),0)</f>
      </c>
    </row>
    <row r="15" spans="1:2" x14ac:dyDescent="0.25">
      <c r="A15" s="16" t="s">
        <v>43</v>
      </c>
      <c r="B15" s="17">
        <f>F13</f>
      </c>
    </row>
    <row r="16" spans="1:5" x14ac:dyDescent="0.25">
      <c r="A16" s="16" t="s">
        <v>42</v>
      </c>
      <c r="B16" s="17">
        <f>F14</f>
      </c>
      <c r="E16" s="10" t="s">
        <v>44</v>
      </c>
    </row>
    <row r="17" spans="1:6" x14ac:dyDescent="0.25">
      <c r="A17" s="16" t="s">
        <v>45</v>
      </c>
      <c r="B17" s="17">
        <f>F17</f>
      </c>
      <c r="E17" s="11" t="s">
        <v>45</v>
      </c>
      <c r="F17" s="12">
        <f>MAX(0,B5-F10-F11-F14)</f>
      </c>
    </row>
    <row r="18" spans="1:6" x14ac:dyDescent="0.25">
      <c r="A18" s="16" t="s">
        <v>44</v>
      </c>
      <c r="B18" s="17">
        <f>F19</f>
      </c>
      <c r="E18" s="11" t="s">
        <v>46</v>
      </c>
      <c r="F18" s="18">
        <f>F17/'Tablas oficiales'!$C$12</f>
      </c>
    </row>
    <row r="19" spans="1:6" x14ac:dyDescent="0.25">
      <c r="A19" s="16" t="s">
        <v>47</v>
      </c>
      <c r="B19" s="17">
        <f>F20</f>
      </c>
      <c r="E19" s="11" t="s">
        <v>44</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21</v>
      </c>
      <c r="B20" s="17">
        <f>B6</f>
      </c>
      <c r="E20" s="11" t="s">
        <v>47</v>
      </c>
      <c r="F20" s="12">
        <f>F10+F13+F14+F19</f>
      </c>
    </row>
    <row r="21" spans="1:2" x14ac:dyDescent="0.25">
      <c r="A21" s="19" t="s">
        <v>48</v>
      </c>
      <c r="B21" s="20">
        <f>B5-F20+B6</f>
      </c>
    </row>
    <row r="22" spans="1:2" x14ac:dyDescent="0.25">
      <c r="A22" s="16" t="s">
        <v>23</v>
      </c>
      <c r="B22" s="17">
        <f>F6</f>
      </c>
    </row>
    <row r="24" ht="36" customHeight="1" spans="1:3" x14ac:dyDescent="0.25">
      <c r="A24" s="4" t="s">
        <v>49</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Tu AFP)." sqref="B7">
      <formula1>'Sueldo líquido'!$Z$1:$Z$7</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50</v>
      </c>
      <c r="B1" s="5"/>
      <c r="C1" s="5"/>
    </row>
    <row r="3" spans="5:6" x14ac:dyDescent="0.25">
      <c r="E3" s="6" t="s">
        <v>13</v>
      </c>
      <c r="F3" s="6"/>
    </row>
    <row r="4" spans="1:6" x14ac:dyDescent="0.25">
      <c r="A4" s="6" t="s">
        <v>15</v>
      </c>
      <c r="B4" s="6"/>
      <c r="C4" s="6"/>
      <c r="E4" s="11" t="s">
        <v>51</v>
      </c>
      <c r="F4" s="12">
        <f>B5*'Tablas oficiales'!$C$30/100</f>
      </c>
    </row>
    <row r="5" ht="30" customHeight="1" spans="1:6" x14ac:dyDescent="0.25">
      <c r="A5" s="7" t="s">
        <v>52</v>
      </c>
      <c r="B5" s="8">
        <v>900000</v>
      </c>
      <c r="C5" s="9" t="s">
        <v>53</v>
      </c>
      <c r="E5" s="11" t="s">
        <v>54</v>
      </c>
      <c r="F5" s="12">
        <f>'Tablas oficiales'!$C$31*'Tablas oficiales'!$C$29/12</f>
      </c>
    </row>
    <row r="6" spans="1:6" x14ac:dyDescent="0.25">
      <c r="A6" s="7" t="s">
        <v>55</v>
      </c>
      <c r="B6" s="21">
        <v>12</v>
      </c>
      <c r="E6" s="11" t="s">
        <v>56</v>
      </c>
      <c r="F6" s="12">
        <f>MIN(F4,F5)</f>
      </c>
    </row>
    <row r="8" spans="1:3" x14ac:dyDescent="0.25">
      <c r="A8" s="6" t="s">
        <v>57</v>
      </c>
      <c r="B8" s="6"/>
      <c r="C8" s="6"/>
    </row>
    <row r="9" spans="1:2" x14ac:dyDescent="0.25">
      <c r="A9" s="16" t="s">
        <v>58</v>
      </c>
      <c r="B9" s="17">
        <f>ROUND(F4,0)</f>
      </c>
    </row>
    <row r="10" spans="1:2" x14ac:dyDescent="0.25">
      <c r="A10" s="16" t="s">
        <v>59</v>
      </c>
      <c r="B10" s="17">
        <f>ROUND(F5,0)</f>
      </c>
    </row>
    <row r="11" spans="1:2" x14ac:dyDescent="0.25">
      <c r="A11" s="19" t="s">
        <v>60</v>
      </c>
      <c r="B11" s="20">
        <f>ROUND(F6,0)</f>
      </c>
    </row>
    <row r="12" spans="1:2" x14ac:dyDescent="0.25">
      <c r="A12" s="16" t="s">
        <v>61</v>
      </c>
      <c r="B12" s="17">
        <f>ROUND(F6*B6,0)</f>
      </c>
    </row>
    <row r="13" spans="1:2" x14ac:dyDescent="0.25">
      <c r="A13" s="16" t="s">
        <v>62</v>
      </c>
      <c r="B13" s="17">
        <f>'Tablas oficiales'!$C$29</f>
      </c>
    </row>
    <row r="15" ht="36" customHeight="1" spans="1:3" x14ac:dyDescent="0.25">
      <c r="A15" s="4" t="s">
        <v>63</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64</v>
      </c>
      <c r="B1" s="5"/>
      <c r="C1" s="5"/>
    </row>
    <row r="3" spans="5:6" x14ac:dyDescent="0.25">
      <c r="E3" s="6" t="s">
        <v>13</v>
      </c>
      <c r="F3" s="6"/>
    </row>
    <row r="4" spans="1:3" x14ac:dyDescent="0.25">
      <c r="A4" s="6" t="s">
        <v>15</v>
      </c>
      <c r="B4" s="6"/>
      <c r="C4" s="6"/>
    </row>
    <row r="5" spans="1:5" x14ac:dyDescent="0.25">
      <c r="A5" s="7" t="s">
        <v>65</v>
      </c>
      <c r="B5" s="22">
        <v>44635</v>
      </c>
      <c r="E5" s="10" t="s">
        <v>66</v>
      </c>
    </row>
    <row r="6" spans="1:6" x14ac:dyDescent="0.25">
      <c r="A6" s="7" t="s">
        <v>67</v>
      </c>
      <c r="B6" s="22">
        <v>46316</v>
      </c>
      <c r="E6" s="11" t="s">
        <v>68</v>
      </c>
      <c r="F6" s="23">
        <f>IF(EDATE(B5,12*(YEAR(B6)-YEAR(B5)))&gt;B6,(YEAR(B6)-YEAR(B5))-1,(YEAR(B6)-YEAR(B5)))</f>
      </c>
    </row>
    <row r="7" ht="30" customHeight="1" spans="1:6" x14ac:dyDescent="0.25">
      <c r="A7" s="7" t="s">
        <v>69</v>
      </c>
      <c r="B7" s="8">
        <v>1200000</v>
      </c>
      <c r="C7" s="9" t="s">
        <v>70</v>
      </c>
      <c r="E7" s="11" t="s">
        <v>71</v>
      </c>
      <c r="F7" s="24">
        <f>EDATE(B5,12*F6)</f>
      </c>
    </row>
    <row r="8" spans="1:6" x14ac:dyDescent="0.25">
      <c r="A8" s="7" t="s">
        <v>72</v>
      </c>
      <c r="B8" s="13" t="s">
        <v>73</v>
      </c>
      <c r="E8" s="11" t="s">
        <v>74</v>
      </c>
      <c r="F8" s="23">
        <f>MIN(12,IF(EDATE(F7,((YEAR(B6)-YEAR(F7))*12+MONTH(B6)-MONTH(F7)))&gt;B6,((YEAR(B6)-YEAR(F7))*12+MONTH(B6)-MONTH(F7))-1,((YEAR(B6)-YEAR(F7))*12+MONTH(B6)-MONTH(F7))))</f>
      </c>
    </row>
    <row r="9" spans="1:6" x14ac:dyDescent="0.25">
      <c r="A9" s="7" t="s">
        <v>75</v>
      </c>
      <c r="B9" s="13" t="s">
        <v>76</v>
      </c>
      <c r="E9" s="11" t="s">
        <v>77</v>
      </c>
      <c r="F9" s="23">
        <f>B6-EDATE(F7,F8)</f>
      </c>
    </row>
    <row r="10" spans="1:2" x14ac:dyDescent="0.25">
      <c r="A10" s="7" t="s">
        <v>78</v>
      </c>
      <c r="B10" s="14">
        <v>0</v>
      </c>
    </row>
    <row r="11" spans="1:5" x14ac:dyDescent="0.25">
      <c r="A11" s="7" t="s">
        <v>79</v>
      </c>
      <c r="B11" s="13" t="s">
        <v>76</v>
      </c>
      <c r="E11" s="10" t="s">
        <v>80</v>
      </c>
    </row>
    <row r="12" spans="5:6" x14ac:dyDescent="0.25">
      <c r="E12" s="11" t="s">
        <v>81</v>
      </c>
      <c r="F12" s="12">
        <f>ROUND('Tablas oficiales'!$C$32*'Tablas oficiales'!$C$11,0)</f>
      </c>
    </row>
    <row r="13" spans="1:6" x14ac:dyDescent="0.25">
      <c r="A13" s="6" t="s">
        <v>82</v>
      </c>
      <c r="B13" s="6"/>
      <c r="C13" s="6"/>
      <c r="E13" s="11" t="s">
        <v>83</v>
      </c>
      <c r="F13" s="12">
        <f>MIN(B7,F12)</f>
      </c>
    </row>
    <row r="14" spans="1:6" x14ac:dyDescent="0.25">
      <c r="A14" s="25">
        <f>IF(B6&lt;B5,"El último día tiene que ser posterior a la fecha en que empezaste.","")</f>
      </c>
      <c r="B14" s="25"/>
      <c r="C14" s="25"/>
      <c r="E14" s="11" t="s">
        <v>84</v>
      </c>
      <c r="F14" s="23">
        <f>F6+IF(OR(F8&gt;6,AND(F8=6,F9&gt;0)),1,0)</f>
      </c>
    </row>
    <row r="15" spans="1:6" x14ac:dyDescent="0.25">
      <c r="A15" s="16" t="s">
        <v>66</v>
      </c>
      <c r="B15" s="26">
        <f>F6&amp;" años, "&amp;F8&amp;" meses y "&amp;F9&amp;" días"</f>
      </c>
      <c r="E15" s="11" t="s">
        <v>85</v>
      </c>
      <c r="F15" s="23">
        <f>IF(AND(B8="Necesidades de la empresa (despido art. 161)",F6&gt;=1),IF(B5&lt;DATE(1981,8,14),F14*'Tablas oficiales'!$C$33,MIN(F14*'Tablas oficiales'!$C$33,'Tablas oficiales'!$C$34)),0)</f>
      </c>
    </row>
    <row r="16" spans="1:6" x14ac:dyDescent="0.25">
      <c r="A16" s="16" t="s">
        <v>83</v>
      </c>
      <c r="B16" s="17">
        <f>F13</f>
      </c>
      <c r="E16" s="11" t="s">
        <v>86</v>
      </c>
      <c r="F16" s="12">
        <f>ROUND(F13*F15/30,0)</f>
      </c>
    </row>
    <row r="17" spans="1:6" x14ac:dyDescent="0.25">
      <c r="A17" s="16" t="s">
        <v>87</v>
      </c>
      <c r="B17" s="27">
        <f>IF(B8="Necesidades de la empresa (despido art. 161)",F14,0)</f>
      </c>
      <c r="E17" s="11" t="s">
        <v>88</v>
      </c>
      <c r="F17" s="12">
        <f>IF(AND(B8="Necesidades de la empresa (despido art. 161)",B9="No"),F13,0)</f>
      </c>
    </row>
    <row r="18" spans="1:2" x14ac:dyDescent="0.25">
      <c r="A18" s="16" t="s">
        <v>86</v>
      </c>
      <c r="B18" s="17">
        <f>F16</f>
      </c>
    </row>
    <row r="19" spans="1:5" x14ac:dyDescent="0.25">
      <c r="A19" s="16" t="s">
        <v>88</v>
      </c>
      <c r="B19" s="17">
        <f>F17</f>
      </c>
      <c r="E19" s="10" t="s">
        <v>89</v>
      </c>
    </row>
    <row r="20" spans="1:6" x14ac:dyDescent="0.25">
      <c r="A20" s="16" t="s">
        <v>90</v>
      </c>
      <c r="B20" s="28">
        <f>F24</f>
      </c>
      <c r="E20" s="11" t="s">
        <v>91</v>
      </c>
      <c r="F20" s="23">
        <f>IF(B11="Sí",'Tablas oficiales'!$C$35,'Tablas oficiales'!$C$36)</f>
      </c>
    </row>
    <row r="21" spans="1:6" x14ac:dyDescent="0.25">
      <c r="A21" s="16" t="s">
        <v>92</v>
      </c>
      <c r="B21" s="17">
        <f>F25</f>
      </c>
      <c r="E21" s="11" t="s">
        <v>93</v>
      </c>
      <c r="F21" s="18">
        <f>F20/12*F8+F20/12/30*F9+B10</f>
      </c>
    </row>
    <row r="22" spans="1:6" x14ac:dyDescent="0.25">
      <c r="A22" s="19" t="s">
        <v>94</v>
      </c>
      <c r="B22" s="20">
        <f>F16+F17+F25</f>
      </c>
      <c r="E22" s="11" t="s">
        <v>95</v>
      </c>
      <c r="F22" s="23">
        <f>MAX(0,ROUNDUP(F21-0.000000001,0))</f>
      </c>
    </row>
    <row r="23" spans="5:6" x14ac:dyDescent="0.25">
      <c r="E23" s="11" t="s">
        <v>96</v>
      </c>
      <c r="F23" s="23">
        <f>WORKDAY(B6,F22)-B6-F22</f>
      </c>
    </row>
    <row r="24" ht="51" customHeight="1" spans="1:6" x14ac:dyDescent="0.25">
      <c r="A24" s="4" t="s">
        <v>97</v>
      </c>
      <c r="B24" s="4"/>
      <c r="C24" s="4"/>
      <c r="E24" s="11" t="s">
        <v>98</v>
      </c>
      <c r="F24" s="18">
        <f>F21+F23</f>
      </c>
    </row>
    <row r="25" spans="5:6" x14ac:dyDescent="0.25">
      <c r="E25" s="11" t="s">
        <v>99</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100</v>
      </c>
      <c r="B1" s="29"/>
      <c r="C1" s="29"/>
      <c r="D1" s="29"/>
      <c r="E1" s="29"/>
      <c r="F1" s="29"/>
      <c r="G1" s="29"/>
    </row>
    <row r="2" ht="30" customHeight="1" spans="1:7" x14ac:dyDescent="0.25">
      <c r="A2" s="4" t="s">
        <v>101</v>
      </c>
      <c r="B2" s="4"/>
      <c r="C2" s="4"/>
      <c r="D2" s="4"/>
      <c r="E2" s="4"/>
      <c r="F2" s="4"/>
      <c r="G2" s="4"/>
    </row>
    <row r="3" spans="1:7" x14ac:dyDescent="0.25">
      <c r="A3" s="30" t="s">
        <v>102</v>
      </c>
      <c r="B3" s="30" t="s">
        <v>103</v>
      </c>
      <c r="C3" s="30" t="s">
        <v>104</v>
      </c>
      <c r="D3" s="30" t="s">
        <v>105</v>
      </c>
      <c r="E3" s="30" t="s">
        <v>106</v>
      </c>
      <c r="F3" s="30" t="s">
        <v>107</v>
      </c>
      <c r="G3" s="30" t="s">
        <v>108</v>
      </c>
    </row>
    <row r="4" spans="1:7" x14ac:dyDescent="0.25">
      <c r="A4" s="31" t="s">
        <v>109</v>
      </c>
      <c r="B4" s="31" t="s">
        <v>11</v>
      </c>
      <c r="C4" s="32">
        <v>1.44</v>
      </c>
      <c r="D4" s="31" t="s">
        <v>110</v>
      </c>
      <c r="E4" s="31" t="s">
        <v>111</v>
      </c>
      <c r="F4" s="33" t="s">
        <v>112</v>
      </c>
      <c r="G4" s="31" t="s">
        <v>113</v>
      </c>
    </row>
    <row r="5" spans="1:7" x14ac:dyDescent="0.25">
      <c r="A5" s="34" t="s">
        <v>109</v>
      </c>
      <c r="B5" s="34" t="s">
        <v>12</v>
      </c>
      <c r="C5" s="35">
        <v>1.44</v>
      </c>
      <c r="D5" s="34" t="s">
        <v>110</v>
      </c>
      <c r="E5" s="34" t="s">
        <v>111</v>
      </c>
      <c r="F5" s="36" t="s">
        <v>112</v>
      </c>
      <c r="G5" s="34" t="s">
        <v>113</v>
      </c>
    </row>
    <row r="6" spans="1:7" x14ac:dyDescent="0.25">
      <c r="A6" s="31" t="s">
        <v>109</v>
      </c>
      <c r="B6" s="31" t="s">
        <v>14</v>
      </c>
      <c r="C6" s="32">
        <v>1.27</v>
      </c>
      <c r="D6" s="31" t="s">
        <v>110</v>
      </c>
      <c r="E6" s="31" t="s">
        <v>111</v>
      </c>
      <c r="F6" s="33" t="s">
        <v>112</v>
      </c>
      <c r="G6" s="31" t="s">
        <v>113</v>
      </c>
    </row>
    <row r="7" spans="1:7" x14ac:dyDescent="0.25">
      <c r="A7" s="34" t="s">
        <v>109</v>
      </c>
      <c r="B7" s="34" t="s">
        <v>16</v>
      </c>
      <c r="C7" s="35">
        <v>0.58</v>
      </c>
      <c r="D7" s="34" t="s">
        <v>110</v>
      </c>
      <c r="E7" s="34" t="s">
        <v>111</v>
      </c>
      <c r="F7" s="36" t="s">
        <v>112</v>
      </c>
      <c r="G7" s="34" t="s">
        <v>113</v>
      </c>
    </row>
    <row r="8" spans="1:7" x14ac:dyDescent="0.25">
      <c r="A8" s="31" t="s">
        <v>109</v>
      </c>
      <c r="B8" s="31" t="s">
        <v>20</v>
      </c>
      <c r="C8" s="32">
        <v>1.16</v>
      </c>
      <c r="D8" s="31" t="s">
        <v>110</v>
      </c>
      <c r="E8" s="31" t="s">
        <v>111</v>
      </c>
      <c r="F8" s="33" t="s">
        <v>112</v>
      </c>
      <c r="G8" s="31" t="s">
        <v>113</v>
      </c>
    </row>
    <row r="9" spans="1:7" x14ac:dyDescent="0.25">
      <c r="A9" s="34" t="s">
        <v>109</v>
      </c>
      <c r="B9" s="34" t="s">
        <v>24</v>
      </c>
      <c r="C9" s="35">
        <v>1.45</v>
      </c>
      <c r="D9" s="34" t="s">
        <v>110</v>
      </c>
      <c r="E9" s="34" t="s">
        <v>111</v>
      </c>
      <c r="F9" s="36" t="s">
        <v>112</v>
      </c>
      <c r="G9" s="34" t="s">
        <v>113</v>
      </c>
    </row>
    <row r="10" spans="1:7" x14ac:dyDescent="0.25">
      <c r="A10" s="31" t="s">
        <v>109</v>
      </c>
      <c r="B10" s="31" t="s">
        <v>27</v>
      </c>
      <c r="C10" s="32">
        <v>0.46</v>
      </c>
      <c r="D10" s="31" t="s">
        <v>110</v>
      </c>
      <c r="E10" s="31" t="s">
        <v>111</v>
      </c>
      <c r="F10" s="33" t="s">
        <v>112</v>
      </c>
      <c r="G10" s="31" t="s">
        <v>113</v>
      </c>
    </row>
    <row r="11" spans="1:7" x14ac:dyDescent="0.25">
      <c r="A11" s="34" t="s">
        <v>114</v>
      </c>
      <c r="B11" s="34" t="s">
        <v>115</v>
      </c>
      <c r="C11" s="35">
        <v>41194.55</v>
      </c>
      <c r="D11" s="34" t="s">
        <v>116</v>
      </c>
      <c r="E11" s="34" t="s">
        <v>117</v>
      </c>
      <c r="F11" s="36" t="s">
        <v>118</v>
      </c>
      <c r="G11" s="34" t="s">
        <v>113</v>
      </c>
    </row>
    <row r="12" spans="1:7" x14ac:dyDescent="0.25">
      <c r="A12" s="31" t="s">
        <v>119</v>
      </c>
      <c r="B12" s="31" t="s">
        <v>120</v>
      </c>
      <c r="C12" s="32">
        <v>72151</v>
      </c>
      <c r="D12" s="31" t="s">
        <v>116</v>
      </c>
      <c r="E12" s="31" t="s">
        <v>111</v>
      </c>
      <c r="F12" s="33" t="s">
        <v>121</v>
      </c>
      <c r="G12" s="31" t="s">
        <v>113</v>
      </c>
    </row>
    <row r="13" spans="1:7" x14ac:dyDescent="0.25">
      <c r="A13" s="34" t="s">
        <v>122</v>
      </c>
      <c r="B13" s="34" t="s">
        <v>123</v>
      </c>
      <c r="C13" s="35">
        <v>90</v>
      </c>
      <c r="D13" s="34" t="s">
        <v>124</v>
      </c>
      <c r="E13" s="34" t="s">
        <v>125</v>
      </c>
      <c r="F13" s="36" t="s">
        <v>126</v>
      </c>
      <c r="G13" s="34" t="s">
        <v>113</v>
      </c>
    </row>
    <row r="14" spans="1:7" x14ac:dyDescent="0.25">
      <c r="A14" s="31" t="s">
        <v>127</v>
      </c>
      <c r="B14" s="31" t="s">
        <v>123</v>
      </c>
      <c r="C14" s="32">
        <v>135.2</v>
      </c>
      <c r="D14" s="31" t="s">
        <v>124</v>
      </c>
      <c r="E14" s="31" t="s">
        <v>125</v>
      </c>
      <c r="F14" s="33" t="s">
        <v>126</v>
      </c>
      <c r="G14" s="31" t="s">
        <v>113</v>
      </c>
    </row>
    <row r="15" spans="1:7" x14ac:dyDescent="0.25">
      <c r="A15" s="34" t="s">
        <v>128</v>
      </c>
      <c r="B15" s="34" t="s">
        <v>123</v>
      </c>
      <c r="C15" s="35">
        <v>10</v>
      </c>
      <c r="D15" s="34" t="s">
        <v>110</v>
      </c>
      <c r="E15" s="34" t="s">
        <v>129</v>
      </c>
      <c r="F15" s="36" t="s">
        <v>130</v>
      </c>
      <c r="G15" s="34" t="s">
        <v>113</v>
      </c>
    </row>
    <row r="16" spans="1:7" x14ac:dyDescent="0.25">
      <c r="A16" s="31" t="s">
        <v>37</v>
      </c>
      <c r="B16" s="31" t="s">
        <v>123</v>
      </c>
      <c r="C16" s="32">
        <v>7</v>
      </c>
      <c r="D16" s="31" t="s">
        <v>110</v>
      </c>
      <c r="E16" s="31" t="s">
        <v>129</v>
      </c>
      <c r="F16" s="33" t="s">
        <v>131</v>
      </c>
      <c r="G16" s="31" t="s">
        <v>113</v>
      </c>
    </row>
    <row r="17" spans="1:7" x14ac:dyDescent="0.25">
      <c r="A17" s="34" t="s">
        <v>132</v>
      </c>
      <c r="B17" s="34" t="s">
        <v>123</v>
      </c>
      <c r="C17" s="35">
        <v>0.6</v>
      </c>
      <c r="D17" s="34" t="s">
        <v>110</v>
      </c>
      <c r="E17" s="34" t="s">
        <v>129</v>
      </c>
      <c r="F17" s="36" t="s">
        <v>133</v>
      </c>
      <c r="G17" s="34" t="s">
        <v>113</v>
      </c>
    </row>
    <row r="18" spans="1:7" x14ac:dyDescent="0.25">
      <c r="A18" s="37" t="s">
        <v>134</v>
      </c>
      <c r="B18" s="38"/>
      <c r="C18" s="38"/>
      <c r="D18" s="38" t="s">
        <v>135</v>
      </c>
      <c r="E18" s="38" t="s">
        <v>129</v>
      </c>
      <c r="F18" s="39" t="s">
        <v>136</v>
      </c>
      <c r="G18" s="38" t="s">
        <v>113</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113</v>
      </c>
    </row>
    <row r="30" spans="1:7" x14ac:dyDescent="0.25">
      <c r="A30" s="34" t="s">
        <v>144</v>
      </c>
      <c r="B30" s="34" t="s">
        <v>123</v>
      </c>
      <c r="C30" s="35">
        <v>25</v>
      </c>
      <c r="D30" s="34" t="s">
        <v>110</v>
      </c>
      <c r="E30" s="34" t="s">
        <v>129</v>
      </c>
      <c r="F30" s="36" t="s">
        <v>145</v>
      </c>
      <c r="G30" s="34" t="s">
        <v>113</v>
      </c>
    </row>
    <row r="31" spans="1:7" x14ac:dyDescent="0.25">
      <c r="A31" s="31" t="s">
        <v>146</v>
      </c>
      <c r="B31" s="31" t="s">
        <v>123</v>
      </c>
      <c r="C31" s="32">
        <v>4.75</v>
      </c>
      <c r="D31" s="31" t="s">
        <v>147</v>
      </c>
      <c r="E31" s="31" t="s">
        <v>129</v>
      </c>
      <c r="F31" s="33" t="s">
        <v>145</v>
      </c>
      <c r="G31" s="31" t="s">
        <v>113</v>
      </c>
    </row>
    <row r="32" spans="1:7" x14ac:dyDescent="0.25">
      <c r="A32" s="34" t="s">
        <v>148</v>
      </c>
      <c r="B32" s="34" t="s">
        <v>123</v>
      </c>
      <c r="C32" s="35">
        <v>90</v>
      </c>
      <c r="D32" s="34" t="s">
        <v>124</v>
      </c>
      <c r="E32" s="34" t="s">
        <v>129</v>
      </c>
      <c r="F32" s="36" t="s">
        <v>145</v>
      </c>
      <c r="G32" s="34" t="s">
        <v>113</v>
      </c>
    </row>
    <row r="33" spans="1:7" x14ac:dyDescent="0.25">
      <c r="A33" s="31" t="s">
        <v>149</v>
      </c>
      <c r="B33" s="31" t="s">
        <v>123</v>
      </c>
      <c r="C33" s="32">
        <v>30</v>
      </c>
      <c r="D33" s="31" t="s">
        <v>150</v>
      </c>
      <c r="E33" s="31" t="s">
        <v>129</v>
      </c>
      <c r="F33" s="33" t="s">
        <v>145</v>
      </c>
      <c r="G33" s="31" t="s">
        <v>113</v>
      </c>
    </row>
    <row r="34" spans="1:7" x14ac:dyDescent="0.25">
      <c r="A34" s="34" t="s">
        <v>151</v>
      </c>
      <c r="B34" s="34" t="s">
        <v>123</v>
      </c>
      <c r="C34" s="35">
        <v>330</v>
      </c>
      <c r="D34" s="34" t="s">
        <v>150</v>
      </c>
      <c r="E34" s="34" t="s">
        <v>129</v>
      </c>
      <c r="F34" s="36" t="s">
        <v>145</v>
      </c>
      <c r="G34" s="34" t="s">
        <v>113</v>
      </c>
    </row>
    <row r="35" spans="1:7" x14ac:dyDescent="0.25">
      <c r="A35" s="31" t="s">
        <v>152</v>
      </c>
      <c r="B35" s="31" t="s">
        <v>123</v>
      </c>
      <c r="C35" s="32">
        <v>20</v>
      </c>
      <c r="D35" s="31" t="s">
        <v>150</v>
      </c>
      <c r="E35" s="31" t="s">
        <v>129</v>
      </c>
      <c r="F35" s="33" t="s">
        <v>145</v>
      </c>
      <c r="G35" s="31" t="s">
        <v>113</v>
      </c>
    </row>
    <row r="36" spans="1:7" x14ac:dyDescent="0.25">
      <c r="A36" s="34" t="s">
        <v>153</v>
      </c>
      <c r="B36" s="34" t="s">
        <v>123</v>
      </c>
      <c r="C36" s="35">
        <v>15</v>
      </c>
      <c r="D36" s="34" t="s">
        <v>150</v>
      </c>
      <c r="E36" s="34" t="s">
        <v>129</v>
      </c>
      <c r="F36" s="36" t="s">
        <v>145</v>
      </c>
      <c r="G36" s="34"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2026-10-21T12:00:00Z</dcterms:created>
  <dcterms:modified xsi:type="dcterms:W3CDTF">2026-10-21T12:00:00Z</dcterms:modified>
</cp:coreProperties>
</file>