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Sueldo líquido" state="visible" r:id="rId5"/>
    <sheet sheetId="3" name="Gratificación" state="visible" r:id="rId6"/>
    <sheet sheetId="4" name="Finiquito" state="visible" r:id="rId7"/>
    <sheet sheetId="5" name="Tablas oficiales" state="visible" r:id="rId8"/>
  </sheets>
  <calcPr calcId="171027"/>
</workbook>
</file>

<file path=xl/sharedStrings.xml><?xml version="1.0" encoding="utf-8"?>
<sst xmlns="http://schemas.openxmlformats.org/spreadsheetml/2006/main" count="261" uniqueCount="154">
  <si>
    <t>Planilla de sueldo y finiquito Chile 2026</t>
  </si>
  <si>
    <t>Las celdas amarillas son para tus datos. Las verdes se calculan solas, con las fórmulas de la ley. A la derecha de cada hoja está el paso a paso de la cuenta.</t>
  </si>
  <si>
    <t>«Sueldo líquido»: pones tu sueldo imponible y te dice los descuentos de AFP, salud, seguro de cesantía e impuesto único, y tu sueldo líquido.</t>
  </si>
  <si>
    <t>«Gratificación»: calcula la gratificación mensual con el 25 % de tu remuneración y su tope legal.</t>
  </si>
  <si>
    <t>«Finiquito»: pones tus fechas, tu remuneración y el motivo del término, y te dice las indemnizaciones y las vacaciones pendientes y proporcionales.</t>
  </si>
  <si>
    <t>«Tablas oficiales» tiene cada valor oficial que usan las fórmulas, con el enlace a su fuente y la fecha en que lo verificamos. Los valores son los vigentes al 8/10/2026.</t>
  </si>
  <si>
    <t>Cuando cambia un valor oficial, actualizamos la planilla y el mismo enlace de descarga te baja la versión nueva.</t>
  </si>
  <si>
    <t>Da los mismos números que las calculadoras gratuitas de calcularya.com. Antes de publicar cada versión, una verificación automática recalcula este archivo y lo compara con ellas.</t>
  </si>
  <si>
    <t>Es una referencia de cálculo con sus fuentes, no asesoría legal. Tu contrato o tu empresa pueden darte más que el mínimo de ley.</t>
  </si>
  <si>
    <t>Las fechas van como dd/mm/aaaa. Si tu Excel está en inglés y las lee al revés, escríbelas como aaaa-mm-dd.</t>
  </si>
  <si>
    <t>Sueldo líquido: AFP, salud, seguro de cesantía e impuesto único</t>
  </si>
  <si>
    <t>Paso a paso</t>
  </si>
  <si>
    <t>TUS DATOS</t>
  </si>
  <si>
    <t>Sueldo bruto imponible</t>
  </si>
  <si>
    <t>Sueldo base más gratificación, horas extra, bonos y comisiones del mes.</t>
  </si>
  <si>
    <t>Cotizaciones</t>
  </si>
  <si>
    <t>Colación y movilización</t>
  </si>
  <si>
    <t>Lo que no paga cotizaciones ni impuesto. Si no tienes, deja 0.</t>
  </si>
  <si>
    <t>Tope imponible del mes</t>
  </si>
  <si>
    <t>Tu AFP</t>
  </si>
  <si>
    <t>AFP Habitat</t>
  </si>
  <si>
    <t>Tope imponible del seguro de cesantía</t>
  </si>
  <si>
    <t>Sistema de salud</t>
  </si>
  <si>
    <t>Fonasa</t>
  </si>
  <si>
    <t>Base de AFP y salud</t>
  </si>
  <si>
    <t>Valor de tu plan de Isapre en UF</t>
  </si>
  <si>
    <t>Solo si tu sistema de salud es Isapre. Si tu plan cuesta menos que la cotización legal, se descuenta igual la cotización legal.</t>
  </si>
  <si>
    <t>AFP: cotización más comisión (%)</t>
  </si>
  <si>
    <t>Tipo de contrato</t>
  </si>
  <si>
    <t>Indefinido</t>
  </si>
  <si>
    <t>AFP</t>
  </si>
  <si>
    <t>Cotización legal de salud</t>
  </si>
  <si>
    <t>TU LIQUIDACIÓN DE SUELDO</t>
  </si>
  <si>
    <t>Plan de Isapre en pesos</t>
  </si>
  <si>
    <t>Salud que te descuentan</t>
  </si>
  <si>
    <t>AFP (cotización y comisión)</t>
  </si>
  <si>
    <t>Seguro de cesantía</t>
  </si>
  <si>
    <t>Salud</t>
  </si>
  <si>
    <t>Impuesto único</t>
  </si>
  <si>
    <t>Base para el impuesto</t>
  </si>
  <si>
    <t>Base en UTM</t>
  </si>
  <si>
    <t>Total de descuentos</t>
  </si>
  <si>
    <t>Sueldo líquido</t>
  </si>
  <si>
    <t>La UF y la UTM están en la hoja de tablas con su fecha. Lo que tu plan de Isapre cobra por sobre la cotización legal se descuenta del sueldo, pero no rebaja el impuesto.</t>
  </si>
  <si>
    <t>Gratificación legal del artículo 50</t>
  </si>
  <si>
    <t>Porcentaje legal de la remuneración</t>
  </si>
  <si>
    <t>Remuneración mensual</t>
  </si>
  <si>
    <t>Sueldo más lo variable del mes (comisiones, horas extra). Sin colación ni movilización.</t>
  </si>
  <si>
    <t>Tope mensual (4,75 ingresos mínimos al año)</t>
  </si>
  <si>
    <t>Meses trabajados en el año</t>
  </si>
  <si>
    <t>Gratificación mensual exacta</t>
  </si>
  <si>
    <t>TU GRATIFICACIÓN</t>
  </si>
  <si>
    <t>Porcentaje legal de tu remuneración</t>
  </si>
  <si>
    <t>Tope mensual</t>
  </si>
  <si>
    <t>Gratificación mensual</t>
  </si>
  <si>
    <t>Gratificación del año</t>
  </si>
  <si>
    <t>Ingreso mínimo usado para el tope</t>
  </si>
  <si>
    <t>Es la modalidad del artículo 50 del Código del Trabajo, la que usan casi todas las empresas. Si la tuya reparte el 30 % de las utilidades (artículo 47), el monto puede ser otro.</t>
  </si>
  <si>
    <t>Finiquito: indemnizaciones y vacaciones</t>
  </si>
  <si>
    <t>Fecha en que empezaste a trabajar</t>
  </si>
  <si>
    <t>Antigüedad</t>
  </si>
  <si>
    <t>Último día de trabajo</t>
  </si>
  <si>
    <t>Años completos</t>
  </si>
  <si>
    <t>Última remuneración mensual</t>
  </si>
  <si>
    <t>Sueldo más lo fijo que recibes cada mes (colación, movilización, cotizaciones). Sin horas extra ni gratificación anual.</t>
  </si>
  <si>
    <t>Última anualidad</t>
  </si>
  <si>
    <t>Motivo del término</t>
  </si>
  <si>
    <t>Necesidades de la empresa (despido art. 161)</t>
  </si>
  <si>
    <t>Meses desde la última anualidad</t>
  </si>
  <si>
    <t>Te avisaron con 30 días o más de anticipación</t>
  </si>
  <si>
    <t>No</t>
  </si>
  <si>
    <t>Días sueltos</t>
  </si>
  <si>
    <t>Días hábiles de vacaciones de años anteriores sin tomar</t>
  </si>
  <si>
    <t>Trabajas en Magallanes, Aysén o Palena</t>
  </si>
  <si>
    <t>Indemnizaciones</t>
  </si>
  <si>
    <t>Tope de la remuneración (90 UF)</t>
  </si>
  <si>
    <t>TU FINIQUITO</t>
  </si>
  <si>
    <t>Base para las indemnizaciones</t>
  </si>
  <si>
    <t>Años que se indemnizan (más de 6 meses suman uno)</t>
  </si>
  <si>
    <t>Días de indemnización</t>
  </si>
  <si>
    <t>Indemnización por años de servicio</t>
  </si>
  <si>
    <t>Años que se indemnizan</t>
  </si>
  <si>
    <t>Indemnización sustitutiva del aviso previo</t>
  </si>
  <si>
    <t>Vacaciones (feriado)</t>
  </si>
  <si>
    <t>Días de vacaciones a pagar (corridos)</t>
  </si>
  <si>
    <t>Días hábiles de feriado por año</t>
  </si>
  <si>
    <t>Vacaciones pendientes y proporcionales</t>
  </si>
  <si>
    <t>Días hábiles a pagar</t>
  </si>
  <si>
    <t>Total del finiquito</t>
  </si>
  <si>
    <t>Días hábiles que se recorren</t>
  </si>
  <si>
    <t>Sábados y domingos que se suman</t>
  </si>
  <si>
    <t>Las vacaciones se cuentan desde el día siguiente a tu salida, sumando sábados y domingos. Si en ese período cae un festivo en día hábil, se suma un día más por cada uno. La indemnización por años tiene tope de 11 años, salvo contratos anteriores al 14 de agosto de 1981.</t>
  </si>
  <si>
    <t>Días corridos a pagar</t>
  </si>
  <si>
    <t>Vacaciones a pagar</t>
  </si>
  <si>
    <t>Tablas oficiales de Chile</t>
  </si>
  <si>
    <t>Son los valores que usan las fórmulas de esta planilla, vigentes al 8/10/2026. Cada uno trae el enlace a la norma o al organismo que lo publica y la fecha en que lo verificamos.</t>
  </si>
  <si>
    <t>Dato</t>
  </si>
  <si>
    <t>Detalle</t>
  </si>
  <si>
    <t>Valor</t>
  </si>
  <si>
    <t>Unidad</t>
  </si>
  <si>
    <t>Vigente desde</t>
  </si>
  <si>
    <t>Fuente oficial</t>
  </si>
  <si>
    <t>Verificado el</t>
  </si>
  <si>
    <t>Comisión mensual de cada AFP</t>
  </si>
  <si>
    <t>AFP Capital</t>
  </si>
  <si>
    <t>%</t>
  </si>
  <si>
    <t>1/10/2026</t>
  </si>
  <si>
    <t>https://www.spensiones.cl/infoydec</t>
  </si>
  <si>
    <t>7/10/2026</t>
  </si>
  <si>
    <t>AFP Cuprum</t>
  </si>
  <si>
    <t>AFP Modelo</t>
  </si>
  <si>
    <t>AFP PlanVital</t>
  </si>
  <si>
    <t>AFP ProVida</t>
  </si>
  <si>
    <t>AFP Uno</t>
  </si>
  <si>
    <t>Unidad de Fomento (UF)</t>
  </si>
  <si>
    <t>Valor al 8/10/2026</t>
  </si>
  <si>
    <t>CLP</t>
  </si>
  <si>
    <t>8/10/2026</t>
  </si>
  <si>
    <t>https://www.sii.cl/valores_y_fechas/uf/uf2026.htm</t>
  </si>
  <si>
    <t>Unidad Tributaria Mensual (UTM)</t>
  </si>
  <si>
    <t>Valor al 1/10/2026</t>
  </si>
  <si>
    <t>https://www.sii.cl/valores_y_fechas/utm/utm2026.htm</t>
  </si>
  <si>
    <t>Tope imponible mensual para AFP, salud y accidentes del trabajo</t>
  </si>
  <si>
    <t/>
  </si>
  <si>
    <t>UF</t>
  </si>
  <si>
    <t>1/2/2026</t>
  </si>
  <si>
    <t>https://www.spensiones.cl/portal/institucional/594/w3-article-16921.html</t>
  </si>
  <si>
    <t>Tope imponible mensual del seguro de cesantía</t>
  </si>
  <si>
    <t>Cotización obligatoria de pensiones (AFP)</t>
  </si>
  <si>
    <t>1/1/2026</t>
  </si>
  <si>
    <t>https://www.spensiones.cl/portal/institucional/594/w3-propertyvalue-9897.html</t>
  </si>
  <si>
    <t>https://www.superdesalud.gob.cl/preguntas-frecuentes/cual-es-la-cotizacion-legal-para-salud-y-en-que-plazo-deben-ser-declaradas-y-pagadas/</t>
  </si>
  <si>
    <t>Seguro de cesantía a cargo de quien trabaja (contrato indefinido)</t>
  </si>
  <si>
    <t>https://www.spensiones.cl/portal/institucional/594/w3-propertyvalue-9902.html</t>
  </si>
  <si>
    <t>Impuesto Único de Segunda Categoría, tabla mensual</t>
  </si>
  <si>
    <t>UTM</t>
  </si>
  <si>
    <t>https://www.sii.cl/valores_y_fechas/impuesto_2da_categoria/impuesto2026.htm</t>
  </si>
  <si>
    <t>Desde</t>
  </si>
  <si>
    <t>Hasta</t>
  </si>
  <si>
    <t>Tasa %</t>
  </si>
  <si>
    <t>Cuota fija</t>
  </si>
  <si>
    <t>Ingreso mínimo mensual (18 a 65 años)</t>
  </si>
  <si>
    <t>1/5/2026</t>
  </si>
  <si>
    <t>https://www.diariooficial.interior.gob.cl/publicaciones/2026/06/22/44481-B/01/2829298.pdf</t>
  </si>
  <si>
    <t>Gratificación legal del artículo 50 (porcentaje de lo devengado)</t>
  </si>
  <si>
    <t>https://www.bcn.cl/leychile/navegar?idNorma=207436</t>
  </si>
  <si>
    <t>Tope anual de la gratificación del artículo 50</t>
  </si>
  <si>
    <t>IMM</t>
  </si>
  <si>
    <t>Tope de la remuneración para indemnizaciones</t>
  </si>
  <si>
    <t>Indemnización por años de servicio: días por año</t>
  </si>
  <si>
    <t>días</t>
  </si>
  <si>
    <t>Indemnización por años de servicio: tope de días</t>
  </si>
  <si>
    <t>Feriado anual en Magallanes, Aysén y Palena</t>
  </si>
  <si>
    <t>Feriado anual (vacaciones legales)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</si>
</sst>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 &quot;#,##0"/>
    <numFmt numFmtId="165" formatCode="#,##0.00##"/>
    <numFmt numFmtId="166" formatCode="0.00##&quot; %&quot;"/>
    <numFmt numFmtId="167" formatCode="#,##0.##"/>
    <numFmt numFmtId="168" formatCode="dd/mm/yyyy"/>
    <numFmt numFmtId="169" formatCode="[&gt;=100000000000000]&quot;en adelante&quot;;#,##0.00##"/>
    <numFmt numFmtId="170" formatCode="0.00##"/>
  </numFmts>
  <fonts count="11" x14ac:knownFonts="1">
    <font>
      <color theme="1"/>
      <family val="2"/>
      <scheme val="minor"/>
      <sz val="11"/>
      <name val="Calibri"/>
    </font>
    <font>
      <b/>
      <color rgb="FFFFFFFF"/>
      <sz val="13"/>
    </font>
    <font>
      <b/>
      <color rgb="FFFFFFFF"/>
    </font>
    <font>
      <i/>
      <color rgb="FF777777"/>
      <sz val="9"/>
    </font>
    <font>
      <b/>
      <color rgb="FFFFFFFF"/>
      <sz val="11"/>
    </font>
    <font>
      <b/>
    </font>
    <font>
      <b/>
      <color rgb="FF1B5E20"/>
      <sz val="10"/>
    </font>
    <font>
      <sz val="10"/>
    </font>
    <font>
      <b/>
      <color rgb="FFB71C1C"/>
    </font>
    <font>
      <u/>
      <color rgb="FF1565C0"/>
    </font>
    <font>
      <b/>
      <sz val="9"/>
    </font>
  </fonts>
  <fills count="12">
    <fill>
      <patternFill patternType="none"/>
    </fill>
    <fill>
      <patternFill patternType="gray125"/>
    </fill>
    <fill>
      <patternFill patternType="solid">
        <fgColor rgb="FFE65100"/>
      </patternFill>
    </fill>
    <fill>
      <patternFill patternType="solid">
        <fgColor rgb="FF1B5E20"/>
      </patternFill>
    </fill>
    <fill>
      <patternFill patternType="solid">
        <fgColor rgb="FFF5F5F5"/>
      </patternFill>
    </fill>
    <fill>
      <patternFill patternType="solid">
        <fgColor rgb="FFFFFDE7"/>
      </patternFill>
    </fill>
    <fill>
      <patternFill patternType="solid">
        <fgColor rgb="FFFFFFFF"/>
      </patternFill>
    </fill>
    <fill>
      <patternFill patternType="solid">
        <fgColor rgb="FFE8F5E9"/>
      </patternFill>
    </fill>
    <fill>
      <patternFill patternType="solid">
        <fgColor rgb="FFC8E6C9"/>
      </patternFill>
    </fill>
    <fill>
      <patternFill patternType="solid">
        <fgColor rgb="FF37474F"/>
      </patternFill>
    </fill>
    <fill>
      <patternFill patternType="solid">
        <fgColor rgb="FF546E7A"/>
      </patternFill>
    </fill>
    <fill>
      <patternFill patternType="solid">
        <fgColor rgb="FFF3F8FF"/>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0" borderId="0" xfId="0" applyFont="1" applyAlignment="1">
      <alignment vertical="top" wrapText="1"/>
    </xf>
    <xf numFmtId="0" fontId="1" fillId="3" borderId="0" xfId="0" applyFont="1" applyFill="1" applyAlignment="1">
      <alignment horizontal="center" vertical="center"/>
    </xf>
    <xf numFmtId="0" fontId="4" fillId="3" borderId="0" xfId="0" applyFont="1" applyFill="1" applyAlignment="1">
      <alignment horizontal="left" indent="1"/>
    </xf>
    <xf numFmtId="0" fontId="0" fillId="4" borderId="1" xfId="0" applyFill="1" applyBorder="1" applyAlignment="1">
      <alignment horizontal="left" vertical="center" wrapText="1" indent="1"/>
    </xf>
    <xf numFmtId="164" fontId="5" fillId="5" borderId="1" xfId="0" applyNumberFormat="1" applyFont="1" applyFill="1" applyBorder="1" applyAlignment="1">
      <alignment horizontal="right"/>
    </xf>
    <xf numFmtId="0" fontId="3" fillId="0" borderId="0" xfId="0" applyFont="1" applyAlignment="1">
      <alignment vertical="center" wrapText="1"/>
    </xf>
    <xf numFmtId="0" fontId="6" fillId="0" borderId="0" xfId="0" applyFont="1"/>
    <xf numFmtId="0" fontId="7" fillId="4" borderId="1" xfId="0" applyFont="1" applyFill="1" applyBorder="1" applyAlignment="1">
      <alignment horizontal="left" wrapText="1" indent="1"/>
    </xf>
    <xf numFmtId="164" fontId="7" fillId="6" borderId="1" xfId="0" applyNumberFormat="1" applyFont="1" applyFill="1" applyBorder="1" applyAlignment="1">
      <alignment horizontal="right"/>
    </xf>
    <xf numFmtId="0" fontId="5" fillId="5" borderId="1" xfId="0" applyFont="1" applyFill="1" applyBorder="1" applyAlignment="1">
      <alignment horizontal="left" indent="1"/>
    </xf>
    <xf numFmtId="165" fontId="5" fillId="5" borderId="1" xfId="0" applyNumberFormat="1" applyFont="1" applyFill="1" applyBorder="1" applyAlignment="1">
      <alignment horizontal="right"/>
    </xf>
    <xf numFmtId="166" fontId="7" fillId="6" borderId="1" xfId="0" applyNumberFormat="1" applyFont="1" applyFill="1" applyBorder="1" applyAlignment="1">
      <alignment horizontal="right"/>
    </xf>
    <xf numFmtId="0" fontId="0" fillId="7" borderId="1" xfId="0" applyFill="1" applyBorder="1" applyAlignment="1">
      <alignment horizontal="left" wrapText="1" indent="1"/>
    </xf>
    <xf numFmtId="164" fontId="0" fillId="7" borderId="1" xfId="0" applyNumberFormat="1" applyFill="1" applyBorder="1" applyAlignment="1">
      <alignment horizontal="right"/>
    </xf>
    <xf numFmtId="165" fontId="7" fillId="6" borderId="1" xfId="0" applyNumberFormat="1" applyFont="1" applyFill="1" applyBorder="1" applyAlignment="1">
      <alignment horizontal="right"/>
    </xf>
    <xf numFmtId="0" fontId="5" fillId="8" borderId="1" xfId="0" applyFont="1" applyFill="1" applyBorder="1" applyAlignment="1">
      <alignment horizontal="left" wrapText="1" indent="1"/>
    </xf>
    <xf numFmtId="164" fontId="5" fillId="8" borderId="1" xfId="0" applyNumberFormat="1" applyFont="1" applyFill="1" applyBorder="1" applyAlignment="1">
      <alignment horizontal="right"/>
    </xf>
    <xf numFmtId="167" fontId="5" fillId="5" borderId="1" xfId="0" applyNumberFormat="1" applyFont="1" applyFill="1" applyBorder="1" applyAlignment="1">
      <alignment horizontal="right"/>
    </xf>
    <xf numFmtId="168" fontId="5" fillId="5" borderId="1" xfId="0" applyNumberFormat="1" applyFont="1" applyFill="1" applyBorder="1" applyAlignment="1">
      <alignment horizontal="right"/>
    </xf>
    <xf numFmtId="167" fontId="7" fillId="6" borderId="1" xfId="0" applyNumberFormat="1" applyFont="1" applyFill="1" applyBorder="1" applyAlignment="1">
      <alignment horizontal="right"/>
    </xf>
    <xf numFmtId="168" fontId="7" fillId="6" borderId="1" xfId="0" applyNumberFormat="1" applyFont="1" applyFill="1" applyBorder="1" applyAlignment="1">
      <alignment horizontal="right"/>
    </xf>
    <xf numFmtId="0" fontId="8" fillId="0" borderId="0" xfId="0" applyFont="1" applyAlignment="1">
      <alignment wrapText="1"/>
    </xf>
    <xf numFmtId="0" fontId="0" fillId="7" borderId="1" xfId="0" applyFill="1" applyBorder="1" applyAlignment="1">
      <alignment horizontal="right"/>
    </xf>
    <xf numFmtId="167" fontId="0" fillId="7" borderId="1" xfId="0" applyNumberFormat="1" applyFill="1" applyBorder="1" applyAlignment="1">
      <alignment horizontal="right"/>
    </xf>
    <xf numFmtId="165" fontId="0" fillId="7" borderId="1" xfId="0" applyNumberFormat="1" applyFill="1" applyBorder="1" applyAlignment="1">
      <alignment horizontal="right"/>
    </xf>
    <xf numFmtId="0" fontId="1" fillId="9" borderId="0" xfId="0" applyFont="1" applyFill="1" applyAlignment="1">
      <alignment horizontal="center" vertical="center"/>
    </xf>
    <xf numFmtId="0" fontId="2" fillId="10" borderId="1" xfId="0" applyFont="1" applyFill="1" applyBorder="1"/>
    <xf numFmtId="0" fontId="0" fillId="6" borderId="1" xfId="0" applyFill="1" applyBorder="1" applyAlignment="1">
      <alignment vertical="top" wrapText="1"/>
    </xf>
    <xf numFmtId="165" fontId="0" fillId="6" borderId="1" xfId="0" applyNumberFormat="1" applyFill="1" applyBorder="1" applyAlignment="1">
      <alignment vertical="top"/>
    </xf>
    <xf numFmtId="0" fontId="9" fillId="6" borderId="1" xfId="0" applyFont="1" applyFill="1" applyBorder="1" applyAlignment="1">
      <alignment vertical="top" wrapText="1"/>
    </xf>
    <xf numFmtId="0" fontId="0" fillId="4" borderId="1" xfId="0" applyFill="1" applyBorder="1" applyAlignment="1">
      <alignment vertical="top" wrapText="1"/>
    </xf>
    <xf numFmtId="165" fontId="0" fillId="4" borderId="1" xfId="0" applyNumberFormat="1" applyFill="1" applyBorder="1" applyAlignment="1">
      <alignment vertical="top"/>
    </xf>
    <xf numFmtId="0" fontId="9" fillId="4" borderId="1" xfId="0" applyFont="1" applyFill="1" applyBorder="1" applyAlignment="1">
      <alignment vertical="top" wrapText="1"/>
    </xf>
    <xf numFmtId="0" fontId="5" fillId="11" borderId="1" xfId="0" applyFont="1" applyFill="1" applyBorder="1" applyAlignment="1">
      <alignment vertical="top" wrapText="1"/>
    </xf>
    <xf numFmtId="0" fontId="0" fillId="11" borderId="1" xfId="0" applyFill="1" applyBorder="1" applyAlignment="1">
      <alignment vertical="top" wrapText="1"/>
    </xf>
    <xf numFmtId="0" fontId="9" fillId="11" borderId="1" xfId="0" applyFont="1" applyFill="1" applyBorder="1" applyAlignment="1">
      <alignment vertical="top" wrapText="1"/>
    </xf>
    <xf numFmtId="0" fontId="10" fillId="4" borderId="1" xfId="0" applyFont="1" applyFill="1" applyBorder="1"/>
    <xf numFmtId="165" fontId="0" fillId="0" borderId="1" xfId="0" applyNumberFormat="1" applyBorder="1"/>
    <xf numFmtId="169" fontId="0" fillId="0" borderId="1" xfId="0" applyNumberFormat="1" applyBorder="1"/>
    <xf numFmtId="170" fontId="0" fillId="0" borderId="1" xfId="0" applyNumberFormat="1" applyBorder="1"/>
    <xf numFmtId="164" fontId="0" fillId="6" borderId="1" xfId="0" applyNumberForma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www.spensiones.cl/infoydec" TargetMode="External"/><Relationship Id="rId2" Type="http://schemas.openxmlformats.org/officeDocument/2006/relationships/hyperlink" Target="https://www.spensiones.cl/infoydec" TargetMode="External"/><Relationship Id="rId3" Type="http://schemas.openxmlformats.org/officeDocument/2006/relationships/hyperlink" Target="https://www.spensiones.cl/infoydec" TargetMode="External"/><Relationship Id="rId4" Type="http://schemas.openxmlformats.org/officeDocument/2006/relationships/hyperlink" Target="https://www.spensiones.cl/infoydec" TargetMode="External"/><Relationship Id="rId5" Type="http://schemas.openxmlformats.org/officeDocument/2006/relationships/hyperlink" Target="https://www.spensiones.cl/infoydec" TargetMode="External"/><Relationship Id="rId6" Type="http://schemas.openxmlformats.org/officeDocument/2006/relationships/hyperlink" Target="https://www.spensiones.cl/infoydec" TargetMode="External"/><Relationship Id="rId7" Type="http://schemas.openxmlformats.org/officeDocument/2006/relationships/hyperlink" Target="https://www.spensiones.cl/infoydec" TargetMode="External"/><Relationship Id="rId8" Type="http://schemas.openxmlformats.org/officeDocument/2006/relationships/hyperlink" Target="https://www.sii.cl/valores_y_fechas/uf/uf2026.htm" TargetMode="External"/><Relationship Id="rId9" Type="http://schemas.openxmlformats.org/officeDocument/2006/relationships/hyperlink" Target="https://www.sii.cl/valores_y_fechas/utm/utm2026.htm" TargetMode="External"/><Relationship Id="rId10" Type="http://schemas.openxmlformats.org/officeDocument/2006/relationships/hyperlink" Target="https://www.spensiones.cl/portal/institucional/594/w3-article-16921.html" TargetMode="External"/><Relationship Id="rId11" Type="http://schemas.openxmlformats.org/officeDocument/2006/relationships/hyperlink" Target="https://www.spensiones.cl/portal/institucional/594/w3-article-16921.html" TargetMode="External"/><Relationship Id="rId12" Type="http://schemas.openxmlformats.org/officeDocument/2006/relationships/hyperlink" Target="https://www.spensiones.cl/portal/institucional/594/w3-propertyvalue-9897.html" TargetMode="External"/><Relationship Id="rId13" Type="http://schemas.openxmlformats.org/officeDocument/2006/relationships/hyperlink" Target="https://www.superdesalud.gob.cl/preguntas-frecuentes/cual-es-la-cotizacion-legal-para-salud-y-en-que-plazo-deben-ser-declaradas-y-pagadas/" TargetMode="External"/><Relationship Id="rId14" Type="http://schemas.openxmlformats.org/officeDocument/2006/relationships/hyperlink" Target="https://www.spensiones.cl/portal/institucional/594/w3-propertyvalue-9902.html" TargetMode="External"/><Relationship Id="rId15" Type="http://schemas.openxmlformats.org/officeDocument/2006/relationships/hyperlink" Target="https://www.sii.cl/valores_y_fechas/impuesto_2da_categoria/impuesto2026.htm" TargetMode="External"/><Relationship Id="rId16" Type="http://schemas.openxmlformats.org/officeDocument/2006/relationships/hyperlink" Target="https://www.diariooficial.interior.gob.cl/publicaciones/2026/06/22/44481-B/01/2829298.pdf" TargetMode="External"/><Relationship Id="rId17" Type="http://schemas.openxmlformats.org/officeDocument/2006/relationships/hyperlink" Target="https://www.bcn.cl/leychile/navegar?idNorma=207436" TargetMode="External"/><Relationship Id="rId18" Type="http://schemas.openxmlformats.org/officeDocument/2006/relationships/hyperlink" Target="https://www.bcn.cl/leychile/navegar?idNorma=207436" TargetMode="External"/><Relationship Id="rId19" Type="http://schemas.openxmlformats.org/officeDocument/2006/relationships/hyperlink" Target="https://www.bcn.cl/leychile/navegar?idNorma=207436" TargetMode="External"/><Relationship Id="rId20" Type="http://schemas.openxmlformats.org/officeDocument/2006/relationships/hyperlink" Target="https://www.bcn.cl/leychile/navegar?idNorma=207436" TargetMode="External"/><Relationship Id="rId21" Type="http://schemas.openxmlformats.org/officeDocument/2006/relationships/hyperlink" Target="https://www.bcn.cl/leychile/navegar?idNorma=207436" TargetMode="External"/><Relationship Id="rId22" Type="http://schemas.openxmlformats.org/officeDocument/2006/relationships/hyperlink" Target="https://www.bcn.cl/leychile/navegar?idNorma=207436" TargetMode="External"/><Relationship Id="rId23" Type="http://schemas.openxmlformats.org/officeDocument/2006/relationships/hyperlink" Target="https://www.bcn.cl/leychile/navegar?idNorma=2074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B12"/>
  <sheetFormatPr defaultRowHeight="15" outlineLevelRow="0" outlineLevelCol="0" x14ac:dyDescent="55"/>
  <cols>
    <col min="1" max="1" width="4" customWidth="1"/>
    <col min="2" max="2" width="110" customWidth="1"/>
  </cols>
  <sheetData>
    <row r="1" ht="28" customHeight="1" spans="1:2" x14ac:dyDescent="0.25">
      <c r="A1" s="1" t="s">
        <v>0</v>
      </c>
      <c r="B1" s="1"/>
    </row>
    <row r="3" ht="34" customHeight="1" spans="1:2" x14ac:dyDescent="0.25">
      <c r="A3" s="2">
        <v>1</v>
      </c>
      <c r="B3" s="3" t="s">
        <v>1</v>
      </c>
    </row>
    <row r="4" ht="34" customHeight="1" spans="1:2" x14ac:dyDescent="0.25">
      <c r="A4" s="2">
        <v>2</v>
      </c>
      <c r="B4" s="3" t="s">
        <v>2</v>
      </c>
    </row>
    <row r="5" ht="20" customHeight="1" spans="1:2" x14ac:dyDescent="0.25">
      <c r="A5" s="2">
        <v>3</v>
      </c>
      <c r="B5" s="3" t="s">
        <v>3</v>
      </c>
    </row>
    <row r="6" ht="34" customHeight="1" spans="1:2" x14ac:dyDescent="0.25">
      <c r="A6" s="2">
        <v>4</v>
      </c>
      <c r="B6" s="3" t="s">
        <v>4</v>
      </c>
    </row>
    <row r="7" ht="34" customHeight="1" spans="1:2" x14ac:dyDescent="0.25">
      <c r="A7" s="2">
        <v>5</v>
      </c>
      <c r="B7" s="3" t="s">
        <v>5</v>
      </c>
    </row>
    <row r="8" ht="34" customHeight="1" spans="1:2" x14ac:dyDescent="0.25">
      <c r="A8" s="2">
        <v>6</v>
      </c>
      <c r="B8" s="3" t="s">
        <v>6</v>
      </c>
    </row>
    <row r="10" ht="30" customHeight="1" spans="1:2" x14ac:dyDescent="0.25">
      <c r="A10" s="4" t="s">
        <v>7</v>
      </c>
      <c r="B10" s="4"/>
    </row>
    <row r="11" ht="30" customHeight="1" spans="1:2" x14ac:dyDescent="0.25">
      <c r="A11" s="4" t="s">
        <v>8</v>
      </c>
      <c r="B11" s="4"/>
    </row>
    <row r="12" ht="18" customHeight="1" spans="1:2" x14ac:dyDescent="0.25">
      <c r="A12" s="4" t="s">
        <v>9</v>
      </c>
      <c r="B12" s="4"/>
    </row>
  </sheetData>
  <mergeCells count="4">
    <mergeCell ref="A1:B1"/>
    <mergeCell ref="A10:B10"/>
    <mergeCell ref="A11:B11"/>
    <mergeCell ref="A12:B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4"/>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10</v>
      </c>
      <c r="B1" s="5"/>
      <c r="C1" s="5"/>
    </row>
    <row r="3" spans="5:6" x14ac:dyDescent="0.25">
      <c r="E3" s="6" t="s">
        <v>11</v>
      </c>
      <c r="F3" s="6"/>
    </row>
    <row r="4" spans="1:3" x14ac:dyDescent="0.25">
      <c r="A4" s="6" t="s">
        <v>12</v>
      </c>
      <c r="B4" s="6"/>
      <c r="C4" s="6"/>
    </row>
    <row r="5" ht="30" customHeight="1" spans="1:5" x14ac:dyDescent="0.25">
      <c r="A5" s="7" t="s">
        <v>13</v>
      </c>
      <c r="B5" s="8">
        <v>1200000</v>
      </c>
      <c r="C5" s="9" t="s">
        <v>14</v>
      </c>
      <c r="E5" s="10" t="s">
        <v>15</v>
      </c>
    </row>
    <row r="6" spans="1:6" x14ac:dyDescent="0.25">
      <c r="A6" s="7" t="s">
        <v>16</v>
      </c>
      <c r="B6" s="8">
        <v>0</v>
      </c>
      <c r="C6" s="9" t="s">
        <v>17</v>
      </c>
      <c r="E6" s="11" t="s">
        <v>18</v>
      </c>
      <c r="F6" s="12">
        <f>ROUND('Tablas oficiales'!$C$13*'Tablas oficiales'!$C$11,0)</f>
      </c>
    </row>
    <row r="7" spans="1:6" x14ac:dyDescent="0.25">
      <c r="A7" s="7" t="s">
        <v>19</v>
      </c>
      <c r="B7" s="13" t="s">
        <v>20</v>
      </c>
      <c r="E7" s="11" t="s">
        <v>21</v>
      </c>
      <c r="F7" s="12">
        <f>ROUND('Tablas oficiales'!$C$14*'Tablas oficiales'!$C$11,0)</f>
      </c>
    </row>
    <row r="8" spans="1:6" x14ac:dyDescent="0.25">
      <c r="A8" s="7" t="s">
        <v>22</v>
      </c>
      <c r="B8" s="13" t="s">
        <v>23</v>
      </c>
      <c r="E8" s="11" t="s">
        <v>24</v>
      </c>
      <c r="F8" s="12">
        <f>MIN(B5,F6)</f>
      </c>
    </row>
    <row r="9" ht="30" customHeight="1" spans="1:6" x14ac:dyDescent="0.25">
      <c r="A9" s="7" t="s">
        <v>25</v>
      </c>
      <c r="B9" s="14">
        <v>0</v>
      </c>
      <c r="C9" s="9" t="s">
        <v>26</v>
      </c>
      <c r="E9" s="11" t="s">
        <v>27</v>
      </c>
      <c r="F9" s="15">
        <f>'Tablas oficiales'!$C$15+INDEX('Tablas oficiales'!$C$4:$C$10,MATCH(B7,'Tablas oficiales'!$B$4:$B$10,0))</f>
      </c>
    </row>
    <row r="10" spans="1:6" x14ac:dyDescent="0.25">
      <c r="A10" s="7" t="s">
        <v>28</v>
      </c>
      <c r="B10" s="13" t="s">
        <v>29</v>
      </c>
      <c r="E10" s="11" t="s">
        <v>30</v>
      </c>
      <c r="F10" s="12">
        <f>ROUND(F8*F9/100,0)</f>
      </c>
    </row>
    <row r="11" spans="5:6" x14ac:dyDescent="0.25">
      <c r="E11" s="11" t="s">
        <v>31</v>
      </c>
      <c r="F11" s="12">
        <f>ROUND(F8*'Tablas oficiales'!$C$16/100,0)</f>
      </c>
    </row>
    <row r="12" spans="1:6" x14ac:dyDescent="0.25">
      <c r="A12" s="6" t="s">
        <v>32</v>
      </c>
      <c r="B12" s="6"/>
      <c r="C12" s="6"/>
      <c r="E12" s="11" t="s">
        <v>33</v>
      </c>
      <c r="F12" s="12">
        <f>IF(B8="Isapre",ROUND(B9*'Tablas oficiales'!$C$11,0),0)</f>
      </c>
    </row>
    <row r="13" spans="1:6" x14ac:dyDescent="0.25">
      <c r="A13" s="16" t="s">
        <v>13</v>
      </c>
      <c r="B13" s="17">
        <f>B5</f>
      </c>
      <c r="E13" s="11" t="s">
        <v>34</v>
      </c>
      <c r="F13" s="12">
        <f>MAX(F11,F12)</f>
      </c>
    </row>
    <row r="14" spans="1:6" x14ac:dyDescent="0.25">
      <c r="A14" s="16" t="s">
        <v>35</v>
      </c>
      <c r="B14" s="17">
        <f>F10</f>
      </c>
      <c r="E14" s="11" t="s">
        <v>36</v>
      </c>
      <c r="F14" s="12">
        <f>IF(B10="Indefinido",ROUND(MIN(B5,F7)*'Tablas oficiales'!$C$17/100,0),0)</f>
      </c>
    </row>
    <row r="15" spans="1:2" x14ac:dyDescent="0.25">
      <c r="A15" s="16" t="s">
        <v>37</v>
      </c>
      <c r="B15" s="17">
        <f>F13</f>
      </c>
    </row>
    <row r="16" spans="1:5" x14ac:dyDescent="0.25">
      <c r="A16" s="16" t="s">
        <v>36</v>
      </c>
      <c r="B16" s="17">
        <f>F14</f>
      </c>
      <c r="E16" s="10" t="s">
        <v>38</v>
      </c>
    </row>
    <row r="17" spans="1:6" x14ac:dyDescent="0.25">
      <c r="A17" s="16" t="s">
        <v>39</v>
      </c>
      <c r="B17" s="17">
        <f>F17</f>
      </c>
      <c r="E17" s="11" t="s">
        <v>39</v>
      </c>
      <c r="F17" s="12">
        <f>MAX(0,B5-F10-F11-F14)</f>
      </c>
    </row>
    <row r="18" spans="1:6" x14ac:dyDescent="0.25">
      <c r="A18" s="16" t="s">
        <v>38</v>
      </c>
      <c r="B18" s="17">
        <f>F19</f>
      </c>
      <c r="E18" s="11" t="s">
        <v>40</v>
      </c>
      <c r="F18" s="18">
        <f>F17/'Tablas oficiales'!$C$12</f>
      </c>
    </row>
    <row r="19" spans="1:6" x14ac:dyDescent="0.25">
      <c r="A19" s="16" t="s">
        <v>41</v>
      </c>
      <c r="B19" s="17">
        <f>F20</f>
      </c>
      <c r="E19" s="11" t="s">
        <v>38</v>
      </c>
      <c r="F19" s="12">
        <f>ROUND(IF(F18&lt;=0,0,INDEX('Tablas oficiales'!$E$20:$E$27,IFERROR(MATCH(F18,'Tablas oficiales'!$B$20:$B$27,1),1))+(F18-INDEX('Tablas oficiales'!$B$20:$B$27,IFERROR(MATCH(F18,'Tablas oficiales'!$B$20:$B$27,1),1)))*INDEX('Tablas oficiales'!$D$20:$D$27,IFERROR(MATCH(F18,'Tablas oficiales'!$B$20:$B$27,1),1))/100)*'Tablas oficiales'!$C$12,0)</f>
      </c>
    </row>
    <row r="20" spans="1:6" x14ac:dyDescent="0.25">
      <c r="A20" s="16" t="s">
        <v>16</v>
      </c>
      <c r="B20" s="17">
        <f>B6</f>
      </c>
      <c r="E20" s="11" t="s">
        <v>41</v>
      </c>
      <c r="F20" s="12">
        <f>F10+F13+F14+F19</f>
      </c>
    </row>
    <row r="21" spans="1:2" x14ac:dyDescent="0.25">
      <c r="A21" s="19" t="s">
        <v>42</v>
      </c>
      <c r="B21" s="20">
        <f>B5-F20+B6</f>
      </c>
    </row>
    <row r="22" spans="1:2" x14ac:dyDescent="0.25">
      <c r="A22" s="16" t="s">
        <v>18</v>
      </c>
      <c r="B22" s="17">
        <f>F6</f>
      </c>
    </row>
    <row r="24" ht="36" customHeight="1" spans="1:3" x14ac:dyDescent="0.25">
      <c r="A24" s="4" t="s">
        <v>43</v>
      </c>
      <c r="B24" s="4"/>
      <c r="C24" s="4"/>
    </row>
  </sheetData>
  <mergeCells count="5">
    <mergeCell ref="A1:C1"/>
    <mergeCell ref="E3:F3"/>
    <mergeCell ref="A4:C4"/>
    <mergeCell ref="A12:C12"/>
    <mergeCell ref="A24:C24"/>
  </mergeCells>
  <dataValidations count="5">
    <dataValidation type="list" showErrorMessage="1" error="Elige una opción de la lista." sqref="B10">
      <formula1>"Indefinido,A plazo fijo o por obra o faena"</formula1>
    </dataValidation>
    <dataValidation type="decimal" allowBlank="1" showErrorMessage="1" error="Escribe un número mayor o igual a 0." sqref="B5:B6">
      <formula1>0</formula1>
      <formula2>1000000000000</formula2>
    </dataValidation>
    <dataValidation type="list" showErrorMessage="1" error="Elige una opción de la lista." sqref="B7">
      <formula1>"AFP Capital,AFP Cuprum,AFP Habitat,AFP Modelo,AFP PlanVital,AFP ProVida,AFP Uno"</formula1>
    </dataValidation>
    <dataValidation type="list" showErrorMessage="1" error="Elige una opción de la lista." sqref="B8">
      <formula1>"Fonasa,Isapre"</formula1>
    </dataValidation>
    <dataValidation type="decimal" allowBlank="1" showErrorMessage="1" error="Escribe un número mayor o igual a 0." sqref="B9">
      <formula1>0</formula1>
      <formula2>1000000000000</formula2>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15"/>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44</v>
      </c>
      <c r="B1" s="5"/>
      <c r="C1" s="5"/>
    </row>
    <row r="3" spans="5:6" x14ac:dyDescent="0.25">
      <c r="E3" s="6" t="s">
        <v>11</v>
      </c>
      <c r="F3" s="6"/>
    </row>
    <row r="4" spans="1:6" x14ac:dyDescent="0.25">
      <c r="A4" s="6" t="s">
        <v>12</v>
      </c>
      <c r="B4" s="6"/>
      <c r="C4" s="6"/>
      <c r="E4" s="11" t="s">
        <v>45</v>
      </c>
      <c r="F4" s="12">
        <f>B5*'Tablas oficiales'!$C$30/100</f>
      </c>
    </row>
    <row r="5" ht="30" customHeight="1" spans="1:6" x14ac:dyDescent="0.25">
      <c r="A5" s="7" t="s">
        <v>46</v>
      </c>
      <c r="B5" s="8">
        <v>900000</v>
      </c>
      <c r="C5" s="9" t="s">
        <v>47</v>
      </c>
      <c r="E5" s="11" t="s">
        <v>48</v>
      </c>
      <c r="F5" s="12">
        <f>'Tablas oficiales'!$C$31*'Tablas oficiales'!$C$29/12</f>
      </c>
    </row>
    <row r="6" spans="1:6" x14ac:dyDescent="0.25">
      <c r="A6" s="7" t="s">
        <v>49</v>
      </c>
      <c r="B6" s="21">
        <v>12</v>
      </c>
      <c r="E6" s="11" t="s">
        <v>50</v>
      </c>
      <c r="F6" s="12">
        <f>MIN(F4,F5)</f>
      </c>
    </row>
    <row r="8" spans="1:3" x14ac:dyDescent="0.25">
      <c r="A8" s="6" t="s">
        <v>51</v>
      </c>
      <c r="B8" s="6"/>
      <c r="C8" s="6"/>
    </row>
    <row r="9" spans="1:2" x14ac:dyDescent="0.25">
      <c r="A9" s="16" t="s">
        <v>52</v>
      </c>
      <c r="B9" s="17">
        <f>ROUND(F4,0)</f>
      </c>
    </row>
    <row r="10" spans="1:2" x14ac:dyDescent="0.25">
      <c r="A10" s="16" t="s">
        <v>53</v>
      </c>
      <c r="B10" s="17">
        <f>ROUND(F5,0)</f>
      </c>
    </row>
    <row r="11" spans="1:2" x14ac:dyDescent="0.25">
      <c r="A11" s="19" t="s">
        <v>54</v>
      </c>
      <c r="B11" s="20">
        <f>ROUND(F6,0)</f>
      </c>
    </row>
    <row r="12" spans="1:2" x14ac:dyDescent="0.25">
      <c r="A12" s="16" t="s">
        <v>55</v>
      </c>
      <c r="B12" s="17">
        <f>ROUND(F6*B6,0)</f>
      </c>
    </row>
    <row r="13" spans="1:2" x14ac:dyDescent="0.25">
      <c r="A13" s="16" t="s">
        <v>56</v>
      </c>
      <c r="B13" s="17">
        <f>'Tablas oficiales'!$C$29</f>
      </c>
    </row>
    <row r="15" ht="36" customHeight="1" spans="1:3" x14ac:dyDescent="0.25">
      <c r="A15" s="4" t="s">
        <v>57</v>
      </c>
      <c r="B15" s="4"/>
      <c r="C15" s="4"/>
    </row>
  </sheetData>
  <mergeCells count="5">
    <mergeCell ref="A1:C1"/>
    <mergeCell ref="E3:F3"/>
    <mergeCell ref="A4:C4"/>
    <mergeCell ref="A8:C8"/>
    <mergeCell ref="A15:C15"/>
  </mergeCells>
  <dataValidations count="2">
    <dataValidation type="decimal" allowBlank="1" showErrorMessage="1" error="Escribe un número mayor o igual a 0." sqref="B5">
      <formula1>0</formula1>
      <formula2>1000000000000</formula2>
    </dataValidation>
    <dataValidation type="whole" allowBlank="1" showErrorMessage="1" error="Escribe un número entre 1 y 12." sqref="B6">
      <formula1>1</formula1>
      <formula2>12</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5"/>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58</v>
      </c>
      <c r="B1" s="5"/>
      <c r="C1" s="5"/>
    </row>
    <row r="3" spans="5:6" x14ac:dyDescent="0.25">
      <c r="E3" s="6" t="s">
        <v>11</v>
      </c>
      <c r="F3" s="6"/>
    </row>
    <row r="4" spans="1:3" x14ac:dyDescent="0.25">
      <c r="A4" s="6" t="s">
        <v>12</v>
      </c>
      <c r="B4" s="6"/>
      <c r="C4" s="6"/>
    </row>
    <row r="5" spans="1:5" x14ac:dyDescent="0.25">
      <c r="A5" s="7" t="s">
        <v>59</v>
      </c>
      <c r="B5" s="22">
        <v>44635</v>
      </c>
      <c r="E5" s="10" t="s">
        <v>60</v>
      </c>
    </row>
    <row r="6" spans="1:6" x14ac:dyDescent="0.25">
      <c r="A6" s="7" t="s">
        <v>61</v>
      </c>
      <c r="B6" s="22">
        <v>46303</v>
      </c>
      <c r="E6" s="11" t="s">
        <v>62</v>
      </c>
      <c r="F6" s="23">
        <f>IF(EDATE(B5,12*(YEAR(B6)-YEAR(B5)))&gt;B6,(YEAR(B6)-YEAR(B5))-1,(YEAR(B6)-YEAR(B5)))</f>
      </c>
    </row>
    <row r="7" ht="30" customHeight="1" spans="1:6" x14ac:dyDescent="0.25">
      <c r="A7" s="7" t="s">
        <v>63</v>
      </c>
      <c r="B7" s="8">
        <v>1200000</v>
      </c>
      <c r="C7" s="9" t="s">
        <v>64</v>
      </c>
      <c r="E7" s="11" t="s">
        <v>65</v>
      </c>
      <c r="F7" s="24">
        <f>EDATE(B5,12*F6)</f>
      </c>
    </row>
    <row r="8" spans="1:6" x14ac:dyDescent="0.25">
      <c r="A8" s="7" t="s">
        <v>66</v>
      </c>
      <c r="B8" s="13" t="s">
        <v>67</v>
      </c>
      <c r="E8" s="11" t="s">
        <v>68</v>
      </c>
      <c r="F8" s="23">
        <f>MIN(12,IF(EDATE(F7,((YEAR(B6)-YEAR(F7))*12+MONTH(B6)-MONTH(F7)))&gt;B6,((YEAR(B6)-YEAR(F7))*12+MONTH(B6)-MONTH(F7))-1,((YEAR(B6)-YEAR(F7))*12+MONTH(B6)-MONTH(F7))))</f>
      </c>
    </row>
    <row r="9" spans="1:6" x14ac:dyDescent="0.25">
      <c r="A9" s="7" t="s">
        <v>69</v>
      </c>
      <c r="B9" s="13" t="s">
        <v>70</v>
      </c>
      <c r="E9" s="11" t="s">
        <v>71</v>
      </c>
      <c r="F9" s="23">
        <f>B6-EDATE(F7,F8)</f>
      </c>
    </row>
    <row r="10" spans="1:2" x14ac:dyDescent="0.25">
      <c r="A10" s="7" t="s">
        <v>72</v>
      </c>
      <c r="B10" s="14">
        <v>0</v>
      </c>
    </row>
    <row r="11" spans="1:5" x14ac:dyDescent="0.25">
      <c r="A11" s="7" t="s">
        <v>73</v>
      </c>
      <c r="B11" s="13" t="s">
        <v>70</v>
      </c>
      <c r="E11" s="10" t="s">
        <v>74</v>
      </c>
    </row>
    <row r="12" spans="5:6" x14ac:dyDescent="0.25">
      <c r="E12" s="11" t="s">
        <v>75</v>
      </c>
      <c r="F12" s="12">
        <f>ROUND('Tablas oficiales'!$C$32*'Tablas oficiales'!$C$11,0)</f>
      </c>
    </row>
    <row r="13" spans="1:6" x14ac:dyDescent="0.25">
      <c r="A13" s="6" t="s">
        <v>76</v>
      </c>
      <c r="B13" s="6"/>
      <c r="C13" s="6"/>
      <c r="E13" s="11" t="s">
        <v>77</v>
      </c>
      <c r="F13" s="12">
        <f>MIN(B7,F12)</f>
      </c>
    </row>
    <row r="14" spans="1:6" x14ac:dyDescent="0.25">
      <c r="A14" s="25">
        <f>IF(B6&lt;B5,"El último día tiene que ser posterior a la fecha en que empezaste.","")</f>
      </c>
      <c r="B14" s="25"/>
      <c r="C14" s="25"/>
      <c r="E14" s="11" t="s">
        <v>78</v>
      </c>
      <c r="F14" s="23">
        <f>F6+IF(OR(F8&gt;6,AND(F8=6,F9&gt;0)),1,0)</f>
      </c>
    </row>
    <row r="15" spans="1:6" x14ac:dyDescent="0.25">
      <c r="A15" s="16" t="s">
        <v>60</v>
      </c>
      <c r="B15" s="26">
        <f>F6&amp;" años, "&amp;F8&amp;" meses y "&amp;F9&amp;" días"</f>
      </c>
      <c r="E15" s="11" t="s">
        <v>79</v>
      </c>
      <c r="F15" s="23">
        <f>IF(AND(B8="Necesidades de la empresa (despido art. 161)",F6&gt;=1),IF(B5&lt;DATE(1981,8,14),F14*'Tablas oficiales'!$C$33,MIN(F14*'Tablas oficiales'!$C$33,'Tablas oficiales'!$C$34)),0)</f>
      </c>
    </row>
    <row r="16" spans="1:6" x14ac:dyDescent="0.25">
      <c r="A16" s="16" t="s">
        <v>77</v>
      </c>
      <c r="B16" s="17">
        <f>F13</f>
      </c>
      <c r="E16" s="11" t="s">
        <v>80</v>
      </c>
      <c r="F16" s="12">
        <f>ROUND(F13*F15/30,0)</f>
      </c>
    </row>
    <row r="17" spans="1:6" x14ac:dyDescent="0.25">
      <c r="A17" s="16" t="s">
        <v>81</v>
      </c>
      <c r="B17" s="27">
        <f>IF(B8="Necesidades de la empresa (despido art. 161)",F14,0)</f>
      </c>
      <c r="E17" s="11" t="s">
        <v>82</v>
      </c>
      <c r="F17" s="12">
        <f>IF(AND(B8="Necesidades de la empresa (despido art. 161)",B9="No"),F13,0)</f>
      </c>
    </row>
    <row r="18" spans="1:2" x14ac:dyDescent="0.25">
      <c r="A18" s="16" t="s">
        <v>80</v>
      </c>
      <c r="B18" s="17">
        <f>F16</f>
      </c>
    </row>
    <row r="19" spans="1:5" x14ac:dyDescent="0.25">
      <c r="A19" s="16" t="s">
        <v>82</v>
      </c>
      <c r="B19" s="17">
        <f>F17</f>
      </c>
      <c r="E19" s="10" t="s">
        <v>83</v>
      </c>
    </row>
    <row r="20" spans="1:6" x14ac:dyDescent="0.25">
      <c r="A20" s="16" t="s">
        <v>84</v>
      </c>
      <c r="B20" s="28">
        <f>F24</f>
      </c>
      <c r="E20" s="11" t="s">
        <v>85</v>
      </c>
      <c r="F20" s="23">
        <f>IF(B11="Sí",'Tablas oficiales'!$C$35,'Tablas oficiales'!$C$36)</f>
      </c>
    </row>
    <row r="21" spans="1:6" x14ac:dyDescent="0.25">
      <c r="A21" s="16" t="s">
        <v>86</v>
      </c>
      <c r="B21" s="17">
        <f>F25</f>
      </c>
      <c r="E21" s="11" t="s">
        <v>87</v>
      </c>
      <c r="F21" s="18">
        <f>F20/12*F8+F20/12/30*F9+B10</f>
      </c>
    </row>
    <row r="22" spans="1:6" x14ac:dyDescent="0.25">
      <c r="A22" s="19" t="s">
        <v>88</v>
      </c>
      <c r="B22" s="20">
        <f>F16+F17+F25</f>
      </c>
      <c r="E22" s="11" t="s">
        <v>89</v>
      </c>
      <c r="F22" s="23">
        <f>MAX(0,ROUNDUP(F21-0.000000001,0))</f>
      </c>
    </row>
    <row r="23" spans="5:6" x14ac:dyDescent="0.25">
      <c r="E23" s="11" t="s">
        <v>90</v>
      </c>
      <c r="F23" s="23">
        <f>WORKDAY(B6,F22)-B6-F22</f>
      </c>
    </row>
    <row r="24" ht="51" customHeight="1" spans="1:6" x14ac:dyDescent="0.25">
      <c r="A24" s="4" t="s">
        <v>91</v>
      </c>
      <c r="B24" s="4"/>
      <c r="C24" s="4"/>
      <c r="E24" s="11" t="s">
        <v>92</v>
      </c>
      <c r="F24" s="18">
        <f>F21+F23</f>
      </c>
    </row>
    <row r="25" spans="5:6" x14ac:dyDescent="0.25">
      <c r="E25" s="11" t="s">
        <v>93</v>
      </c>
      <c r="F25" s="12">
        <f>ROUND(B7/30*F24,0)</f>
      </c>
    </row>
  </sheetData>
  <mergeCells count="6">
    <mergeCell ref="A1:C1"/>
    <mergeCell ref="E3:F3"/>
    <mergeCell ref="A4:C4"/>
    <mergeCell ref="A13:C13"/>
    <mergeCell ref="A14:C14"/>
    <mergeCell ref="A24:C24"/>
  </mergeCells>
  <dataValidations count="6">
    <dataValidation type="decimal" allowBlank="1" showErrorMessage="1" error="Escribe un número entre 0 y 365." sqref="B10">
      <formula1>0</formula1>
      <formula2>365</formula2>
    </dataValidation>
    <dataValidation type="list" showErrorMessage="1" error="Elige una opción de la lista." sqref="B11">
      <formula1>"Sí,No"</formula1>
    </dataValidation>
    <dataValidation type="date" operator="greaterThan" allowBlank="1" showErrorMessage="1" error="Escribe una fecha como dd/mm/aaaa." sqref="B5:B6">
      <formula1>18264</formula1>
    </dataValidation>
    <dataValidation type="decimal" allowBlank="1" showErrorMessage="1" error="Escribe un número mayor o igual a 0." sqref="B7">
      <formula1>0</formula1>
      <formula2>1000000000000</formula2>
    </dataValidation>
    <dataValidation type="list" showErrorMessage="1" error="Elige una opción de la lista." sqref="B8">
      <formula1>"Necesidades de la empresa (despido art. 161),Renuncia,Mutuo acuerdo o fin del plazo u otra causal"</formula1>
    </dataValidation>
    <dataValidation type="list" showErrorMessage="1" error="Elige una opción de la lista." sqref="B9">
      <formula1>"Sí,No"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G36"/>
  <sheetViews>
    <sheetView workbookViewId="0">
      <pane ySplit="3" topLeftCell="A4" activePane="bottomLeft" state="frozen"/>
      <selection pane="bottomLeft"/>
    </sheetView>
  </sheetViews>
  <sheetFormatPr defaultRowHeight="15" outlineLevelRow="0" outlineLevelCol="0" x14ac:dyDescent="55"/>
  <cols>
    <col min="1" max="1" width="46" customWidth="1"/>
    <col min="2" max="2" width="30" customWidth="1"/>
    <col min="3" max="3" width="18" customWidth="1"/>
    <col min="4" max="4" width="12" customWidth="1"/>
    <col min="5" max="5" width="14" customWidth="1"/>
    <col min="6" max="6" width="58" customWidth="1"/>
    <col min="7" max="7" width="14" customWidth="1"/>
  </cols>
  <sheetData>
    <row r="1" ht="28" customHeight="1" spans="1:7" x14ac:dyDescent="0.25">
      <c r="A1" s="29" t="s">
        <v>94</v>
      </c>
      <c r="B1" s="29"/>
      <c r="C1" s="29"/>
      <c r="D1" s="29"/>
      <c r="E1" s="29"/>
      <c r="F1" s="29"/>
      <c r="G1" s="29"/>
    </row>
    <row r="2" ht="30" customHeight="1" spans="1:7" x14ac:dyDescent="0.25">
      <c r="A2" s="4" t="s">
        <v>95</v>
      </c>
      <c r="B2" s="4"/>
      <c r="C2" s="4"/>
      <c r="D2" s="4"/>
      <c r="E2" s="4"/>
      <c r="F2" s="4"/>
      <c r="G2" s="4"/>
    </row>
    <row r="3" spans="1:7" x14ac:dyDescent="0.25">
      <c r="A3" s="30" t="s">
        <v>96</v>
      </c>
      <c r="B3" s="30" t="s">
        <v>97</v>
      </c>
      <c r="C3" s="30" t="s">
        <v>98</v>
      </c>
      <c r="D3" s="30" t="s">
        <v>99</v>
      </c>
      <c r="E3" s="30" t="s">
        <v>100</v>
      </c>
      <c r="F3" s="30" t="s">
        <v>101</v>
      </c>
      <c r="G3" s="30" t="s">
        <v>102</v>
      </c>
    </row>
    <row r="4" spans="1:7" x14ac:dyDescent="0.25">
      <c r="A4" s="31" t="s">
        <v>103</v>
      </c>
      <c r="B4" s="31" t="s">
        <v>104</v>
      </c>
      <c r="C4" s="32">
        <v>1.44</v>
      </c>
      <c r="D4" s="31" t="s">
        <v>105</v>
      </c>
      <c r="E4" s="31" t="s">
        <v>106</v>
      </c>
      <c r="F4" s="33" t="s">
        <v>107</v>
      </c>
      <c r="G4" s="31" t="s">
        <v>108</v>
      </c>
    </row>
    <row r="5" spans="1:7" x14ac:dyDescent="0.25">
      <c r="A5" s="34" t="s">
        <v>103</v>
      </c>
      <c r="B5" s="34" t="s">
        <v>109</v>
      </c>
      <c r="C5" s="35">
        <v>1.44</v>
      </c>
      <c r="D5" s="34" t="s">
        <v>105</v>
      </c>
      <c r="E5" s="34" t="s">
        <v>106</v>
      </c>
      <c r="F5" s="36" t="s">
        <v>107</v>
      </c>
      <c r="G5" s="34" t="s">
        <v>108</v>
      </c>
    </row>
    <row r="6" spans="1:7" x14ac:dyDescent="0.25">
      <c r="A6" s="31" t="s">
        <v>103</v>
      </c>
      <c r="B6" s="31" t="s">
        <v>20</v>
      </c>
      <c r="C6" s="32">
        <v>1.27</v>
      </c>
      <c r="D6" s="31" t="s">
        <v>105</v>
      </c>
      <c r="E6" s="31" t="s">
        <v>106</v>
      </c>
      <c r="F6" s="33" t="s">
        <v>107</v>
      </c>
      <c r="G6" s="31" t="s">
        <v>108</v>
      </c>
    </row>
    <row r="7" spans="1:7" x14ac:dyDescent="0.25">
      <c r="A7" s="34" t="s">
        <v>103</v>
      </c>
      <c r="B7" s="34" t="s">
        <v>110</v>
      </c>
      <c r="C7" s="35">
        <v>0.58</v>
      </c>
      <c r="D7" s="34" t="s">
        <v>105</v>
      </c>
      <c r="E7" s="34" t="s">
        <v>106</v>
      </c>
      <c r="F7" s="36" t="s">
        <v>107</v>
      </c>
      <c r="G7" s="34" t="s">
        <v>108</v>
      </c>
    </row>
    <row r="8" spans="1:7" x14ac:dyDescent="0.25">
      <c r="A8" s="31" t="s">
        <v>103</v>
      </c>
      <c r="B8" s="31" t="s">
        <v>111</v>
      </c>
      <c r="C8" s="32">
        <v>1.16</v>
      </c>
      <c r="D8" s="31" t="s">
        <v>105</v>
      </c>
      <c r="E8" s="31" t="s">
        <v>106</v>
      </c>
      <c r="F8" s="33" t="s">
        <v>107</v>
      </c>
      <c r="G8" s="31" t="s">
        <v>108</v>
      </c>
    </row>
    <row r="9" spans="1:7" x14ac:dyDescent="0.25">
      <c r="A9" s="34" t="s">
        <v>103</v>
      </c>
      <c r="B9" s="34" t="s">
        <v>112</v>
      </c>
      <c r="C9" s="35">
        <v>1.45</v>
      </c>
      <c r="D9" s="34" t="s">
        <v>105</v>
      </c>
      <c r="E9" s="34" t="s">
        <v>106</v>
      </c>
      <c r="F9" s="36" t="s">
        <v>107</v>
      </c>
      <c r="G9" s="34" t="s">
        <v>108</v>
      </c>
    </row>
    <row r="10" spans="1:7" x14ac:dyDescent="0.25">
      <c r="A10" s="31" t="s">
        <v>103</v>
      </c>
      <c r="B10" s="31" t="s">
        <v>113</v>
      </c>
      <c r="C10" s="32">
        <v>0.46</v>
      </c>
      <c r="D10" s="31" t="s">
        <v>105</v>
      </c>
      <c r="E10" s="31" t="s">
        <v>106</v>
      </c>
      <c r="F10" s="33" t="s">
        <v>107</v>
      </c>
      <c r="G10" s="31" t="s">
        <v>108</v>
      </c>
    </row>
    <row r="11" spans="1:7" x14ac:dyDescent="0.25">
      <c r="A11" s="34" t="s">
        <v>114</v>
      </c>
      <c r="B11" s="34" t="s">
        <v>115</v>
      </c>
      <c r="C11" s="35">
        <v>41122.74</v>
      </c>
      <c r="D11" s="34" t="s">
        <v>116</v>
      </c>
      <c r="E11" s="34" t="s">
        <v>117</v>
      </c>
      <c r="F11" s="36" t="s">
        <v>118</v>
      </c>
      <c r="G11" s="34" t="s">
        <v>108</v>
      </c>
    </row>
    <row r="12" spans="1:7" x14ac:dyDescent="0.25">
      <c r="A12" s="31" t="s">
        <v>119</v>
      </c>
      <c r="B12" s="31" t="s">
        <v>120</v>
      </c>
      <c r="C12" s="32">
        <v>72151</v>
      </c>
      <c r="D12" s="31" t="s">
        <v>116</v>
      </c>
      <c r="E12" s="31" t="s">
        <v>106</v>
      </c>
      <c r="F12" s="33" t="s">
        <v>121</v>
      </c>
      <c r="G12" s="31" t="s">
        <v>108</v>
      </c>
    </row>
    <row r="13" spans="1:7" x14ac:dyDescent="0.25">
      <c r="A13" s="34" t="s">
        <v>122</v>
      </c>
      <c r="B13" s="34" t="s">
        <v>123</v>
      </c>
      <c r="C13" s="35">
        <v>90</v>
      </c>
      <c r="D13" s="34" t="s">
        <v>124</v>
      </c>
      <c r="E13" s="34" t="s">
        <v>125</v>
      </c>
      <c r="F13" s="36" t="s">
        <v>126</v>
      </c>
      <c r="G13" s="34" t="s">
        <v>108</v>
      </c>
    </row>
    <row r="14" spans="1:7" x14ac:dyDescent="0.25">
      <c r="A14" s="31" t="s">
        <v>127</v>
      </c>
      <c r="B14" s="31" t="s">
        <v>123</v>
      </c>
      <c r="C14" s="32">
        <v>135.2</v>
      </c>
      <c r="D14" s="31" t="s">
        <v>124</v>
      </c>
      <c r="E14" s="31" t="s">
        <v>125</v>
      </c>
      <c r="F14" s="33" t="s">
        <v>126</v>
      </c>
      <c r="G14" s="31" t="s">
        <v>108</v>
      </c>
    </row>
    <row r="15" spans="1:7" x14ac:dyDescent="0.25">
      <c r="A15" s="34" t="s">
        <v>128</v>
      </c>
      <c r="B15" s="34" t="s">
        <v>123</v>
      </c>
      <c r="C15" s="35">
        <v>10</v>
      </c>
      <c r="D15" s="34" t="s">
        <v>105</v>
      </c>
      <c r="E15" s="34" t="s">
        <v>129</v>
      </c>
      <c r="F15" s="36" t="s">
        <v>130</v>
      </c>
      <c r="G15" s="34" t="s">
        <v>108</v>
      </c>
    </row>
    <row r="16" spans="1:7" x14ac:dyDescent="0.25">
      <c r="A16" s="31" t="s">
        <v>31</v>
      </c>
      <c r="B16" s="31" t="s">
        <v>123</v>
      </c>
      <c r="C16" s="32">
        <v>7</v>
      </c>
      <c r="D16" s="31" t="s">
        <v>105</v>
      </c>
      <c r="E16" s="31" t="s">
        <v>129</v>
      </c>
      <c r="F16" s="33" t="s">
        <v>131</v>
      </c>
      <c r="G16" s="31" t="s">
        <v>108</v>
      </c>
    </row>
    <row r="17" spans="1:7" x14ac:dyDescent="0.25">
      <c r="A17" s="34" t="s">
        <v>132</v>
      </c>
      <c r="B17" s="34" t="s">
        <v>123</v>
      </c>
      <c r="C17" s="35">
        <v>0.6</v>
      </c>
      <c r="D17" s="34" t="s">
        <v>105</v>
      </c>
      <c r="E17" s="34" t="s">
        <v>129</v>
      </c>
      <c r="F17" s="36" t="s">
        <v>133</v>
      </c>
      <c r="G17" s="34" t="s">
        <v>108</v>
      </c>
    </row>
    <row r="18" spans="1:7" x14ac:dyDescent="0.25">
      <c r="A18" s="37" t="s">
        <v>134</v>
      </c>
      <c r="B18" s="38"/>
      <c r="C18" s="38"/>
      <c r="D18" s="38" t="s">
        <v>135</v>
      </c>
      <c r="E18" s="38" t="s">
        <v>129</v>
      </c>
      <c r="F18" s="39" t="s">
        <v>136</v>
      </c>
      <c r="G18" s="38" t="s">
        <v>108</v>
      </c>
    </row>
    <row r="19" spans="2:5" x14ac:dyDescent="0.25">
      <c r="B19" s="40" t="s">
        <v>137</v>
      </c>
      <c r="C19" s="40" t="s">
        <v>138</v>
      </c>
      <c r="D19" s="40" t="s">
        <v>139</v>
      </c>
      <c r="E19" s="40" t="s">
        <v>140</v>
      </c>
    </row>
    <row r="20" spans="2:5" x14ac:dyDescent="0.25">
      <c r="B20" s="41">
        <v>0</v>
      </c>
      <c r="C20" s="42">
        <v>13.5</v>
      </c>
      <c r="D20" s="43">
        <v>0</v>
      </c>
      <c r="E20" s="41">
        <v>0</v>
      </c>
    </row>
    <row r="21" spans="2:5" x14ac:dyDescent="0.25">
      <c r="B21" s="41">
        <v>13.5</v>
      </c>
      <c r="C21" s="42">
        <v>30</v>
      </c>
      <c r="D21" s="43">
        <v>4</v>
      </c>
      <c r="E21" s="41">
        <v>0</v>
      </c>
    </row>
    <row r="22" spans="2:5" x14ac:dyDescent="0.25">
      <c r="B22" s="41">
        <v>30</v>
      </c>
      <c r="C22" s="42">
        <v>50</v>
      </c>
      <c r="D22" s="43">
        <v>8</v>
      </c>
      <c r="E22" s="41">
        <v>0.66</v>
      </c>
    </row>
    <row r="23" spans="2:5" x14ac:dyDescent="0.25">
      <c r="B23" s="41">
        <v>50</v>
      </c>
      <c r="C23" s="42">
        <v>70</v>
      </c>
      <c r="D23" s="43">
        <v>13.5</v>
      </c>
      <c r="E23" s="41">
        <v>2.26</v>
      </c>
    </row>
    <row r="24" spans="2:5" x14ac:dyDescent="0.25">
      <c r="B24" s="41">
        <v>70</v>
      </c>
      <c r="C24" s="42">
        <v>90</v>
      </c>
      <c r="D24" s="43">
        <v>23</v>
      </c>
      <c r="E24" s="41">
        <v>4.96</v>
      </c>
    </row>
    <row r="25" spans="2:5" x14ac:dyDescent="0.25">
      <c r="B25" s="41">
        <v>90</v>
      </c>
      <c r="C25" s="42">
        <v>120</v>
      </c>
      <c r="D25" s="43">
        <v>30.4</v>
      </c>
      <c r="E25" s="41">
        <v>9.56</v>
      </c>
    </row>
    <row r="26" spans="2:5" x14ac:dyDescent="0.25">
      <c r="B26" s="41">
        <v>120</v>
      </c>
      <c r="C26" s="42">
        <v>310</v>
      </c>
      <c r="D26" s="43">
        <v>35</v>
      </c>
      <c r="E26" s="41">
        <v>18.68</v>
      </c>
    </row>
    <row r="27" spans="2:5" x14ac:dyDescent="0.25">
      <c r="B27" s="41">
        <v>310</v>
      </c>
      <c r="C27" s="42">
        <v>1000000000000000</v>
      </c>
      <c r="D27" s="43">
        <v>40</v>
      </c>
      <c r="E27" s="41">
        <v>85.18</v>
      </c>
    </row>
    <row r="29" spans="1:7" x14ac:dyDescent="0.25">
      <c r="A29" s="31" t="s">
        <v>141</v>
      </c>
      <c r="B29" s="31" t="s">
        <v>123</v>
      </c>
      <c r="C29" s="44">
        <v>553553</v>
      </c>
      <c r="D29" s="31" t="s">
        <v>116</v>
      </c>
      <c r="E29" s="31" t="s">
        <v>142</v>
      </c>
      <c r="F29" s="33" t="s">
        <v>143</v>
      </c>
      <c r="G29" s="31" t="s">
        <v>108</v>
      </c>
    </row>
    <row r="30" spans="1:7" x14ac:dyDescent="0.25">
      <c r="A30" s="34" t="s">
        <v>144</v>
      </c>
      <c r="B30" s="34" t="s">
        <v>123</v>
      </c>
      <c r="C30" s="35">
        <v>25</v>
      </c>
      <c r="D30" s="34" t="s">
        <v>105</v>
      </c>
      <c r="E30" s="34" t="s">
        <v>129</v>
      </c>
      <c r="F30" s="36" t="s">
        <v>145</v>
      </c>
      <c r="G30" s="34" t="s">
        <v>108</v>
      </c>
    </row>
    <row r="31" spans="1:7" x14ac:dyDescent="0.25">
      <c r="A31" s="31" t="s">
        <v>146</v>
      </c>
      <c r="B31" s="31" t="s">
        <v>123</v>
      </c>
      <c r="C31" s="32">
        <v>4.75</v>
      </c>
      <c r="D31" s="31" t="s">
        <v>147</v>
      </c>
      <c r="E31" s="31" t="s">
        <v>129</v>
      </c>
      <c r="F31" s="33" t="s">
        <v>145</v>
      </c>
      <c r="G31" s="31" t="s">
        <v>108</v>
      </c>
    </row>
    <row r="32" spans="1:7" x14ac:dyDescent="0.25">
      <c r="A32" s="34" t="s">
        <v>148</v>
      </c>
      <c r="B32" s="34" t="s">
        <v>123</v>
      </c>
      <c r="C32" s="35">
        <v>90</v>
      </c>
      <c r="D32" s="34" t="s">
        <v>124</v>
      </c>
      <c r="E32" s="34" t="s">
        <v>129</v>
      </c>
      <c r="F32" s="36" t="s">
        <v>145</v>
      </c>
      <c r="G32" s="34" t="s">
        <v>108</v>
      </c>
    </row>
    <row r="33" spans="1:7" x14ac:dyDescent="0.25">
      <c r="A33" s="31" t="s">
        <v>149</v>
      </c>
      <c r="B33" s="31" t="s">
        <v>123</v>
      </c>
      <c r="C33" s="32">
        <v>30</v>
      </c>
      <c r="D33" s="31" t="s">
        <v>150</v>
      </c>
      <c r="E33" s="31" t="s">
        <v>129</v>
      </c>
      <c r="F33" s="33" t="s">
        <v>145</v>
      </c>
      <c r="G33" s="31" t="s">
        <v>108</v>
      </c>
    </row>
    <row r="34" spans="1:7" x14ac:dyDescent="0.25">
      <c r="A34" s="34" t="s">
        <v>151</v>
      </c>
      <c r="B34" s="34" t="s">
        <v>123</v>
      </c>
      <c r="C34" s="35">
        <v>330</v>
      </c>
      <c r="D34" s="34" t="s">
        <v>150</v>
      </c>
      <c r="E34" s="34" t="s">
        <v>129</v>
      </c>
      <c r="F34" s="36" t="s">
        <v>145</v>
      </c>
      <c r="G34" s="34" t="s">
        <v>108</v>
      </c>
    </row>
    <row r="35" spans="1:7" x14ac:dyDescent="0.25">
      <c r="A35" s="31" t="s">
        <v>152</v>
      </c>
      <c r="B35" s="31" t="s">
        <v>123</v>
      </c>
      <c r="C35" s="32">
        <v>20</v>
      </c>
      <c r="D35" s="31" t="s">
        <v>150</v>
      </c>
      <c r="E35" s="31" t="s">
        <v>129</v>
      </c>
      <c r="F35" s="33" t="s">
        <v>145</v>
      </c>
      <c r="G35" s="31" t="s">
        <v>108</v>
      </c>
    </row>
    <row r="36" spans="1:7" x14ac:dyDescent="0.25">
      <c r="A36" s="34" t="s">
        <v>153</v>
      </c>
      <c r="B36" s="34" t="s">
        <v>123</v>
      </c>
      <c r="C36" s="35">
        <v>15</v>
      </c>
      <c r="D36" s="34" t="s">
        <v>150</v>
      </c>
      <c r="E36" s="34" t="s">
        <v>129</v>
      </c>
      <c r="F36" s="36" t="s">
        <v>145</v>
      </c>
      <c r="G36" s="34" t="s">
        <v>108</v>
      </c>
    </row>
  </sheetData>
  <mergeCells count="2">
    <mergeCell ref="A1:G1"/>
    <mergeCell ref="A2:G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29" r:id="rId16"/>
    <hyperlink ref="F30" r:id="rId17"/>
    <hyperlink ref="F31" r:id="rId18"/>
    <hyperlink ref="F32" r:id="rId19"/>
    <hyperlink ref="F33" r:id="rId20"/>
    <hyperlink ref="F34" r:id="rId21"/>
    <hyperlink ref="F35" r:id="rId22"/>
    <hyperlink ref="F36" r:id="rId2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Instrucciones</vt:lpstr>
      <vt:lpstr>Sueldo líquido</vt:lpstr>
      <vt:lpstr>Gratificación</vt:lpstr>
      <vt:lpstr>Finiquito</vt:lpstr>
      <vt:lpstr>Tablas oficiales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CalcularYa (calcularya.com)</dc:creator>
  <dc:title>Planilla de sueldo y finiquito Chile 2026</dc:title>
  <dc:subject/>
  <dc:description/>
  <cp:keywords/>
  <cp:category/>
  <cp:lastModifiedBy>Unknown</cp:lastModifiedBy>
  <dcterms:created xsi:type="dcterms:W3CDTF">2026-10-08T12:00:00Z</dcterms:created>
  <dcterms:modified xsi:type="dcterms:W3CDTF">2026-10-08T12:00:00Z</dcterms:modified>
</cp:coreProperties>
</file>