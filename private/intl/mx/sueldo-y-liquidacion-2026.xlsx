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ueldo neto" state="visible" r:id="rId5"/>
    <sheet sheetId="3" name="Aguinaldo" state="visible" r:id="rId6"/>
    <sheet sheetId="4" name="Finiquito y liquidación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<sst xmlns="http://schemas.openxmlformats.org/spreadsheetml/2006/main" count="349" uniqueCount="195">
  <si>
    <t>Planilla de sueldo y finiquito México 2026</t>
  </si>
  <si>
    <t>Las celdas amarillas son para tus datos. Las verdes se calculan solas, con las fórmulas de la ley. A la derecha de cada hoja está el paso a paso de la cuenta.</t>
  </si>
  <si>
    <t>«Sueldo neto»: pones tu sueldo bruto y te dice cuánto ISR y cuánto IMSS te descuentan, y cuánto recibes.</t>
  </si>
  <si>
    <t>«Aguinaldo»: calcula tu aguinaldo completo o proporcional, la parte que no paga ISR y el ISR estimado.</t>
  </si>
  <si>
    <t>«Finiquito y liquidación»: pones tus fechas y tu sueldo, y te dice el finiquito (salarios, aguinaldo, vacaciones y primas) y, si te despidieron sin causa justificada, la liquidación.</t>
  </si>
  <si>
    <t>«Tablas oficiales» tiene cada valor oficial que usan las fórmulas, con el enlace a su fuente y la fecha en que lo verificamos. Los valores son los vigentes al 8/10/2026.</t>
  </si>
  <si>
    <t>Cuando cambia un valor oficial, actualizamos la planilla y el mismo enlace de descarga te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</si>
  <si>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</si>
  <si>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Tu contrato o tu empresa pueden darte más que el mínimo de ley.</t>
  </si>
  <si>
    <t>Las fechas van como dd/mm/aaaa. Si tu Excel está en inglés y las lee al revés, escríbelas como aaaa-mm-dd.</t>
  </si>
  <si>
    <t>Sueldo neto: ISR, subsidio y cuotas del IMSS</t>
  </si>
  <si>
    <t>Paso a paso</t>
  </si>
  <si>
    <t>TUS DATOS</t>
  </si>
  <si>
    <t>Sueldo bruto del periodo</t>
  </si>
  <si>
    <t>Salario diario y salario mínimo</t>
  </si>
  <si>
    <t>Cada cuánto te pagan</t>
  </si>
  <si>
    <t>Quincenal</t>
  </si>
  <si>
    <t>Días del periodo</t>
  </si>
  <si>
    <t>Dónde trabajas</t>
  </si>
  <si>
    <t>Resto del país</t>
  </si>
  <si>
    <t>Divisor del salario diario (LFT art. 89)</t>
  </si>
  <si>
    <t>Años que llevas en la empresa</t>
  </si>
  <si>
    <t>Sirve para estimar tu salario base de cotización del IMSS.</t>
  </si>
  <si>
    <t>Salario diario</t>
  </si>
  <si>
    <t>Salario base de cotización diario (opcional)</t>
  </si>
  <si>
    <t>Viene en tu recibo de nómina como SBC. Si lo dejas vacío, se estima con las prestaciones mínimas de ley.</t>
  </si>
  <si>
    <t>Salario mínimo diario de tu zona</t>
  </si>
  <si>
    <t>¿Ganas el salario mínimo?</t>
  </si>
  <si>
    <t>TU RECIBO</t>
  </si>
  <si>
    <t>ISR</t>
  </si>
  <si>
    <t>Salario base de cotización (IMSS)</t>
  </si>
  <si>
    <t>ISR según la tarifa del periodo</t>
  </si>
  <si>
    <t>ISR según la tarifa</t>
  </si>
  <si>
    <t>Subsidio para el empleo al mes</t>
  </si>
  <si>
    <t>Subsidio para el empleo</t>
  </si>
  <si>
    <t>Subsidio del periodo</t>
  </si>
  <si>
    <t>ISR que te retienen</t>
  </si>
  <si>
    <t>Ingreso mensual</t>
  </si>
  <si>
    <t>Cuotas del IMSS</t>
  </si>
  <si>
    <t>Subsidio que te toca</t>
  </si>
  <si>
    <t>Sueldo neto</t>
  </si>
  <si>
    <t>Si ganas el salario mínimo no te retienen ISR y tu empresa paga tus cuotas del IMSS (LISR art. 96 y LSS art. 36). Si dejas vacío el SBC, se estima con 15 días de aguinaldo y la prima vacacional mínima.</t>
  </si>
  <si>
    <t>Días de vacaciones de tu año</t>
  </si>
  <si>
    <t>Factor de integración</t>
  </si>
  <si>
    <t>SBC antes del tope</t>
  </si>
  <si>
    <t>Salario base de cotización</t>
  </si>
  <si>
    <t>Cuotas sobre el SBC (%)</t>
  </si>
  <si>
    <t>Excedente de 3 UMA</t>
  </si>
  <si>
    <t>IMSS por día</t>
  </si>
  <si>
    <t>IMSS del periodo</t>
  </si>
  <si>
    <t>Aguinaldo: monto, parte exenta e ISR</t>
  </si>
  <si>
    <t>Tu sueldo bruto</t>
  </si>
  <si>
    <t>Aguinaldo</t>
  </si>
  <si>
    <t>Ese sueldo es</t>
  </si>
  <si>
    <t>Al mes</t>
  </si>
  <si>
    <t>Días que trabajaste este año</t>
  </si>
  <si>
    <t>Si entraste a mitad de año, cuenta desde tu primer día.</t>
  </si>
  <si>
    <t>Días de aguinaldo</t>
  </si>
  <si>
    <t>Días de aguinaldo que da tu empresa (opcional)</t>
  </si>
  <si>
    <t>Déjalo vacío si no lo sabes: se usa el mínimo de ley.</t>
  </si>
  <si>
    <t>Aguinaldo bruto</t>
  </si>
  <si>
    <t>TU AGUINALDO</t>
  </si>
  <si>
    <t>Tope exento (30 UMA)</t>
  </si>
  <si>
    <t>Parte exenta</t>
  </si>
  <si>
    <t>Parte gravada</t>
  </si>
  <si>
    <t>Días de aguinaldo por año completo</t>
  </si>
  <si>
    <t>ISR del aguinaldo (artículo 96 de la LISR)</t>
  </si>
  <si>
    <t>Parte que no paga ISR</t>
  </si>
  <si>
    <t>Sueldo mensual (diario por 30.4)</t>
  </si>
  <si>
    <t>Parte que paga ISR</t>
  </si>
  <si>
    <t>ISR estimado</t>
  </si>
  <si>
    <t>Sueldo más aguinaldo gravado</t>
  </si>
  <si>
    <t>Aguinaldo que recibes</t>
  </si>
  <si>
    <t>ISR de sueldo más aguinaldo</t>
  </si>
  <si>
    <t>Retención de sueldo más aguinaldo</t>
  </si>
  <si>
    <t>Se paga antes del 20 de diciembre (LFT art. 87). El ISR es una estimación: tu empresa puede usar otro método que permite la ley y el monto cambia un poco.</t>
  </si>
  <si>
    <t>ISR de solo el sueldo</t>
  </si>
  <si>
    <t>Retención de solo el sueldo</t>
  </si>
  <si>
    <t>ISR del aguinaldo</t>
  </si>
  <si>
    <t>Finiquito y liquidación por despido</t>
  </si>
  <si>
    <t>Cómo termina tu trabajo</t>
  </si>
  <si>
    <t>Renuncié</t>
  </si>
  <si>
    <t>Antigüedad</t>
  </si>
  <si>
    <t>Años completos de servicio</t>
  </si>
  <si>
    <t>Días desde el último aniversario</t>
  </si>
  <si>
    <t>Fecha en que entraste a trabajar</t>
  </si>
  <si>
    <t>Días trabajados este año</t>
  </si>
  <si>
    <t>Último día de trabajo</t>
  </si>
  <si>
    <t>Antigüedad en años</t>
  </si>
  <si>
    <t>Días de servicio</t>
  </si>
  <si>
    <t>Días trabajados que todavía no te pagan</t>
  </si>
  <si>
    <t>Días de vacaciones de años anteriores que no tomaste</t>
  </si>
  <si>
    <t>Finiquito</t>
  </si>
  <si>
    <t>Prima vacacional que da tu empresa, en % (opcional)</t>
  </si>
  <si>
    <t>Prima vacacional (%)</t>
  </si>
  <si>
    <t>TU FINIQUITO</t>
  </si>
  <si>
    <t>Días trabajados sin pagar</t>
  </si>
  <si>
    <t>Aguinaldo proporcional</t>
  </si>
  <si>
    <t>En años.</t>
  </si>
  <si>
    <t>Vacaciones del año en curso (días por año)</t>
  </si>
  <si>
    <t>Vacaciones proporcionales (días)</t>
  </si>
  <si>
    <t>Vacaciones</t>
  </si>
  <si>
    <t>Prima vacacional</t>
  </si>
  <si>
    <t>Salario para la prima de antigüedad</t>
  </si>
  <si>
    <t>Prima de antigüedad</t>
  </si>
  <si>
    <t>Al renunciar, solo con 15 años de servicio o más.</t>
  </si>
  <si>
    <t>Prima de antigüedad (12 días por año)</t>
  </si>
  <si>
    <t>Total del finiquito</t>
  </si>
  <si>
    <t>¿Se paga la prima de antigüedad?</t>
  </si>
  <si>
    <t>Prima de antigüedad del finiquito</t>
  </si>
  <si>
    <t>SI TE DESPIDIERON SIN CAUSA JUSTIFICADA</t>
  </si>
  <si>
    <t>Salario diario integrado (opcional)</t>
  </si>
  <si>
    <t>Tu salario diario más la parte de aguinaldo, prima vacacional y otras prestaciones. Si lo dejas vacío, se usa tu salario diario.</t>
  </si>
  <si>
    <t>Liquidación</t>
  </si>
  <si>
    <t>Sumar los 20 días por año del artículo 50</t>
  </si>
  <si>
    <t>No</t>
  </si>
  <si>
    <t>Proceden cuando la empresa se niega a reinstalarte o en los casos del artículo 49 de la ley. Muchas empresas los pagan al negociar.</t>
  </si>
  <si>
    <t>Salario diario para la indemnización</t>
  </si>
  <si>
    <t>Indemnización constitucional (3 meses)</t>
  </si>
  <si>
    <t>Días por año de servicio</t>
  </si>
  <si>
    <t>Indemnización constitucional</t>
  </si>
  <si>
    <t>Pagos por separación</t>
  </si>
  <si>
    <t>Años para la exención (más de 6 meses cuentan como año)</t>
  </si>
  <si>
    <t>Parte exenta de ISR</t>
  </si>
  <si>
    <t>Finiquito (salarios, aguinaldo y vacaciones)</t>
  </si>
  <si>
    <t>Finiquito sin prima de antigüedad</t>
  </si>
  <si>
    <t>Parte de la indemnización que no paga ISR</t>
  </si>
  <si>
    <t>Total de la liquidación</t>
  </si>
  <si>
    <t>Los salarios vencidos (hasta 12 meses si llegas a juicio y lo ganas) no están incluidos. Son montos brutos: la parte de la indemnización que pasa el límite exento paga ISR.</t>
  </si>
  <si>
    <t>Tablas oficiales de México</t>
  </si>
  <si>
    <t>Son los valores que usan las fórmulas de esta planilla, vigentes al 8/10/2026.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</si>
  <si>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</si>
  <si>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</si>
  <si>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</si>
  <si>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</si>
  <si>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</si>
  <si>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</si>
  <si>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</si>
  <si>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Salario mínimo general diario</t>
  </si>
  <si>
    <t>MXN</t>
  </si>
  <si>
    <t>1/1/2026</t>
  </si>
  <si>
    <t>https://dof.gob.mx/nota_detalle.php?codigo=5775534&amp;fecha=09/12/2025</t>
  </si>
  <si>
    <t>7/10/2026</t>
  </si>
  <si>
    <t>Zona Libre de la Frontera Norte</t>
  </si>
  <si>
    <t>Tarifa de retención del ISR para pagos de 7 días</t>
  </si>
  <si>
    <t>https://dof.gob.mx/nota_detalle.php?codigo=5777219&amp;fecha=28/12/2025</t>
  </si>
  <si>
    <t>Desde</t>
  </si>
  <si>
    <t>Hasta</t>
  </si>
  <si>
    <t>Tasa %</t>
  </si>
  <si>
    <t>Cuota fija</t>
  </si>
  <si>
    <t>Tarifa de retención del ISR para pagos de 10 días</t>
  </si>
  <si>
    <t>Tarifa de retención del ISR para pagos de 15 días</t>
  </si>
  <si>
    <t>Tarifa de retención del ISR para pagos mensuales</t>
  </si>
  <si>
    <t>UMA mensual</t>
  </si>
  <si>
    <t/>
  </si>
  <si>
    <t>1/2/2026</t>
  </si>
  <si>
    <t>https://dof.gob.mx/nota_detalle.php?codigo=5778072&amp;fecha=09/01/2026</t>
  </si>
  <si>
    <t>Subsidio para el empleo (porcentaje de la UMA mensual)</t>
  </si>
  <si>
    <t>%</t>
  </si>
  <si>
    <t>https://dof.gob.mx/nota_detalle.php?codigo=5777649&amp;fecha=31/12/2025</t>
  </si>
  <si>
    <t>Ingreso mensual máximo para recibir el subsidio para el empleo</t>
  </si>
  <si>
    <t>Días de vacaciones al cumplir el primer año</t>
  </si>
  <si>
    <t>días</t>
  </si>
  <si>
    <t>1/1/2023</t>
  </si>
  <si>
    <t>https://www.ordenjuridico.gob.mx/Documentos/Federal/html/wo125151.html</t>
  </si>
  <si>
    <t>Días mínimos de aguinaldo</t>
  </si>
  <si>
    <t>1/5/1970</t>
  </si>
  <si>
    <t>Prima vacacional mínima</t>
  </si>
  <si>
    <t>UMA diaria</t>
  </si>
  <si>
    <t>Tope del salario base de cotización del IMSS</t>
  </si>
  <si>
    <t>UMA</t>
  </si>
  <si>
    <t>28/1/2016</t>
  </si>
  <si>
    <t>https://www.imss.gob.mx/sites/all/statics/pdf/leyes/LSS.pdf</t>
  </si>
  <si>
    <t>Cuotas obreras del IMSS sobre el salario base de cotización</t>
  </si>
  <si>
    <t>Enfermedades y maternidad, excedente de 3 UMA</t>
  </si>
  <si>
    <t>1/1/2021</t>
  </si>
  <si>
    <t>Enfermedades y maternidad, prestaciones en dinero</t>
  </si>
  <si>
    <t>Gastos médicos de pensionados</t>
  </si>
  <si>
    <t>Invalidez y vida</t>
  </si>
  <si>
    <t>Cesantía en edad avanzada y vejez</t>
  </si>
  <si>
    <t>Salario a partir del cual se paga la cuota del excedente</t>
  </si>
  <si>
    <t>Aguinaldo exento de ISR</t>
  </si>
  <si>
    <t>https://www.ordenjuridico.gob.mx/Documentos/Federal/html/wo25.html</t>
  </si>
  <si>
    <t>Tope del salario para la prima de antigüedad (veces el salario mínimo)</t>
  </si>
  <si>
    <t>veces</t>
  </si>
  <si>
    <t>22/1/1988</t>
  </si>
  <si>
    <t>Días de salario por año de prima de antigüedad</t>
  </si>
  <si>
    <t>Años de servicio para cobrar la prima de antigüedad al renunciar</t>
  </si>
  <si>
    <t>años</t>
  </si>
  <si>
    <t>Indemnización constitucional por despido injustificado</t>
  </si>
  <si>
    <t>meses</t>
  </si>
  <si>
    <t>1/12/2012</t>
  </si>
  <si>
    <t>Días de salario por año de servicio (artículo 50, fracción II)</t>
  </si>
  <si>
    <t>25/12/2024</t>
  </si>
  <si>
    <t>Indemnización exenta de ISR por año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</si>
</sst>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 &quot;#,##0.00"/>
    <numFmt numFmtId="165" formatCode="#,##0.00##"/>
    <numFmt numFmtId="166" formatCode="#,##0.##"/>
    <numFmt numFmtId="167" formatCode="0.000000"/>
    <numFmt numFmtId="168" formatCode="0.00##&quot; %&quot;"/>
    <numFmt numFmtId="169" formatCode="dd/mm/yyyy"/>
    <numFmt numFmtId="170" formatCode="[&gt;=100000000000000]&quot;en adelante&quot;;&quot;$ &quot;#,##0.00"/>
    <numFmt numFmtId="171" formatCode="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b/>
    </font>
    <font>
      <b/>
      <color rgb="FF1B5E20"/>
      <sz val="10"/>
    </font>
    <font>
      <sz val="10"/>
    </font>
    <font>
      <b/>
      <color rgb="FFB71C1C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0" fillId="4" borderId="1" xfId="0" applyFill="1" applyBorder="1" applyAlignment="1">
      <alignment horizontal="left" vertical="center" wrapText="1" indent="1"/>
    </xf>
    <xf numFmtId="164" fontId="5" fillId="5" borderId="1" xfId="0" applyNumberFormat="1" applyFont="1" applyFill="1" applyBorder="1" applyAlignment="1">
      <alignment horizontal="right"/>
    </xf>
    <xf numFmtId="0" fontId="6" fillId="0" borderId="0" xfId="0" applyFont="1"/>
    <xf numFmtId="0" fontId="5" fillId="5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left" wrapText="1" indent="1"/>
    </xf>
    <xf numFmtId="165" fontId="7" fillId="6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164" fontId="7" fillId="6" borderId="1" xfId="0" applyNumberFormat="1" applyFont="1" applyFill="1" applyBorder="1" applyAlignment="1">
      <alignment horizontal="right"/>
    </xf>
    <xf numFmtId="0" fontId="7" fillId="6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5" fillId="8" borderId="1" xfId="0" applyFont="1" applyFill="1" applyBorder="1" applyAlignment="1">
      <alignment horizontal="left" wrapText="1" indent="1"/>
    </xf>
    <xf numFmtId="164" fontId="5" fillId="8" borderId="1" xfId="0" applyNumberFormat="1" applyFont="1" applyFill="1" applyBorder="1" applyAlignment="1">
      <alignment horizontal="right"/>
    </xf>
    <xf numFmtId="166" fontId="7" fillId="6" borderId="1" xfId="0" applyNumberFormat="1" applyFont="1" applyFill="1" applyBorder="1" applyAlignment="1">
      <alignment horizontal="right"/>
    </xf>
    <xf numFmtId="167" fontId="7" fillId="6" borderId="1" xfId="0" applyNumberFormat="1" applyFont="1" applyFill="1" applyBorder="1" applyAlignment="1">
      <alignment horizontal="right"/>
    </xf>
    <xf numFmtId="168" fontId="7" fillId="6" borderId="1" xfId="0" applyNumberFormat="1" applyFont="1" applyFill="1" applyBorder="1" applyAlignment="1">
      <alignment horizontal="right"/>
    </xf>
    <xf numFmtId="0" fontId="8" fillId="0" borderId="0" xfId="0" applyFont="1" applyAlignment="1">
      <alignment wrapText="1"/>
    </xf>
    <xf numFmtId="166" fontId="0" fillId="7" borderId="1" xfId="0" applyNumberFormat="1" applyFill="1" applyBorder="1" applyAlignment="1">
      <alignment horizontal="right"/>
    </xf>
    <xf numFmtId="169" fontId="5" fillId="5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168" fontId="5" fillId="5" borderId="1" xfId="0" applyNumberFormat="1" applyFont="1" applyFill="1" applyBorder="1" applyAlignment="1">
      <alignment horizontal="right"/>
    </xf>
    <xf numFmtId="2" fontId="0" fillId="7" borderId="1" xfId="0" applyNumberForma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/>
    </xf>
    <xf numFmtId="0" fontId="9" fillId="6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4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165" fontId="0" fillId="4" borderId="1" xfId="0" applyNumberFormat="1" applyFill="1" applyBorder="1" applyAlignment="1">
      <alignment vertical="top"/>
    </xf>
    <xf numFmtId="165" fontId="0" fillId="6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f.gob.mx/nota_detalle.php?codigo=5775534&amp;fecha=09/12/2025" TargetMode="External"/><Relationship Id="rId2" Type="http://schemas.openxmlformats.org/officeDocument/2006/relationships/hyperlink" Target="https://dof.gob.mx/nota_detalle.php?codigo=5775534&amp;fecha=09/12/2025" TargetMode="External"/><Relationship Id="rId3" Type="http://schemas.openxmlformats.org/officeDocument/2006/relationships/hyperlink" Target="https://dof.gob.mx/nota_detalle.php?codigo=5777219&amp;fecha=28/12/2025" TargetMode="External"/><Relationship Id="rId4" Type="http://schemas.openxmlformats.org/officeDocument/2006/relationships/hyperlink" Target="https://dof.gob.mx/nota_detalle.php?codigo=5777219&amp;fecha=28/12/2025" TargetMode="External"/><Relationship Id="rId5" Type="http://schemas.openxmlformats.org/officeDocument/2006/relationships/hyperlink" Target="https://dof.gob.mx/nota_detalle.php?codigo=5777219&amp;fecha=28/12/2025" TargetMode="External"/><Relationship Id="rId6" Type="http://schemas.openxmlformats.org/officeDocument/2006/relationships/hyperlink" Target="https://dof.gob.mx/nota_detalle.php?codigo=5777219&amp;fecha=28/12/2025" TargetMode="External"/><Relationship Id="rId7" Type="http://schemas.openxmlformats.org/officeDocument/2006/relationships/hyperlink" Target="https://dof.gob.mx/nota_detalle.php?codigo=5778072&amp;fecha=09/01/2026" TargetMode="External"/><Relationship Id="rId8" Type="http://schemas.openxmlformats.org/officeDocument/2006/relationships/hyperlink" Target="https://dof.gob.mx/nota_detalle.php?codigo=5777649&amp;fecha=31/12/2025" TargetMode="External"/><Relationship Id="rId9" Type="http://schemas.openxmlformats.org/officeDocument/2006/relationships/hyperlink" Target="https://dof.gob.mx/nota_detalle.php?codigo=5777649&amp;fecha=31/12/2025" TargetMode="External"/><Relationship Id="rId10" Type="http://schemas.openxmlformats.org/officeDocument/2006/relationships/hyperlink" Target="https://www.ordenjuridico.gob.mx/Documentos/Federal/html/wo125151.html" TargetMode="External"/><Relationship Id="rId11" Type="http://schemas.openxmlformats.org/officeDocument/2006/relationships/hyperlink" Target="https://www.ordenjuridico.gob.mx/Documentos/Federal/html/wo125151.html" TargetMode="External"/><Relationship Id="rId12" Type="http://schemas.openxmlformats.org/officeDocument/2006/relationships/hyperlink" Target="https://www.ordenjuridico.gob.mx/Documentos/Federal/html/wo125151.html" TargetMode="External"/><Relationship Id="rId13" Type="http://schemas.openxmlformats.org/officeDocument/2006/relationships/hyperlink" Target="https://dof.gob.mx/nota_detalle.php?codigo=5778072&amp;fecha=09/01/2026" TargetMode="External"/><Relationship Id="rId14" Type="http://schemas.openxmlformats.org/officeDocument/2006/relationships/hyperlink" Target="https://www.imss.gob.mx/sites/all/statics/pdf/leyes/LSS.pdf" TargetMode="External"/><Relationship Id="rId15" Type="http://schemas.openxmlformats.org/officeDocument/2006/relationships/hyperlink" Target="https://www.imss.gob.mx/sites/all/statics/pdf/leyes/LSS.pdf" TargetMode="External"/><Relationship Id="rId16" Type="http://schemas.openxmlformats.org/officeDocument/2006/relationships/hyperlink" Target="https://www.imss.gob.mx/sites/all/statics/pdf/leyes/LSS.pdf" TargetMode="External"/><Relationship Id="rId17" Type="http://schemas.openxmlformats.org/officeDocument/2006/relationships/hyperlink" Target="https://www.imss.gob.mx/sites/all/statics/pdf/leyes/LSS.pdf" TargetMode="External"/><Relationship Id="rId18" Type="http://schemas.openxmlformats.org/officeDocument/2006/relationships/hyperlink" Target="https://www.imss.gob.mx/sites/all/statics/pdf/leyes/LSS.pdf" TargetMode="External"/><Relationship Id="rId19" Type="http://schemas.openxmlformats.org/officeDocument/2006/relationships/hyperlink" Target="https://www.imss.gob.mx/sites/all/statics/pdf/leyes/LSS.pdf" TargetMode="External"/><Relationship Id="rId20" Type="http://schemas.openxmlformats.org/officeDocument/2006/relationships/hyperlink" Target="https://www.imss.gob.mx/sites/all/statics/pdf/leyes/LSS.pdf" TargetMode="External"/><Relationship Id="rId21" Type="http://schemas.openxmlformats.org/officeDocument/2006/relationships/hyperlink" Target="https://www.ordenjuridico.gob.mx/Documentos/Federal/html/wo25.html" TargetMode="External"/><Relationship Id="rId22" Type="http://schemas.openxmlformats.org/officeDocument/2006/relationships/hyperlink" Target="https://www.ordenjuridico.gob.mx/Documentos/Federal/html/wo125151.html" TargetMode="External"/><Relationship Id="rId23" Type="http://schemas.openxmlformats.org/officeDocument/2006/relationships/hyperlink" Target="https://www.ordenjuridico.gob.mx/Documentos/Federal/html/wo125151.html" TargetMode="External"/><Relationship Id="rId24" Type="http://schemas.openxmlformats.org/officeDocument/2006/relationships/hyperlink" Target="https://www.ordenjuridico.gob.mx/Documentos/Federal/html/wo125151.html" TargetMode="External"/><Relationship Id="rId25" Type="http://schemas.openxmlformats.org/officeDocument/2006/relationships/hyperlink" Target="https://www.ordenjuridico.gob.mx/Documentos/Federal/html/wo125151.html" TargetMode="External"/><Relationship Id="rId26" Type="http://schemas.openxmlformats.org/officeDocument/2006/relationships/hyperlink" Target="https://www.ordenjuridico.gob.mx/Documentos/Federal/html/wo125151.html" TargetMode="External"/><Relationship Id="rId27" Type="http://schemas.openxmlformats.org/officeDocument/2006/relationships/hyperlink" Target="https://www.ordenjuridico.gob.mx/Documentos/Federal/html/wo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20" customHeight="1" spans="1:2" x14ac:dyDescent="0.25">
      <c r="A4" s="2">
        <v>2</v>
      </c>
      <c r="B4" s="3" t="s">
        <v>2</v>
      </c>
    </row>
    <row r="5" ht="20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8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spans="1:5" x14ac:dyDescent="0.25">
      <c r="A5" s="7" t="s">
        <v>13</v>
      </c>
      <c r="B5" s="8">
        <v>10000</v>
      </c>
      <c r="E5" s="9" t="s">
        <v>14</v>
      </c>
    </row>
    <row r="6" spans="1:6" x14ac:dyDescent="0.25">
      <c r="A6" s="7" t="s">
        <v>15</v>
      </c>
      <c r="B6" s="10" t="s">
        <v>16</v>
      </c>
      <c r="E6" s="11" t="s">
        <v>17</v>
      </c>
      <c r="F6" s="12">
        <f>IF(B6="Mensual",30.4,IF(B6="Quincenal",15,IF(B6="Semanal",7,10)))</f>
      </c>
    </row>
    <row r="7" spans="1:6" x14ac:dyDescent="0.25">
      <c r="A7" s="7" t="s">
        <v>18</v>
      </c>
      <c r="B7" s="10" t="s">
        <v>19</v>
      </c>
      <c r="E7" s="11" t="s">
        <v>20</v>
      </c>
      <c r="F7" s="12">
        <f>IF(B6="Mensual",30,F6)</f>
      </c>
    </row>
    <row r="8" spans="1:6" x14ac:dyDescent="0.25">
      <c r="A8" s="7" t="s">
        <v>21</v>
      </c>
      <c r="B8" s="13">
        <v>1</v>
      </c>
      <c r="C8" s="14" t="s">
        <v>22</v>
      </c>
      <c r="E8" s="11" t="s">
        <v>23</v>
      </c>
      <c r="F8" s="15">
        <f>ROUND(B5/F7,2)</f>
      </c>
    </row>
    <row r="9" ht="30" customHeight="1" spans="1:6" x14ac:dyDescent="0.25">
      <c r="A9" s="7" t="s">
        <v>24</v>
      </c>
      <c r="B9" s="8"/>
      <c r="C9" s="14" t="s">
        <v>25</v>
      </c>
      <c r="E9" s="11" t="s">
        <v>26</v>
      </c>
      <c r="F9" s="15">
        <f>INDEX('Tablas oficiales'!$C$4:$C$5,MATCH(B7,'Tablas oficiales'!$B$4:$B$5,0))</f>
      </c>
    </row>
    <row r="10" spans="5:6" x14ac:dyDescent="0.25">
      <c r="E10" s="11" t="s">
        <v>27</v>
      </c>
      <c r="F10" s="16">
        <f>IF(F8&lt;=F9,"Sí","No")</f>
      </c>
    </row>
    <row r="11" spans="1:3" x14ac:dyDescent="0.25">
      <c r="A11" s="6" t="s">
        <v>28</v>
      </c>
      <c r="B11" s="6"/>
      <c r="C11" s="6"/>
    </row>
    <row r="12" spans="1:5" x14ac:dyDescent="0.25">
      <c r="A12" s="17" t="s">
        <v>23</v>
      </c>
      <c r="B12" s="18">
        <f>F8</f>
      </c>
      <c r="E12" s="9" t="s">
        <v>29</v>
      </c>
    </row>
    <row r="13" spans="1:6" x14ac:dyDescent="0.25">
      <c r="A13" s="17" t="s">
        <v>30</v>
      </c>
      <c r="B13" s="18">
        <f>ROUND(F24,2)</f>
      </c>
      <c r="E13" s="11" t="s">
        <v>31</v>
      </c>
      <c r="F13" s="15">
        <f>IF(F10="Sí",0,ROUND(IF(B6="Semanal",IF(B5&lt;=0,0,INDEX('Tablas oficiales'!$E$8:$E$18,IFERROR(MATCH(B5,'Tablas oficiales'!$B$8:$B$18,1),1))+(B5-INDEX('Tablas oficiales'!$B$8:$B$18,IFERROR(MATCH(B5,'Tablas oficiales'!$B$8:$B$18,1),1)))*INDEX('Tablas oficiales'!$D$8:$D$18,IFERROR(MATCH(B5,'Tablas oficiales'!$B$8:$B$18,1),1))/100),IF(B6="Decenal",IF(B5&lt;=0,0,INDEX('Tablas oficiales'!$E$22:$E$32,IFERROR(MATCH(B5,'Tablas oficiales'!$B$22:$B$32,1),1))+(B5-INDEX('Tablas oficiales'!$B$22:$B$32,IFERROR(MATCH(B5,'Tablas oficiales'!$B$22:$B$32,1),1)))*INDEX('Tablas oficiales'!$D$22:$D$32,IFERROR(MATCH(B5,'Tablas oficiales'!$B$22:$B$32,1),1))/100),IF(B6="Quincenal",IF(B5&lt;=0,0,INDEX('Tablas oficiales'!$E$36:$E$46,IFERROR(MATCH(B5,'Tablas oficiales'!$B$36:$B$46,1),1))+(B5-INDEX('Tablas oficiales'!$B$36:$B$46,IFERROR(MATCH(B5,'Tablas oficiales'!$B$36:$B$46,1),1)))*INDEX('Tablas oficiales'!$D$36:$D$46,IFERROR(MATCH(B5,'Tablas oficiales'!$B$36:$B$46,1),1))/100),IF(B5&lt;=0,0,INDEX('Tablas oficiales'!$E$50:$E$60,IFERROR(MATCH(B5,'Tablas oficiales'!$B$50:$B$60,1),1))+(B5-INDEX('Tablas oficiales'!$B$50:$B$60,IFERROR(MATCH(B5,'Tablas oficiales'!$B$50:$B$60,1),1)))*INDEX('Tablas oficiales'!$D$50:$D$60,IFERROR(MATCH(B5,'Tablas oficiales'!$B$50:$B$60,1),1))/100)))),2))</f>
      </c>
    </row>
    <row r="14" spans="1:6" x14ac:dyDescent="0.25">
      <c r="A14" s="17" t="s">
        <v>32</v>
      </c>
      <c r="B14" s="18">
        <f>F13</f>
      </c>
      <c r="E14" s="11" t="s">
        <v>33</v>
      </c>
      <c r="F14" s="15">
        <f>'Tablas oficiales'!$C$62*'Tablas oficiales'!$C$63/100</f>
      </c>
    </row>
    <row r="15" spans="1:6" x14ac:dyDescent="0.25">
      <c r="A15" s="17" t="s">
        <v>34</v>
      </c>
      <c r="B15" s="18">
        <f>F17</f>
      </c>
      <c r="E15" s="11" t="s">
        <v>35</v>
      </c>
      <c r="F15" s="15">
        <f>IF(B6="Mensual",F14,F14/30.4*F6)</f>
      </c>
    </row>
    <row r="16" spans="1:6" x14ac:dyDescent="0.25">
      <c r="A16" s="17" t="s">
        <v>36</v>
      </c>
      <c r="B16" s="18">
        <f>F18</f>
      </c>
      <c r="E16" s="11" t="s">
        <v>37</v>
      </c>
      <c r="F16" s="15">
        <f>IF(B6="Mensual",B5,B5/F6*30.4)</f>
      </c>
    </row>
    <row r="17" spans="1:6" x14ac:dyDescent="0.25">
      <c r="A17" s="17" t="s">
        <v>38</v>
      </c>
      <c r="B17" s="18">
        <f>F28</f>
      </c>
      <c r="E17" s="11" t="s">
        <v>39</v>
      </c>
      <c r="F17" s="15">
        <f>IF(F10="Sí",0,IF(F16&lt;='Tablas oficiales'!$C$64,MIN(ROUND(F15,2),F13),0))</f>
      </c>
    </row>
    <row r="18" spans="1:6" x14ac:dyDescent="0.25">
      <c r="A18" s="19" t="s">
        <v>40</v>
      </c>
      <c r="B18" s="20">
        <f>ROUND(B5-F18-F28,2)</f>
      </c>
      <c r="E18" s="11" t="s">
        <v>36</v>
      </c>
      <c r="F18" s="15">
        <f>ROUND(F13-F17,2)</f>
      </c>
    </row>
    <row r="20" ht="36" customHeight="1" spans="1:5" x14ac:dyDescent="0.25">
      <c r="A20" s="4" t="s">
        <v>41</v>
      </c>
      <c r="B20" s="4"/>
      <c r="C20" s="4"/>
      <c r="E20" s="9" t="s">
        <v>38</v>
      </c>
    </row>
    <row r="21" spans="5:6" x14ac:dyDescent="0.25">
      <c r="E21" s="11" t="s">
        <v>42</v>
      </c>
      <c r="F21" s="21">
        <f>IF(MAX(1,B8)&lt;1,0,IF(MAX(1,B8)&lt;=5,'Tablas oficiales'!$C$65+2*(MAX(1,B8)-1),'Tablas oficiales'!$C$65+8+2*ROUNDUP((MAX(1,B8)-5)/5,0)))</f>
      </c>
    </row>
    <row r="22" spans="5:6" x14ac:dyDescent="0.25">
      <c r="E22" s="11" t="s">
        <v>43</v>
      </c>
      <c r="F22" s="22">
        <f>1+('Tablas oficiales'!$C$66+F21*'Tablas oficiales'!$C$67/100)/365</f>
      </c>
    </row>
    <row r="23" spans="5:6" x14ac:dyDescent="0.25">
      <c r="E23" s="11" t="s">
        <v>44</v>
      </c>
      <c r="F23" s="15">
        <f>IF(ISNUMBER(B9),B9,ROUND(F8*F22,2))</f>
      </c>
    </row>
    <row r="24" spans="5:6" x14ac:dyDescent="0.25">
      <c r="E24" s="11" t="s">
        <v>45</v>
      </c>
      <c r="F24" s="15">
        <f>MIN(MAX(F23,F9),'Tablas oficiales'!$C$69*'Tablas oficiales'!$C$68)</f>
      </c>
    </row>
    <row r="25" spans="5:6" x14ac:dyDescent="0.25">
      <c r="E25" s="11" t="s">
        <v>46</v>
      </c>
      <c r="F25" s="23">
        <f>'Tablas oficiales'!$C$71+'Tablas oficiales'!$C$72+'Tablas oficiales'!$C$73+'Tablas oficiales'!$C$74</f>
      </c>
    </row>
    <row r="26" spans="5:6" x14ac:dyDescent="0.25">
      <c r="E26" s="11" t="s">
        <v>47</v>
      </c>
      <c r="F26" s="15">
        <f>MAX(0,F24-'Tablas oficiales'!$C$75*'Tablas oficiales'!$C$68)</f>
      </c>
    </row>
    <row r="27" spans="5:6" x14ac:dyDescent="0.25">
      <c r="E27" s="11" t="s">
        <v>48</v>
      </c>
      <c r="F27" s="12">
        <f>F24*F25/100+F26*'Tablas oficiales'!$C$70/100</f>
      </c>
    </row>
    <row r="28" spans="5:6" x14ac:dyDescent="0.25">
      <c r="E28" s="11" t="s">
        <v>49</v>
      </c>
      <c r="F28" s="15">
        <f>IF(F10="Sí",0,ROUND(F27*F6,2))</f>
      </c>
    </row>
  </sheetData>
  <mergeCells count="5">
    <mergeCell ref="A1:C1"/>
    <mergeCell ref="E3:F3"/>
    <mergeCell ref="A4:C4"/>
    <mergeCell ref="A11:C11"/>
    <mergeCell ref="A20:C20"/>
  </mergeCells>
  <dataValidations count="5">
    <dataValidation type="decimal" allowBlank="1" showErrorMessage="1" error="Escribe un número mayor o igual a 0." sqref="B5">
      <formula1>0</formula1>
      <formula2>1000000000000</formula2>
    </dataValidation>
    <dataValidation type="list" showErrorMessage="1" error="Elige una opción de la lista." sqref="B6">
      <formula1>"Quincenal,Mensual,Semanal,Decenal"</formula1>
    </dataValidation>
    <dataValidation type="list" showErrorMessage="1" error="Elige una opción de la lista." sqref="B7">
      <formula1>'Tablas oficiales'!$B$4:$B$5</formula1>
    </dataValidation>
    <dataValidation type="whole" allowBlank="1" showErrorMessage="1" error="Escribe un número entre 0 y 60." sqref="B8">
      <formula1>0</formula1>
      <formula2>60</formula2>
    </dataValidation>
    <dataValidation type="decimal" allowBlank="1" showErrorMessage="1" error="Escribe un número mayor o igual a 0." sqref="B9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3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50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spans="1:5" x14ac:dyDescent="0.25">
      <c r="A5" s="7" t="s">
        <v>51</v>
      </c>
      <c r="B5" s="8">
        <v>15000</v>
      </c>
      <c r="E5" s="9" t="s">
        <v>52</v>
      </c>
    </row>
    <row r="6" spans="1:6" x14ac:dyDescent="0.25">
      <c r="A6" s="7" t="s">
        <v>53</v>
      </c>
      <c r="B6" s="10" t="s">
        <v>54</v>
      </c>
      <c r="E6" s="11" t="s">
        <v>23</v>
      </c>
      <c r="F6" s="15">
        <f>ROUND(B5/IF(B6="Al mes",30,IF(B6="A la quincena",15,IF(B6="A la semana",7,1))),2)</f>
      </c>
    </row>
    <row r="7" spans="1:6" x14ac:dyDescent="0.25">
      <c r="A7" s="7" t="s">
        <v>55</v>
      </c>
      <c r="B7" s="13">
        <v>365</v>
      </c>
      <c r="C7" s="14" t="s">
        <v>56</v>
      </c>
      <c r="E7" s="11" t="s">
        <v>57</v>
      </c>
      <c r="F7" s="21">
        <f>IF(ISNUMBER(B8),B8,'Tablas oficiales'!$C$66)</f>
      </c>
    </row>
    <row r="8" spans="1:6" x14ac:dyDescent="0.25">
      <c r="A8" s="7" t="s">
        <v>58</v>
      </c>
      <c r="B8" s="13"/>
      <c r="C8" s="14" t="s">
        <v>59</v>
      </c>
      <c r="E8" s="11" t="s">
        <v>60</v>
      </c>
      <c r="F8" s="15">
        <f>ROUND(F6*F7*MIN(B7,365)/365,2)</f>
      </c>
    </row>
    <row r="9" spans="1:6" x14ac:dyDescent="0.25">
      <c r="A9" s="7" t="s">
        <v>18</v>
      </c>
      <c r="B9" s="10" t="s">
        <v>19</v>
      </c>
      <c r="E9" s="11" t="s">
        <v>26</v>
      </c>
      <c r="F9" s="15">
        <f>INDEX('Tablas oficiales'!$C$4:$C$5,MATCH(B9,'Tablas oficiales'!$B$4:$B$5,0))</f>
      </c>
    </row>
    <row r="10" spans="5:6" x14ac:dyDescent="0.25">
      <c r="E10" s="11" t="s">
        <v>27</v>
      </c>
      <c r="F10" s="16">
        <f>IF(F6&lt;=F9,"Sí","No")</f>
      </c>
    </row>
    <row r="11" spans="1:6" x14ac:dyDescent="0.25">
      <c r="A11" s="6" t="s">
        <v>61</v>
      </c>
      <c r="B11" s="6"/>
      <c r="C11" s="6"/>
      <c r="E11" s="11" t="s">
        <v>62</v>
      </c>
      <c r="F11" s="15">
        <f>ROUND('Tablas oficiales'!$C$76*'Tablas oficiales'!$C$68,2)</f>
      </c>
    </row>
    <row r="12" spans="1:6" x14ac:dyDescent="0.25">
      <c r="A12" s="24">
        <f>IF(AND(ISNUMBER(B8),B8&lt;'Tablas oficiales'!$C$66),"La ley pide al menos "&amp;'Tablas oficiales'!$C$66&amp;" días de aguinaldo.","")</f>
      </c>
      <c r="B12" s="24"/>
      <c r="C12" s="24"/>
      <c r="E12" s="11" t="s">
        <v>63</v>
      </c>
      <c r="F12" s="15">
        <f>IF(F10="Sí",F8,MIN(F8,F11))</f>
      </c>
    </row>
    <row r="13" spans="1:6" x14ac:dyDescent="0.25">
      <c r="A13" s="17" t="s">
        <v>23</v>
      </c>
      <c r="B13" s="18">
        <f>F6</f>
      </c>
      <c r="E13" s="11" t="s">
        <v>64</v>
      </c>
      <c r="F13" s="15">
        <f>ROUND(F8-F12,2)</f>
      </c>
    </row>
    <row r="14" spans="1:2" x14ac:dyDescent="0.25">
      <c r="A14" s="17" t="s">
        <v>65</v>
      </c>
      <c r="B14" s="25">
        <f>F7</f>
      </c>
    </row>
    <row r="15" spans="1:5" x14ac:dyDescent="0.25">
      <c r="A15" s="17" t="s">
        <v>60</v>
      </c>
      <c r="B15" s="18">
        <f>F8</f>
      </c>
      <c r="E15" s="9" t="s">
        <v>66</v>
      </c>
    </row>
    <row r="16" spans="1:6" x14ac:dyDescent="0.25">
      <c r="A16" s="17" t="s">
        <v>67</v>
      </c>
      <c r="B16" s="18">
        <f>F12</f>
      </c>
      <c r="E16" s="11" t="s">
        <v>68</v>
      </c>
      <c r="F16" s="15">
        <f>ROUND(F6*30.4,2)</f>
      </c>
    </row>
    <row r="17" spans="1:6" x14ac:dyDescent="0.25">
      <c r="A17" s="17" t="s">
        <v>69</v>
      </c>
      <c r="B17" s="18">
        <f>F13</f>
      </c>
      <c r="E17" s="11" t="s">
        <v>33</v>
      </c>
      <c r="F17" s="15">
        <f>'Tablas oficiales'!$C$62*'Tablas oficiales'!$C$63/100</f>
      </c>
    </row>
    <row r="18" spans="1:6" x14ac:dyDescent="0.25">
      <c r="A18" s="17" t="s">
        <v>70</v>
      </c>
      <c r="B18" s="18">
        <f>F23</f>
      </c>
      <c r="E18" s="11" t="s">
        <v>71</v>
      </c>
      <c r="F18" s="15">
        <f>F16+F13</f>
      </c>
    </row>
    <row r="19" spans="1:6" x14ac:dyDescent="0.25">
      <c r="A19" s="19" t="s">
        <v>72</v>
      </c>
      <c r="B19" s="20">
        <f>ROUND(F8-F23,2)</f>
      </c>
      <c r="E19" s="11" t="s">
        <v>73</v>
      </c>
      <c r="F19" s="15">
        <f>ROUND(IF(F18&lt;=0,0,INDEX('Tablas oficiales'!$E$50:$E$60,IFERROR(MATCH(F18,'Tablas oficiales'!$B$50:$B$60,1),1))+(F18-INDEX('Tablas oficiales'!$B$50:$B$60,IFERROR(MATCH(F18,'Tablas oficiales'!$B$50:$B$60,1),1)))*INDEX('Tablas oficiales'!$D$50:$D$60,IFERROR(MATCH(F18,'Tablas oficiales'!$B$50:$B$60,1),1))/100),2)</f>
      </c>
    </row>
    <row r="20" spans="5:6" x14ac:dyDescent="0.25">
      <c r="E20" s="11" t="s">
        <v>74</v>
      </c>
      <c r="F20" s="15">
        <f>ROUND(F19-IF(F18&lt;='Tablas oficiales'!$C$64,MIN(ROUND(F17,2),F19),0),2)</f>
      </c>
    </row>
    <row r="21" ht="36" customHeight="1" spans="1:6" x14ac:dyDescent="0.25">
      <c r="A21" s="4" t="s">
        <v>75</v>
      </c>
      <c r="B21" s="4"/>
      <c r="C21" s="4"/>
      <c r="E21" s="11" t="s">
        <v>76</v>
      </c>
      <c r="F21" s="15">
        <f>ROUND(IF(F16&lt;=0,0,INDEX('Tablas oficiales'!$E$50:$E$60,IFERROR(MATCH(F16,'Tablas oficiales'!$B$50:$B$60,1),1))+(F16-INDEX('Tablas oficiales'!$B$50:$B$60,IFERROR(MATCH(F16,'Tablas oficiales'!$B$50:$B$60,1),1)))*INDEX('Tablas oficiales'!$D$50:$D$60,IFERROR(MATCH(F16,'Tablas oficiales'!$B$50:$B$60,1),1))/100),2)</f>
      </c>
    </row>
    <row r="22" spans="5:6" x14ac:dyDescent="0.25">
      <c r="E22" s="11" t="s">
        <v>77</v>
      </c>
      <c r="F22" s="15">
        <f>ROUND(F21-IF(F16&lt;='Tablas oficiales'!$C$64,MIN(ROUND(F17,2),F21),0),2)</f>
      </c>
    </row>
    <row r="23" spans="5:6" x14ac:dyDescent="0.25">
      <c r="E23" s="11" t="s">
        <v>78</v>
      </c>
      <c r="F23" s="15">
        <f>IF(F13&gt;0,ROUND(MAX(0,F20-F22),2),0)</f>
      </c>
    </row>
  </sheetData>
  <mergeCells count="6">
    <mergeCell ref="A1:C1"/>
    <mergeCell ref="E3:F3"/>
    <mergeCell ref="A4:C4"/>
    <mergeCell ref="A11:C11"/>
    <mergeCell ref="A12:C12"/>
    <mergeCell ref="A21:C21"/>
  </mergeCells>
  <dataValidations count="5">
    <dataValidation type="decimal" allowBlank="1" showErrorMessage="1" error="Escribe un número mayor o igual a 0." sqref="B5">
      <formula1>0</formula1>
      <formula2>1000000000000</formula2>
    </dataValidation>
    <dataValidation type="list" showErrorMessage="1" error="Elige una opción de la lista." sqref="B6">
      <formula1>"Al mes,A la quincena,A la semana,Al día"</formula1>
    </dataValidation>
    <dataValidation type="whole" allowBlank="1" showErrorMessage="1" error="Escribe un número entre 1 y 366." sqref="B7">
      <formula1>1</formula1>
      <formula2>366</formula2>
    </dataValidation>
    <dataValidation type="whole" allowBlank="1" showErrorMessage="1" error="Escribe un número mayor o igual a 1." sqref="B8">
      <formula1>1</formula1>
      <formula2>1000000000000</formula2>
    </dataValidation>
    <dataValidation type="list" showErrorMessage="1" error="Elige una opción de la lista." sqref="B9">
      <formula1>'Tablas oficiales'!$B$4:$B$5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39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79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spans="1:5" x14ac:dyDescent="0.25">
      <c r="A5" s="7" t="s">
        <v>80</v>
      </c>
      <c r="B5" s="10" t="s">
        <v>81</v>
      </c>
      <c r="E5" s="9" t="s">
        <v>82</v>
      </c>
    </row>
    <row r="6" spans="1:6" x14ac:dyDescent="0.25">
      <c r="A6" s="7" t="s">
        <v>51</v>
      </c>
      <c r="B6" s="8">
        <v>15000</v>
      </c>
      <c r="E6" s="11" t="s">
        <v>83</v>
      </c>
      <c r="F6" s="21">
        <f>IF(AND((YEAR(B9)-YEAR(B8))&gt;0,DATE(YEAR(B8)+(YEAR(B9)-YEAR(B8)),MONTH(B8),MIN(DAY(B8),DAY(EOMONTH(DATE(YEAR(B8)+(YEAR(B9)-YEAR(B8)),MONTH(B8),1),0))))&gt;B9+1),(YEAR(B9)-YEAR(B8))-1,(YEAR(B9)-YEAR(B8)))</f>
      </c>
    </row>
    <row r="7" spans="1:6" x14ac:dyDescent="0.25">
      <c r="A7" s="7" t="s">
        <v>53</v>
      </c>
      <c r="B7" s="10" t="s">
        <v>54</v>
      </c>
      <c r="E7" s="11" t="s">
        <v>84</v>
      </c>
      <c r="F7" s="21">
        <f>B9+1-DATE(YEAR(B8)+F6,MONTH(B8),MIN(DAY(B8),DAY(EOMONTH(DATE(YEAR(B8)+F6,MONTH(B8),1),0))))</f>
      </c>
    </row>
    <row r="8" spans="1:6" x14ac:dyDescent="0.25">
      <c r="A8" s="7" t="s">
        <v>85</v>
      </c>
      <c r="B8" s="26">
        <v>44986</v>
      </c>
      <c r="E8" s="11" t="s">
        <v>86</v>
      </c>
      <c r="F8" s="21">
        <f>B9-MAX(B8,DATE(YEAR(B9),1,1))+1</f>
      </c>
    </row>
    <row r="9" spans="1:6" x14ac:dyDescent="0.25">
      <c r="A9" s="7" t="s">
        <v>87</v>
      </c>
      <c r="B9" s="26">
        <v>46303</v>
      </c>
      <c r="E9" s="11" t="s">
        <v>88</v>
      </c>
      <c r="F9" s="22">
        <f>F6+F7/365</f>
      </c>
    </row>
    <row r="10" spans="1:6" x14ac:dyDescent="0.25">
      <c r="A10" s="7" t="s">
        <v>18</v>
      </c>
      <c r="B10" s="10" t="s">
        <v>19</v>
      </c>
      <c r="E10" s="11" t="s">
        <v>89</v>
      </c>
      <c r="F10" s="21">
        <f>B9-B8+1</f>
      </c>
    </row>
    <row r="11" spans="1:2" x14ac:dyDescent="0.25">
      <c r="A11" s="7" t="s">
        <v>90</v>
      </c>
      <c r="B11" s="13">
        <v>0</v>
      </c>
    </row>
    <row r="12" spans="1:5" x14ac:dyDescent="0.25">
      <c r="A12" s="7" t="s">
        <v>91</v>
      </c>
      <c r="B12" s="27">
        <v>0</v>
      </c>
      <c r="E12" s="9" t="s">
        <v>92</v>
      </c>
    </row>
    <row r="13" spans="1:6" x14ac:dyDescent="0.25">
      <c r="A13" s="7" t="s">
        <v>58</v>
      </c>
      <c r="B13" s="13"/>
      <c r="C13" s="14" t="s">
        <v>59</v>
      </c>
      <c r="E13" s="11" t="s">
        <v>23</v>
      </c>
      <c r="F13" s="15">
        <f>ROUND(B6/IF(B7="Al mes",30,IF(B7="A la quincena",15,IF(B7="A la semana",7,1))),2)</f>
      </c>
    </row>
    <row r="14" spans="1:6" x14ac:dyDescent="0.25">
      <c r="A14" s="7" t="s">
        <v>93</v>
      </c>
      <c r="B14" s="28"/>
      <c r="C14" s="14" t="s">
        <v>59</v>
      </c>
      <c r="E14" s="11" t="s">
        <v>57</v>
      </c>
      <c r="F14" s="21">
        <f>IF(ISNUMBER(B13),B13,'Tablas oficiales'!$C$66)</f>
      </c>
    </row>
    <row r="15" spans="5:6" x14ac:dyDescent="0.25">
      <c r="E15" s="11" t="s">
        <v>94</v>
      </c>
      <c r="F15" s="23">
        <f>IF(ISNUMBER(B14),B14,'Tablas oficiales'!$C$67)</f>
      </c>
    </row>
    <row r="16" spans="1:6" x14ac:dyDescent="0.25">
      <c r="A16" s="6" t="s">
        <v>95</v>
      </c>
      <c r="B16" s="6"/>
      <c r="C16" s="6"/>
      <c r="E16" s="11" t="s">
        <v>96</v>
      </c>
      <c r="F16" s="15">
        <f>ROUND(F13*B11,2)</f>
      </c>
    </row>
    <row r="17" spans="1:6" x14ac:dyDescent="0.25">
      <c r="A17" s="24">
        <f>IF(AND(ISNUMBER(B13),B13&lt;'Tablas oficiales'!$C$66),"La ley pide al menos "&amp;'Tablas oficiales'!$C$66&amp;" días de aguinaldo. ","")&amp;IF(AND(ISNUMBER(B14),B14&lt;'Tablas oficiales'!$C$67),"La prima vacacional no puede ser menor al "&amp;'Tablas oficiales'!$C$67&amp;" %.","")</f>
      </c>
      <c r="B17" s="24"/>
      <c r="C17" s="24"/>
      <c r="E17" s="11" t="s">
        <v>97</v>
      </c>
      <c r="F17" s="15">
        <f>ROUND(F13*F14*MIN(F8,365)/365,2)</f>
      </c>
    </row>
    <row r="18" spans="1:6" x14ac:dyDescent="0.25">
      <c r="A18" s="17" t="s">
        <v>82</v>
      </c>
      <c r="B18" s="29">
        <f>ROUND(F9,2)</f>
      </c>
      <c r="C18" s="14" t="s">
        <v>98</v>
      </c>
      <c r="E18" s="11" t="s">
        <v>99</v>
      </c>
      <c r="F18" s="21">
        <f>IF(F6+1&lt;1,0,IF(F6+1&lt;=5,'Tablas oficiales'!$C$65+2*(F6+1-1),'Tablas oficiales'!$C$65+8+2*ROUNDUP((F6+1-5)/5,0)))</f>
      </c>
    </row>
    <row r="19" spans="1:6" x14ac:dyDescent="0.25">
      <c r="A19" s="17" t="s">
        <v>23</v>
      </c>
      <c r="B19" s="18">
        <f>F13</f>
      </c>
      <c r="E19" s="11" t="s">
        <v>100</v>
      </c>
      <c r="F19" s="12">
        <f>F18*F7/365</f>
      </c>
    </row>
    <row r="20" spans="1:6" x14ac:dyDescent="0.25">
      <c r="A20" s="17" t="s">
        <v>96</v>
      </c>
      <c r="B20" s="18">
        <f>F16</f>
      </c>
      <c r="E20" s="11" t="s">
        <v>101</v>
      </c>
      <c r="F20" s="15">
        <f>ROUND(F13*(F19+B12),2)</f>
      </c>
    </row>
    <row r="21" spans="1:6" x14ac:dyDescent="0.25">
      <c r="A21" s="17" t="s">
        <v>97</v>
      </c>
      <c r="B21" s="18">
        <f>F17</f>
      </c>
      <c r="E21" s="11" t="s">
        <v>102</v>
      </c>
      <c r="F21" s="15">
        <f>ROUND(F20*F15/100,2)</f>
      </c>
    </row>
    <row r="22" spans="1:6" x14ac:dyDescent="0.25">
      <c r="A22" s="17" t="s">
        <v>101</v>
      </c>
      <c r="B22" s="18">
        <f>F20</f>
      </c>
      <c r="E22" s="11" t="s">
        <v>26</v>
      </c>
      <c r="F22" s="15">
        <f>INDEX('Tablas oficiales'!$C$4:$C$5,MATCH(B10,'Tablas oficiales'!$B$4:$B$5,0))</f>
      </c>
    </row>
    <row r="23" spans="1:6" x14ac:dyDescent="0.25">
      <c r="A23" s="17" t="s">
        <v>102</v>
      </c>
      <c r="B23" s="18">
        <f>F21</f>
      </c>
      <c r="E23" s="11" t="s">
        <v>103</v>
      </c>
      <c r="F23" s="15">
        <f>MIN(MAX(F13,F22),'Tablas oficiales'!$C$77*F22)</f>
      </c>
    </row>
    <row r="24" spans="1:6" x14ac:dyDescent="0.25">
      <c r="A24" s="17" t="s">
        <v>104</v>
      </c>
      <c r="B24" s="18">
        <f>F26</f>
      </c>
      <c r="C24" s="14" t="s">
        <v>105</v>
      </c>
      <c r="E24" s="11" t="s">
        <v>106</v>
      </c>
      <c r="F24" s="15">
        <f>ROUND(F23*'Tablas oficiales'!$C$78*F9,2)</f>
      </c>
    </row>
    <row r="25" spans="1:6" x14ac:dyDescent="0.25">
      <c r="A25" s="19" t="s">
        <v>107</v>
      </c>
      <c r="B25" s="20">
        <f>ROUND(F16+F17+F20+F21+F26,2)</f>
      </c>
      <c r="E25" s="11" t="s">
        <v>108</v>
      </c>
      <c r="F25" s="16">
        <f>IF(OR(B5="Me despidieron o terminó el contrato",F9&gt;='Tablas oficiales'!$C$79),"Sí","No")</f>
      </c>
    </row>
    <row r="26" spans="5:6" x14ac:dyDescent="0.25">
      <c r="E26" s="11" t="s">
        <v>109</v>
      </c>
      <c r="F26" s="15">
        <f>IF(F25="Sí",F24,0)</f>
      </c>
    </row>
    <row r="27" spans="1:3" x14ac:dyDescent="0.25">
      <c r="A27" s="6" t="s">
        <v>110</v>
      </c>
      <c r="B27" s="6"/>
      <c r="C27" s="6"/>
    </row>
    <row r="28" ht="30" customHeight="1" spans="1:5" x14ac:dyDescent="0.25">
      <c r="A28" s="7" t="s">
        <v>111</v>
      </c>
      <c r="B28" s="8"/>
      <c r="C28" s="14" t="s">
        <v>112</v>
      </c>
      <c r="E28" s="9" t="s">
        <v>113</v>
      </c>
    </row>
    <row r="29" ht="30" customHeight="1" spans="1:6" x14ac:dyDescent="0.25">
      <c r="A29" s="7" t="s">
        <v>114</v>
      </c>
      <c r="B29" s="10" t="s">
        <v>115</v>
      </c>
      <c r="C29" s="14" t="s">
        <v>116</v>
      </c>
      <c r="E29" s="11" t="s">
        <v>117</v>
      </c>
      <c r="F29" s="15">
        <f>MAX(IF(ISNUMBER(B28),B28,F13),F13)</f>
      </c>
    </row>
    <row r="30" spans="1:6" x14ac:dyDescent="0.25">
      <c r="A30" s="17" t="s">
        <v>82</v>
      </c>
      <c r="B30" s="29">
        <f>ROUND(F9,2)</f>
      </c>
      <c r="C30" s="14" t="s">
        <v>98</v>
      </c>
      <c r="E30" s="11" t="s">
        <v>118</v>
      </c>
      <c r="F30" s="15">
        <f>ROUND(F29*'Tablas oficiales'!$C$80*30,2)</f>
      </c>
    </row>
    <row r="31" spans="1:6" x14ac:dyDescent="0.25">
      <c r="A31" s="17" t="s">
        <v>117</v>
      </c>
      <c r="B31" s="18">
        <f>ROUND(F29,2)</f>
      </c>
      <c r="E31" s="11" t="s">
        <v>119</v>
      </c>
      <c r="F31" s="15">
        <f>IF(B29="Sí",ROUND(F29*'Tablas oficiales'!$C$81*F9,2),0)</f>
      </c>
    </row>
    <row r="32" spans="1:6" x14ac:dyDescent="0.25">
      <c r="A32" s="17" t="s">
        <v>120</v>
      </c>
      <c r="B32" s="18">
        <f>F30</f>
      </c>
      <c r="E32" s="11" t="s">
        <v>121</v>
      </c>
      <c r="F32" s="15">
        <f>ROUND(F30+F31+F24,2)</f>
      </c>
    </row>
    <row r="33" spans="1:6" x14ac:dyDescent="0.25">
      <c r="A33" s="17" t="s">
        <v>119</v>
      </c>
      <c r="B33" s="18">
        <f>F31</f>
      </c>
      <c r="E33" s="11" t="s">
        <v>122</v>
      </c>
      <c r="F33" s="21">
        <f>MAX(1,F6+IF(F7&gt;182,1,0))</f>
      </c>
    </row>
    <row r="34" spans="1:6" x14ac:dyDescent="0.25">
      <c r="A34" s="17" t="s">
        <v>104</v>
      </c>
      <c r="B34" s="18">
        <f>F24</f>
      </c>
      <c r="E34" s="11" t="s">
        <v>123</v>
      </c>
      <c r="F34" s="15">
        <f>MIN(F32,ROUND('Tablas oficiales'!$C$82*'Tablas oficiales'!$C$68*F33,2))</f>
      </c>
    </row>
    <row r="35" spans="1:6" x14ac:dyDescent="0.25">
      <c r="A35" s="17" t="s">
        <v>124</v>
      </c>
      <c r="B35" s="18">
        <f>F35</f>
      </c>
      <c r="E35" s="11" t="s">
        <v>125</v>
      </c>
      <c r="F35" s="15">
        <f>ROUND(F16+F17+F20+F21,2)</f>
      </c>
    </row>
    <row r="36" spans="1:2" x14ac:dyDescent="0.25">
      <c r="A36" s="17" t="s">
        <v>126</v>
      </c>
      <c r="B36" s="18">
        <f>F34</f>
      </c>
    </row>
    <row r="37" spans="1:2" x14ac:dyDescent="0.25">
      <c r="A37" s="19" t="s">
        <v>127</v>
      </c>
      <c r="B37" s="20">
        <f>ROUND(F32+F35,2)</f>
      </c>
    </row>
    <row r="39" ht="36" customHeight="1" spans="1:3" x14ac:dyDescent="0.25">
      <c r="A39" s="4" t="s">
        <v>128</v>
      </c>
      <c r="B39" s="4"/>
      <c r="C39" s="4"/>
    </row>
  </sheetData>
  <mergeCells count="7">
    <mergeCell ref="A1:C1"/>
    <mergeCell ref="E3:F3"/>
    <mergeCell ref="A4:C4"/>
    <mergeCell ref="A16:C16"/>
    <mergeCell ref="A17:C17"/>
    <mergeCell ref="A27:C27"/>
    <mergeCell ref="A39:C39"/>
  </mergeCells>
  <dataValidations count="11">
    <dataValidation type="list" showErrorMessage="1" error="Elige una opción de la lista." sqref="B10">
      <formula1>'Tablas oficiales'!$B$4:$B$5</formula1>
    </dataValidation>
    <dataValidation type="whole" allowBlank="1" showErrorMessage="1" error="Escribe un número entre 0 y 31." sqref="B11">
      <formula1>0</formula1>
      <formula2>31</formula2>
    </dataValidation>
    <dataValidation type="decimal" allowBlank="1" showErrorMessage="1" error="Escribe un número entre 0 y 200." sqref="B12">
      <formula1>0</formula1>
      <formula2>200</formula2>
    </dataValidation>
    <dataValidation type="whole" allowBlank="1" showErrorMessage="1" error="Escribe un número mayor o igual a 1." sqref="B13">
      <formula1>1</formula1>
      <formula2>1000000000000</formula2>
    </dataValidation>
    <dataValidation type="decimal" allowBlank="1" showErrorMessage="1" error="Escribe un número entre 0 y 100." sqref="B14">
      <formula1>0</formula1>
      <formula2>100</formula2>
    </dataValidation>
    <dataValidation type="decimal" allowBlank="1" showErrorMessage="1" error="Escribe un número mayor o igual a 0." sqref="B28">
      <formula1>0</formula1>
      <formula2>1000000000000</formula2>
    </dataValidation>
    <dataValidation type="list" showErrorMessage="1" error="Elige una opción de la lista." sqref="B29">
      <formula1>"Sí,No"</formula1>
    </dataValidation>
    <dataValidation type="list" showErrorMessage="1" error="Elige una opción de la lista." sqref="B5">
      <formula1>"Renuncié,Me despidieron o terminó el contrato"</formula1>
    </dataValidation>
    <dataValidation type="decimal" allowBlank="1" showErrorMessage="1" error="Escribe un número mayor o igual a 0." sqref="B6">
      <formula1>0</formula1>
      <formula2>1000000000000</formula2>
    </dataValidation>
    <dataValidation type="list" showErrorMessage="1" error="Elige una opción de la lista." sqref="B7">
      <formula1>"Al mes,A la quincena,A la semana,Al día"</formula1>
    </dataValidation>
    <dataValidation type="date" operator="greaterThan" allowBlank="1" showErrorMessage="1" error="Escribe una fecha como dd/mm/aaaa." sqref="B8:B9">
      <formula1>18264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8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30" t="s">
        <v>129</v>
      </c>
      <c r="B1" s="30"/>
      <c r="C1" s="30"/>
      <c r="D1" s="30"/>
      <c r="E1" s="30"/>
      <c r="F1" s="30"/>
      <c r="G1" s="30"/>
    </row>
    <row r="2" ht="30" customHeight="1" spans="1:7" x14ac:dyDescent="0.25">
      <c r="A2" s="4" t="s">
        <v>130</v>
      </c>
      <c r="B2" s="4"/>
      <c r="C2" s="4"/>
      <c r="D2" s="4"/>
      <c r="E2" s="4"/>
      <c r="F2" s="4"/>
      <c r="G2" s="4"/>
    </row>
    <row r="3" spans="1:7" x14ac:dyDescent="0.25">
      <c r="A3" s="31" t="s">
        <v>131</v>
      </c>
      <c r="B3" s="31" t="s">
        <v>132</v>
      </c>
      <c r="C3" s="31" t="s">
        <v>133</v>
      </c>
      <c r="D3" s="31" t="s">
        <v>134</v>
      </c>
      <c r="E3" s="31" t="s">
        <v>135</v>
      </c>
      <c r="F3" s="31" t="s">
        <v>136</v>
      </c>
      <c r="G3" s="31" t="s">
        <v>137</v>
      </c>
    </row>
    <row r="4" spans="1:7" x14ac:dyDescent="0.25">
      <c r="A4" s="32" t="s">
        <v>138</v>
      </c>
      <c r="B4" s="32" t="s">
        <v>19</v>
      </c>
      <c r="C4" s="33">
        <v>315.04</v>
      </c>
      <c r="D4" s="32" t="s">
        <v>139</v>
      </c>
      <c r="E4" s="32" t="s">
        <v>140</v>
      </c>
      <c r="F4" s="34" t="s">
        <v>141</v>
      </c>
      <c r="G4" s="32" t="s">
        <v>142</v>
      </c>
    </row>
    <row r="5" spans="1:7" x14ac:dyDescent="0.25">
      <c r="A5" s="35" t="s">
        <v>138</v>
      </c>
      <c r="B5" s="35" t="s">
        <v>143</v>
      </c>
      <c r="C5" s="36">
        <v>440.87</v>
      </c>
      <c r="D5" s="35" t="s">
        <v>139</v>
      </c>
      <c r="E5" s="35" t="s">
        <v>140</v>
      </c>
      <c r="F5" s="37" t="s">
        <v>141</v>
      </c>
      <c r="G5" s="35" t="s">
        <v>142</v>
      </c>
    </row>
    <row r="6" spans="1:7" x14ac:dyDescent="0.25">
      <c r="A6" s="38" t="s">
        <v>144</v>
      </c>
      <c r="B6" s="39"/>
      <c r="C6" s="39"/>
      <c r="D6" s="39" t="s">
        <v>139</v>
      </c>
      <c r="E6" s="39" t="s">
        <v>140</v>
      </c>
      <c r="F6" s="40" t="s">
        <v>145</v>
      </c>
      <c r="G6" s="39" t="s">
        <v>142</v>
      </c>
    </row>
    <row r="7" spans="2:5" x14ac:dyDescent="0.25">
      <c r="B7" s="41" t="s">
        <v>146</v>
      </c>
      <c r="C7" s="41" t="s">
        <v>147</v>
      </c>
      <c r="D7" s="41" t="s">
        <v>148</v>
      </c>
      <c r="E7" s="41" t="s">
        <v>149</v>
      </c>
    </row>
    <row r="8" spans="2:5" x14ac:dyDescent="0.25">
      <c r="B8" s="42">
        <v>0.01</v>
      </c>
      <c r="C8" s="43">
        <v>194.46</v>
      </c>
      <c r="D8" s="44">
        <v>1.92</v>
      </c>
      <c r="E8" s="42">
        <v>0</v>
      </c>
    </row>
    <row r="9" spans="2:5" x14ac:dyDescent="0.25">
      <c r="B9" s="42">
        <v>194.47</v>
      </c>
      <c r="C9" s="43">
        <v>1650.67</v>
      </c>
      <c r="D9" s="44">
        <v>6.4</v>
      </c>
      <c r="E9" s="42">
        <v>3.71</v>
      </c>
    </row>
    <row r="10" spans="2:5" x14ac:dyDescent="0.25">
      <c r="B10" s="42">
        <v>1650.68</v>
      </c>
      <c r="C10" s="43">
        <v>2900.87</v>
      </c>
      <c r="D10" s="44">
        <v>10.88</v>
      </c>
      <c r="E10" s="42">
        <v>96.95</v>
      </c>
    </row>
    <row r="11" spans="2:5" x14ac:dyDescent="0.25">
      <c r="B11" s="42">
        <v>2900.88</v>
      </c>
      <c r="C11" s="43">
        <v>3372.11</v>
      </c>
      <c r="D11" s="44">
        <v>16</v>
      </c>
      <c r="E11" s="42">
        <v>232.96</v>
      </c>
    </row>
    <row r="12" spans="2:5" x14ac:dyDescent="0.25">
      <c r="B12" s="42">
        <v>3372.12</v>
      </c>
      <c r="C12" s="43">
        <v>4037.32</v>
      </c>
      <c r="D12" s="44">
        <v>17.92</v>
      </c>
      <c r="E12" s="42">
        <v>308.35</v>
      </c>
    </row>
    <row r="13" spans="2:5" x14ac:dyDescent="0.25">
      <c r="B13" s="42">
        <v>4037.33</v>
      </c>
      <c r="C13" s="43">
        <v>8142.75</v>
      </c>
      <c r="D13" s="44">
        <v>21.36</v>
      </c>
      <c r="E13" s="42">
        <v>427.56</v>
      </c>
    </row>
    <row r="14" spans="2:5" x14ac:dyDescent="0.25">
      <c r="B14" s="42">
        <v>8142.76</v>
      </c>
      <c r="C14" s="43">
        <v>12834.08</v>
      </c>
      <c r="D14" s="44">
        <v>23.52</v>
      </c>
      <c r="E14" s="42">
        <v>1304.45</v>
      </c>
    </row>
    <row r="15" spans="2:5" x14ac:dyDescent="0.25">
      <c r="B15" s="42">
        <v>12834.09</v>
      </c>
      <c r="C15" s="43">
        <v>24502.45</v>
      </c>
      <c r="D15" s="44">
        <v>30</v>
      </c>
      <c r="E15" s="42">
        <v>2407.86</v>
      </c>
    </row>
    <row r="16" spans="2:5" x14ac:dyDescent="0.25">
      <c r="B16" s="42">
        <v>24502.46</v>
      </c>
      <c r="C16" s="43">
        <v>32669.91</v>
      </c>
      <c r="D16" s="44">
        <v>32</v>
      </c>
      <c r="E16" s="42">
        <v>5908.35</v>
      </c>
    </row>
    <row r="17" spans="2:5" x14ac:dyDescent="0.25">
      <c r="B17" s="42">
        <v>32669.92</v>
      </c>
      <c r="C17" s="43">
        <v>98009.66</v>
      </c>
      <c r="D17" s="44">
        <v>34</v>
      </c>
      <c r="E17" s="42">
        <v>8521.94</v>
      </c>
    </row>
    <row r="18" spans="2:5" x14ac:dyDescent="0.25">
      <c r="B18" s="42">
        <v>98009.67</v>
      </c>
      <c r="C18" s="43">
        <v>1000000000000000</v>
      </c>
      <c r="D18" s="44">
        <v>35</v>
      </c>
      <c r="E18" s="42">
        <v>30737.49</v>
      </c>
    </row>
    <row r="20" spans="1:7" x14ac:dyDescent="0.25">
      <c r="A20" s="38" t="s">
        <v>150</v>
      </c>
      <c r="B20" s="39"/>
      <c r="C20" s="39"/>
      <c r="D20" s="39" t="s">
        <v>139</v>
      </c>
      <c r="E20" s="39" t="s">
        <v>140</v>
      </c>
      <c r="F20" s="40" t="s">
        <v>145</v>
      </c>
      <c r="G20" s="39" t="s">
        <v>142</v>
      </c>
    </row>
    <row r="21" spans="2:5" x14ac:dyDescent="0.25">
      <c r="B21" s="41" t="s">
        <v>146</v>
      </c>
      <c r="C21" s="41" t="s">
        <v>147</v>
      </c>
      <c r="D21" s="41" t="s">
        <v>148</v>
      </c>
      <c r="E21" s="41" t="s">
        <v>149</v>
      </c>
    </row>
    <row r="22" spans="2:5" x14ac:dyDescent="0.25">
      <c r="B22" s="42">
        <v>0.01</v>
      </c>
      <c r="C22" s="43">
        <v>277.8</v>
      </c>
      <c r="D22" s="44">
        <v>1.92</v>
      </c>
      <c r="E22" s="42">
        <v>0</v>
      </c>
    </row>
    <row r="23" spans="2:5" x14ac:dyDescent="0.25">
      <c r="B23" s="42">
        <v>277.81</v>
      </c>
      <c r="C23" s="43">
        <v>2358.1</v>
      </c>
      <c r="D23" s="44">
        <v>6.4</v>
      </c>
      <c r="E23" s="42">
        <v>5.3</v>
      </c>
    </row>
    <row r="24" spans="2:5" x14ac:dyDescent="0.25">
      <c r="B24" s="42">
        <v>2358.11</v>
      </c>
      <c r="C24" s="43">
        <v>4144.1</v>
      </c>
      <c r="D24" s="44">
        <v>10.88</v>
      </c>
      <c r="E24" s="42">
        <v>138.5</v>
      </c>
    </row>
    <row r="25" spans="2:5" x14ac:dyDescent="0.25">
      <c r="B25" s="42">
        <v>4144.11</v>
      </c>
      <c r="C25" s="43">
        <v>4817.3</v>
      </c>
      <c r="D25" s="44">
        <v>16</v>
      </c>
      <c r="E25" s="42">
        <v>332.8</v>
      </c>
    </row>
    <row r="26" spans="2:5" x14ac:dyDescent="0.25">
      <c r="B26" s="42">
        <v>4817.31</v>
      </c>
      <c r="C26" s="43">
        <v>5767.6</v>
      </c>
      <c r="D26" s="44">
        <v>17.92</v>
      </c>
      <c r="E26" s="42">
        <v>440.5</v>
      </c>
    </row>
    <row r="27" spans="2:5" x14ac:dyDescent="0.25">
      <c r="B27" s="42">
        <v>5767.61</v>
      </c>
      <c r="C27" s="43">
        <v>11632.5</v>
      </c>
      <c r="D27" s="44">
        <v>21.36</v>
      </c>
      <c r="E27" s="42">
        <v>610.8</v>
      </c>
    </row>
    <row r="28" spans="2:5" x14ac:dyDescent="0.25">
      <c r="B28" s="42">
        <v>11632.51</v>
      </c>
      <c r="C28" s="43">
        <v>18334.4</v>
      </c>
      <c r="D28" s="44">
        <v>23.52</v>
      </c>
      <c r="E28" s="42">
        <v>1863.5</v>
      </c>
    </row>
    <row r="29" spans="2:5" x14ac:dyDescent="0.25">
      <c r="B29" s="42">
        <v>18334.41</v>
      </c>
      <c r="C29" s="43">
        <v>35003.5</v>
      </c>
      <c r="D29" s="44">
        <v>30</v>
      </c>
      <c r="E29" s="42">
        <v>3439.8</v>
      </c>
    </row>
    <row r="30" spans="2:5" x14ac:dyDescent="0.25">
      <c r="B30" s="42">
        <v>35003.51</v>
      </c>
      <c r="C30" s="43">
        <v>46671.3</v>
      </c>
      <c r="D30" s="44">
        <v>32</v>
      </c>
      <c r="E30" s="42">
        <v>8440.5</v>
      </c>
    </row>
    <row r="31" spans="2:5" x14ac:dyDescent="0.25">
      <c r="B31" s="42">
        <v>46671.31</v>
      </c>
      <c r="C31" s="43">
        <v>140013.8</v>
      </c>
      <c r="D31" s="44">
        <v>34</v>
      </c>
      <c r="E31" s="42">
        <v>12174.2</v>
      </c>
    </row>
    <row r="32" spans="2:5" x14ac:dyDescent="0.25">
      <c r="B32" s="42">
        <v>140013.81</v>
      </c>
      <c r="C32" s="43">
        <v>1000000000000000</v>
      </c>
      <c r="D32" s="44">
        <v>35</v>
      </c>
      <c r="E32" s="42">
        <v>43910.7</v>
      </c>
    </row>
    <row r="34" spans="1:7" x14ac:dyDescent="0.25">
      <c r="A34" s="38" t="s">
        <v>151</v>
      </c>
      <c r="B34" s="39"/>
      <c r="C34" s="39"/>
      <c r="D34" s="39" t="s">
        <v>139</v>
      </c>
      <c r="E34" s="39" t="s">
        <v>140</v>
      </c>
      <c r="F34" s="40" t="s">
        <v>145</v>
      </c>
      <c r="G34" s="39" t="s">
        <v>142</v>
      </c>
    </row>
    <row r="35" spans="2:5" x14ac:dyDescent="0.25">
      <c r="B35" s="41" t="s">
        <v>146</v>
      </c>
      <c r="C35" s="41" t="s">
        <v>147</v>
      </c>
      <c r="D35" s="41" t="s">
        <v>148</v>
      </c>
      <c r="E35" s="41" t="s">
        <v>149</v>
      </c>
    </row>
    <row r="36" spans="2:5" x14ac:dyDescent="0.25">
      <c r="B36" s="42">
        <v>0.01</v>
      </c>
      <c r="C36" s="43">
        <v>416.7</v>
      </c>
      <c r="D36" s="44">
        <v>1.92</v>
      </c>
      <c r="E36" s="42">
        <v>0</v>
      </c>
    </row>
    <row r="37" spans="2:5" x14ac:dyDescent="0.25">
      <c r="B37" s="42">
        <v>416.71</v>
      </c>
      <c r="C37" s="43">
        <v>3537.15</v>
      </c>
      <c r="D37" s="44">
        <v>6.4</v>
      </c>
      <c r="E37" s="42">
        <v>7.95</v>
      </c>
    </row>
    <row r="38" spans="2:5" x14ac:dyDescent="0.25">
      <c r="B38" s="42">
        <v>3537.16</v>
      </c>
      <c r="C38" s="43">
        <v>6216.15</v>
      </c>
      <c r="D38" s="44">
        <v>10.88</v>
      </c>
      <c r="E38" s="42">
        <v>207.75</v>
      </c>
    </row>
    <row r="39" spans="2:5" x14ac:dyDescent="0.25">
      <c r="B39" s="42">
        <v>6216.16</v>
      </c>
      <c r="C39" s="43">
        <v>7225.95</v>
      </c>
      <c r="D39" s="44">
        <v>16</v>
      </c>
      <c r="E39" s="42">
        <v>499.2</v>
      </c>
    </row>
    <row r="40" spans="2:5" x14ac:dyDescent="0.25">
      <c r="B40" s="42">
        <v>7225.96</v>
      </c>
      <c r="C40" s="43">
        <v>8651.4</v>
      </c>
      <c r="D40" s="44">
        <v>17.92</v>
      </c>
      <c r="E40" s="42">
        <v>660.75</v>
      </c>
    </row>
    <row r="41" spans="2:5" x14ac:dyDescent="0.25">
      <c r="B41" s="42">
        <v>8651.41</v>
      </c>
      <c r="C41" s="43">
        <v>17448.75</v>
      </c>
      <c r="D41" s="44">
        <v>21.36</v>
      </c>
      <c r="E41" s="42">
        <v>916.2</v>
      </c>
    </row>
    <row r="42" spans="2:5" x14ac:dyDescent="0.25">
      <c r="B42" s="42">
        <v>17448.76</v>
      </c>
      <c r="C42" s="43">
        <v>27501.6</v>
      </c>
      <c r="D42" s="44">
        <v>23.52</v>
      </c>
      <c r="E42" s="42">
        <v>2795.25</v>
      </c>
    </row>
    <row r="43" spans="2:5" x14ac:dyDescent="0.25">
      <c r="B43" s="42">
        <v>27501.61</v>
      </c>
      <c r="C43" s="43">
        <v>52505.25</v>
      </c>
      <c r="D43" s="44">
        <v>30</v>
      </c>
      <c r="E43" s="42">
        <v>5159.7</v>
      </c>
    </row>
    <row r="44" spans="2:5" x14ac:dyDescent="0.25">
      <c r="B44" s="42">
        <v>52505.26</v>
      </c>
      <c r="C44" s="43">
        <v>70006.95</v>
      </c>
      <c r="D44" s="44">
        <v>32</v>
      </c>
      <c r="E44" s="42">
        <v>12660.75</v>
      </c>
    </row>
    <row r="45" spans="2:5" x14ac:dyDescent="0.25">
      <c r="B45" s="42">
        <v>70006.96</v>
      </c>
      <c r="C45" s="43">
        <v>210020.7</v>
      </c>
      <c r="D45" s="44">
        <v>34</v>
      </c>
      <c r="E45" s="42">
        <v>18261.3</v>
      </c>
    </row>
    <row r="46" spans="2:5" x14ac:dyDescent="0.25">
      <c r="B46" s="42">
        <v>210020.71</v>
      </c>
      <c r="C46" s="43">
        <v>1000000000000000</v>
      </c>
      <c r="D46" s="44">
        <v>35</v>
      </c>
      <c r="E46" s="42">
        <v>65866.05</v>
      </c>
    </row>
    <row r="48" spans="1:7" x14ac:dyDescent="0.25">
      <c r="A48" s="38" t="s">
        <v>152</v>
      </c>
      <c r="B48" s="39"/>
      <c r="C48" s="39"/>
      <c r="D48" s="39" t="s">
        <v>139</v>
      </c>
      <c r="E48" s="39" t="s">
        <v>140</v>
      </c>
      <c r="F48" s="40" t="s">
        <v>145</v>
      </c>
      <c r="G48" s="39" t="s">
        <v>142</v>
      </c>
    </row>
    <row r="49" spans="2:5" x14ac:dyDescent="0.25">
      <c r="B49" s="41" t="s">
        <v>146</v>
      </c>
      <c r="C49" s="41" t="s">
        <v>147</v>
      </c>
      <c r="D49" s="41" t="s">
        <v>148</v>
      </c>
      <c r="E49" s="41" t="s">
        <v>149</v>
      </c>
    </row>
    <row r="50" spans="2:5" x14ac:dyDescent="0.25">
      <c r="B50" s="42">
        <v>0.01</v>
      </c>
      <c r="C50" s="43">
        <v>844.59</v>
      </c>
      <c r="D50" s="44">
        <v>1.92</v>
      </c>
      <c r="E50" s="42">
        <v>0</v>
      </c>
    </row>
    <row r="51" spans="2:5" x14ac:dyDescent="0.25">
      <c r="B51" s="42">
        <v>844.6</v>
      </c>
      <c r="C51" s="43">
        <v>7168.51</v>
      </c>
      <c r="D51" s="44">
        <v>6.4</v>
      </c>
      <c r="E51" s="42">
        <v>16.22</v>
      </c>
    </row>
    <row r="52" spans="2:5" x14ac:dyDescent="0.25">
      <c r="B52" s="42">
        <v>7168.52</v>
      </c>
      <c r="C52" s="43">
        <v>12598.02</v>
      </c>
      <c r="D52" s="44">
        <v>10.88</v>
      </c>
      <c r="E52" s="42">
        <v>420.95</v>
      </c>
    </row>
    <row r="53" spans="2:5" x14ac:dyDescent="0.25">
      <c r="B53" s="42">
        <v>12598.03</v>
      </c>
      <c r="C53" s="43">
        <v>14644.64</v>
      </c>
      <c r="D53" s="44">
        <v>16</v>
      </c>
      <c r="E53" s="42">
        <v>1011.68</v>
      </c>
    </row>
    <row r="54" spans="2:5" x14ac:dyDescent="0.25">
      <c r="B54" s="42">
        <v>14644.65</v>
      </c>
      <c r="C54" s="43">
        <v>17533.64</v>
      </c>
      <c r="D54" s="44">
        <v>17.92</v>
      </c>
      <c r="E54" s="42">
        <v>1339.14</v>
      </c>
    </row>
    <row r="55" spans="2:5" x14ac:dyDescent="0.25">
      <c r="B55" s="42">
        <v>17533.65</v>
      </c>
      <c r="C55" s="43">
        <v>35362.83</v>
      </c>
      <c r="D55" s="44">
        <v>21.36</v>
      </c>
      <c r="E55" s="42">
        <v>1856.84</v>
      </c>
    </row>
    <row r="56" spans="2:5" x14ac:dyDescent="0.25">
      <c r="B56" s="42">
        <v>35362.84</v>
      </c>
      <c r="C56" s="43">
        <v>55736.68</v>
      </c>
      <c r="D56" s="44">
        <v>23.52</v>
      </c>
      <c r="E56" s="42">
        <v>5665.16</v>
      </c>
    </row>
    <row r="57" spans="2:5" x14ac:dyDescent="0.25">
      <c r="B57" s="42">
        <v>55736.69</v>
      </c>
      <c r="C57" s="43">
        <v>106410.5</v>
      </c>
      <c r="D57" s="44">
        <v>30</v>
      </c>
      <c r="E57" s="42">
        <v>10457.09</v>
      </c>
    </row>
    <row r="58" spans="2:5" x14ac:dyDescent="0.25">
      <c r="B58" s="42">
        <v>106410.51</v>
      </c>
      <c r="C58" s="43">
        <v>141880.66</v>
      </c>
      <c r="D58" s="44">
        <v>32</v>
      </c>
      <c r="E58" s="42">
        <v>25659.23</v>
      </c>
    </row>
    <row r="59" spans="2:5" x14ac:dyDescent="0.25">
      <c r="B59" s="42">
        <v>141880.67</v>
      </c>
      <c r="C59" s="43">
        <v>425641.99</v>
      </c>
      <c r="D59" s="44">
        <v>34</v>
      </c>
      <c r="E59" s="42">
        <v>37009.69</v>
      </c>
    </row>
    <row r="60" spans="2:5" x14ac:dyDescent="0.25">
      <c r="B60" s="42">
        <v>425642</v>
      </c>
      <c r="C60" s="43">
        <v>1000000000000000</v>
      </c>
      <c r="D60" s="44">
        <v>35</v>
      </c>
      <c r="E60" s="42">
        <v>133488.54</v>
      </c>
    </row>
    <row r="62" spans="1:7" x14ac:dyDescent="0.25">
      <c r="A62" s="32" t="s">
        <v>153</v>
      </c>
      <c r="B62" s="32" t="s">
        <v>154</v>
      </c>
      <c r="C62" s="33">
        <v>3566.22</v>
      </c>
      <c r="D62" s="32" t="s">
        <v>139</v>
      </c>
      <c r="E62" s="32" t="s">
        <v>155</v>
      </c>
      <c r="F62" s="34" t="s">
        <v>156</v>
      </c>
      <c r="G62" s="32" t="s">
        <v>142</v>
      </c>
    </row>
    <row r="63" spans="1:7" x14ac:dyDescent="0.25">
      <c r="A63" s="35" t="s">
        <v>157</v>
      </c>
      <c r="B63" s="35" t="s">
        <v>154</v>
      </c>
      <c r="C63" s="45">
        <v>15.02</v>
      </c>
      <c r="D63" s="35" t="s">
        <v>158</v>
      </c>
      <c r="E63" s="35" t="s">
        <v>155</v>
      </c>
      <c r="F63" s="37" t="s">
        <v>159</v>
      </c>
      <c r="G63" s="35" t="s">
        <v>142</v>
      </c>
    </row>
    <row r="64" spans="1:7" x14ac:dyDescent="0.25">
      <c r="A64" s="32" t="s">
        <v>160</v>
      </c>
      <c r="B64" s="32" t="s">
        <v>154</v>
      </c>
      <c r="C64" s="33">
        <v>11492.66</v>
      </c>
      <c r="D64" s="32" t="s">
        <v>139</v>
      </c>
      <c r="E64" s="32" t="s">
        <v>140</v>
      </c>
      <c r="F64" s="34" t="s">
        <v>159</v>
      </c>
      <c r="G64" s="32" t="s">
        <v>142</v>
      </c>
    </row>
    <row r="65" spans="1:7" x14ac:dyDescent="0.25">
      <c r="A65" s="35" t="s">
        <v>161</v>
      </c>
      <c r="B65" s="35" t="s">
        <v>154</v>
      </c>
      <c r="C65" s="45">
        <v>12</v>
      </c>
      <c r="D65" s="35" t="s">
        <v>162</v>
      </c>
      <c r="E65" s="35" t="s">
        <v>163</v>
      </c>
      <c r="F65" s="37" t="s">
        <v>164</v>
      </c>
      <c r="G65" s="35" t="s">
        <v>142</v>
      </c>
    </row>
    <row r="66" spans="1:7" x14ac:dyDescent="0.25">
      <c r="A66" s="32" t="s">
        <v>165</v>
      </c>
      <c r="B66" s="32" t="s">
        <v>154</v>
      </c>
      <c r="C66" s="46">
        <v>15</v>
      </c>
      <c r="D66" s="32" t="s">
        <v>162</v>
      </c>
      <c r="E66" s="32" t="s">
        <v>166</v>
      </c>
      <c r="F66" s="34" t="s">
        <v>164</v>
      </c>
      <c r="G66" s="32" t="s">
        <v>142</v>
      </c>
    </row>
    <row r="67" spans="1:7" x14ac:dyDescent="0.25">
      <c r="A67" s="35" t="s">
        <v>167</v>
      </c>
      <c r="B67" s="35" t="s">
        <v>154</v>
      </c>
      <c r="C67" s="45">
        <v>25</v>
      </c>
      <c r="D67" s="35" t="s">
        <v>158</v>
      </c>
      <c r="E67" s="35" t="s">
        <v>166</v>
      </c>
      <c r="F67" s="37" t="s">
        <v>164</v>
      </c>
      <c r="G67" s="35" t="s">
        <v>142</v>
      </c>
    </row>
    <row r="68" spans="1:7" x14ac:dyDescent="0.25">
      <c r="A68" s="32" t="s">
        <v>168</v>
      </c>
      <c r="B68" s="32" t="s">
        <v>154</v>
      </c>
      <c r="C68" s="33">
        <v>117.31</v>
      </c>
      <c r="D68" s="32" t="s">
        <v>139</v>
      </c>
      <c r="E68" s="32" t="s">
        <v>155</v>
      </c>
      <c r="F68" s="34" t="s">
        <v>156</v>
      </c>
      <c r="G68" s="32" t="s">
        <v>142</v>
      </c>
    </row>
    <row r="69" spans="1:7" x14ac:dyDescent="0.25">
      <c r="A69" s="35" t="s">
        <v>169</v>
      </c>
      <c r="B69" s="35" t="s">
        <v>154</v>
      </c>
      <c r="C69" s="45">
        <v>25</v>
      </c>
      <c r="D69" s="35" t="s">
        <v>170</v>
      </c>
      <c r="E69" s="35" t="s">
        <v>171</v>
      </c>
      <c r="F69" s="37" t="s">
        <v>172</v>
      </c>
      <c r="G69" s="35" t="s">
        <v>142</v>
      </c>
    </row>
    <row r="70" spans="1:7" x14ac:dyDescent="0.25">
      <c r="A70" s="32" t="s">
        <v>173</v>
      </c>
      <c r="B70" s="32" t="s">
        <v>174</v>
      </c>
      <c r="C70" s="46">
        <v>0.4</v>
      </c>
      <c r="D70" s="32" t="s">
        <v>158</v>
      </c>
      <c r="E70" s="32" t="s">
        <v>175</v>
      </c>
      <c r="F70" s="34" t="s">
        <v>172</v>
      </c>
      <c r="G70" s="32" t="s">
        <v>142</v>
      </c>
    </row>
    <row r="71" spans="1:7" x14ac:dyDescent="0.25">
      <c r="A71" s="35" t="s">
        <v>173</v>
      </c>
      <c r="B71" s="35" t="s">
        <v>176</v>
      </c>
      <c r="C71" s="45">
        <v>0.25</v>
      </c>
      <c r="D71" s="35" t="s">
        <v>158</v>
      </c>
      <c r="E71" s="35" t="s">
        <v>175</v>
      </c>
      <c r="F71" s="37" t="s">
        <v>172</v>
      </c>
      <c r="G71" s="35" t="s">
        <v>142</v>
      </c>
    </row>
    <row r="72" spans="1:7" x14ac:dyDescent="0.25">
      <c r="A72" s="32" t="s">
        <v>173</v>
      </c>
      <c r="B72" s="32" t="s">
        <v>177</v>
      </c>
      <c r="C72" s="46">
        <v>0.375</v>
      </c>
      <c r="D72" s="32" t="s">
        <v>158</v>
      </c>
      <c r="E72" s="32" t="s">
        <v>175</v>
      </c>
      <c r="F72" s="34" t="s">
        <v>172</v>
      </c>
      <c r="G72" s="32" t="s">
        <v>142</v>
      </c>
    </row>
    <row r="73" spans="1:7" x14ac:dyDescent="0.25">
      <c r="A73" s="35" t="s">
        <v>173</v>
      </c>
      <c r="B73" s="35" t="s">
        <v>178</v>
      </c>
      <c r="C73" s="45">
        <v>0.625</v>
      </c>
      <c r="D73" s="35" t="s">
        <v>158</v>
      </c>
      <c r="E73" s="35" t="s">
        <v>175</v>
      </c>
      <c r="F73" s="37" t="s">
        <v>172</v>
      </c>
      <c r="G73" s="35" t="s">
        <v>142</v>
      </c>
    </row>
    <row r="74" spans="1:7" x14ac:dyDescent="0.25">
      <c r="A74" s="32" t="s">
        <v>173</v>
      </c>
      <c r="B74" s="32" t="s">
        <v>179</v>
      </c>
      <c r="C74" s="46">
        <v>1.125</v>
      </c>
      <c r="D74" s="32" t="s">
        <v>158</v>
      </c>
      <c r="E74" s="32" t="s">
        <v>175</v>
      </c>
      <c r="F74" s="34" t="s">
        <v>172</v>
      </c>
      <c r="G74" s="32" t="s">
        <v>142</v>
      </c>
    </row>
    <row r="75" spans="1:7" x14ac:dyDescent="0.25">
      <c r="A75" s="35" t="s">
        <v>180</v>
      </c>
      <c r="B75" s="35" t="s">
        <v>154</v>
      </c>
      <c r="C75" s="45">
        <v>3</v>
      </c>
      <c r="D75" s="35" t="s">
        <v>170</v>
      </c>
      <c r="E75" s="35" t="s">
        <v>171</v>
      </c>
      <c r="F75" s="37" t="s">
        <v>172</v>
      </c>
      <c r="G75" s="35" t="s">
        <v>142</v>
      </c>
    </row>
    <row r="76" spans="1:7" x14ac:dyDescent="0.25">
      <c r="A76" s="32" t="s">
        <v>181</v>
      </c>
      <c r="B76" s="32" t="s">
        <v>154</v>
      </c>
      <c r="C76" s="46">
        <v>30</v>
      </c>
      <c r="D76" s="32" t="s">
        <v>170</v>
      </c>
      <c r="E76" s="32" t="s">
        <v>171</v>
      </c>
      <c r="F76" s="34" t="s">
        <v>182</v>
      </c>
      <c r="G76" s="32" t="s">
        <v>142</v>
      </c>
    </row>
    <row r="77" spans="1:7" x14ac:dyDescent="0.25">
      <c r="A77" s="35" t="s">
        <v>183</v>
      </c>
      <c r="B77" s="35" t="s">
        <v>154</v>
      </c>
      <c r="C77" s="45">
        <v>2</v>
      </c>
      <c r="D77" s="35" t="s">
        <v>184</v>
      </c>
      <c r="E77" s="35" t="s">
        <v>185</v>
      </c>
      <c r="F77" s="37" t="s">
        <v>164</v>
      </c>
      <c r="G77" s="35" t="s">
        <v>142</v>
      </c>
    </row>
    <row r="78" spans="1:7" x14ac:dyDescent="0.25">
      <c r="A78" s="32" t="s">
        <v>186</v>
      </c>
      <c r="B78" s="32" t="s">
        <v>154</v>
      </c>
      <c r="C78" s="46">
        <v>12</v>
      </c>
      <c r="D78" s="32" t="s">
        <v>162</v>
      </c>
      <c r="E78" s="32" t="s">
        <v>166</v>
      </c>
      <c r="F78" s="34" t="s">
        <v>164</v>
      </c>
      <c r="G78" s="32" t="s">
        <v>142</v>
      </c>
    </row>
    <row r="79" spans="1:7" x14ac:dyDescent="0.25">
      <c r="A79" s="35" t="s">
        <v>187</v>
      </c>
      <c r="B79" s="35" t="s">
        <v>154</v>
      </c>
      <c r="C79" s="45">
        <v>15</v>
      </c>
      <c r="D79" s="35" t="s">
        <v>188</v>
      </c>
      <c r="E79" s="35" t="s">
        <v>166</v>
      </c>
      <c r="F79" s="37" t="s">
        <v>164</v>
      </c>
      <c r="G79" s="35" t="s">
        <v>142</v>
      </c>
    </row>
    <row r="80" spans="1:7" x14ac:dyDescent="0.25">
      <c r="A80" s="32" t="s">
        <v>189</v>
      </c>
      <c r="B80" s="32" t="s">
        <v>154</v>
      </c>
      <c r="C80" s="46">
        <v>3</v>
      </c>
      <c r="D80" s="32" t="s">
        <v>190</v>
      </c>
      <c r="E80" s="32" t="s">
        <v>191</v>
      </c>
      <c r="F80" s="34" t="s">
        <v>164</v>
      </c>
      <c r="G80" s="32" t="s">
        <v>142</v>
      </c>
    </row>
    <row r="81" spans="1:7" x14ac:dyDescent="0.25">
      <c r="A81" s="35" t="s">
        <v>192</v>
      </c>
      <c r="B81" s="35" t="s">
        <v>154</v>
      </c>
      <c r="C81" s="45">
        <v>20</v>
      </c>
      <c r="D81" s="35" t="s">
        <v>162</v>
      </c>
      <c r="E81" s="35" t="s">
        <v>193</v>
      </c>
      <c r="F81" s="37" t="s">
        <v>164</v>
      </c>
      <c r="G81" s="35" t="s">
        <v>142</v>
      </c>
    </row>
    <row r="82" spans="1:7" x14ac:dyDescent="0.25">
      <c r="A82" s="32" t="s">
        <v>194</v>
      </c>
      <c r="B82" s="32" t="s">
        <v>154</v>
      </c>
      <c r="C82" s="46">
        <v>90</v>
      </c>
      <c r="D82" s="32" t="s">
        <v>170</v>
      </c>
      <c r="E82" s="32" t="s">
        <v>171</v>
      </c>
      <c r="F82" s="34" t="s">
        <v>182</v>
      </c>
      <c r="G82" s="32" t="s">
        <v>142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20" r:id="rId4"/>
    <hyperlink ref="F34" r:id="rId5"/>
    <hyperlink ref="F48" r:id="rId6"/>
    <hyperlink ref="F62" r:id="rId7"/>
    <hyperlink ref="F63" r:id="rId8"/>
    <hyperlink ref="F64" r:id="rId9"/>
    <hyperlink ref="F65" r:id="rId10"/>
    <hyperlink ref="F66" r:id="rId11"/>
    <hyperlink ref="F67" r:id="rId12"/>
    <hyperlink ref="F68" r:id="rId13"/>
    <hyperlink ref="F69" r:id="rId14"/>
    <hyperlink ref="F70" r:id="rId15"/>
    <hyperlink ref="F71" r:id="rId16"/>
    <hyperlink ref="F72" r:id="rId17"/>
    <hyperlink ref="F73" r:id="rId18"/>
    <hyperlink ref="F74" r:id="rId19"/>
    <hyperlink ref="F75" r:id="rId20"/>
    <hyperlink ref="F76" r:id="rId21"/>
    <hyperlink ref="F77" r:id="rId22"/>
    <hyperlink ref="F78" r:id="rId23"/>
    <hyperlink ref="F79" r:id="rId24"/>
    <hyperlink ref="F80" r:id="rId25"/>
    <hyperlink ref="F81" r:id="rId26"/>
    <hyperlink ref="F82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Sueldo neto</vt:lpstr>
      <vt:lpstr>Aguinaldo</vt:lpstr>
      <vt:lpstr>Finiquito y liquidación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sueldo y finiquito México 2026</dc:title>
  <dc:subject/>
  <dc:description/>
  <cp:keywords/>
  <cp:category/>
  <cp:lastModifiedBy>Unknown</cp:lastModifiedBy>
  <dcterms:created xsi:type="dcterms:W3CDTF">2026-10-08T12:00:00Z</dcterms:created>
  <dcterms:modified xsi:type="dcterms:W3CDTF">2026-10-08T12:00:00Z</dcterms:modified>
</cp:coreProperties>
</file>