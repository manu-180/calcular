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<sst xmlns="http://schemas.openxmlformats.org/spreadsheetml/2006/main" count="355" uniqueCount="195">
  <si>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</si>
  <si>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</si>
  <si>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</si>
  <si>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</si>
  <si>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</si>
  <si>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</si>
  <si>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</si>
  <si>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</si>
  <si>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</si>
  <si>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</si>
  <si>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</si>
  <si>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Resto del país</t>
  </si>
  <si>
    <t>Zona Libre de la Frontera Norte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</si>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</sst>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15</v>
      </c>
      <c r="B5" s="8">
        <v>10000</v>
      </c>
      <c r="E5" s="9" t="s">
        <v>16</v>
      </c>
    </row>
    <row r="6" spans="1:6" x14ac:dyDescent="0.25">
      <c r="A6" s="7" t="s">
        <v>17</v>
      </c>
      <c r="B6" s="10" t="s">
        <v>18</v>
      </c>
      <c r="E6" s="11" t="s">
        <v>19</v>
      </c>
      <c r="F6" s="12">
        <f>IF(B6="Mensual",30.4,IF(B6="Quincenal",15,IF(B6="Semanal",7,10)))</f>
      </c>
    </row>
    <row r="7" spans="1:6" x14ac:dyDescent="0.25">
      <c r="A7" s="7" t="s">
        <v>20</v>
      </c>
      <c r="B7" s="10" t="s">
        <v>11</v>
      </c>
      <c r="E7" s="11" t="s">
        <v>21</v>
      </c>
      <c r="F7" s="12">
        <f>IF(B6="Mensual",30,F6)</f>
      </c>
    </row>
    <row r="8" spans="1:6" x14ac:dyDescent="0.25">
      <c r="A8" s="7" t="s">
        <v>22</v>
      </c>
      <c r="B8" s="13">
        <v>1</v>
      </c>
      <c r="C8" s="14" t="s">
        <v>23</v>
      </c>
      <c r="E8" s="11" t="s">
        <v>24</v>
      </c>
      <c r="F8" s="15">
        <f>ROUND(B5/F7,2)</f>
      </c>
    </row>
    <row r="9" ht="30" customHeight="1" spans="1:6" x14ac:dyDescent="0.25">
      <c r="A9" s="7" t="s">
        <v>25</v>
      </c>
      <c r="B9" s="8"/>
      <c r="C9" s="14" t="s">
        <v>26</v>
      </c>
      <c r="E9" s="11" t="s">
        <v>27</v>
      </c>
      <c r="F9" s="15">
        <f>INDEX('Tablas oficiales'!$C$4:$C$5,MATCH(B7,'Tablas oficiales'!$B$4:$B$5,0))</f>
      </c>
    </row>
    <row r="10" spans="5:6" x14ac:dyDescent="0.25">
      <c r="E10" s="11" t="s">
        <v>28</v>
      </c>
      <c r="F10" s="16">
        <f>IF(F8&lt;=F9,"Sí","No")</f>
      </c>
    </row>
    <row r="11" spans="1:3" x14ac:dyDescent="0.25">
      <c r="A11" s="6" t="s">
        <v>29</v>
      </c>
      <c r="B11" s="6"/>
      <c r="C11" s="6"/>
    </row>
    <row r="12" spans="1:5" x14ac:dyDescent="0.25">
      <c r="A12" s="17" t="s">
        <v>24</v>
      </c>
      <c r="B12" s="18">
        <f>F8</f>
      </c>
      <c r="E12" s="9" t="s">
        <v>30</v>
      </c>
    </row>
    <row r="13" spans="1:6" x14ac:dyDescent="0.25">
      <c r="A13" s="17" t="s">
        <v>31</v>
      </c>
      <c r="B13" s="18">
        <f>ROUND(F24,2)</f>
      </c>
      <c r="E13" s="11" t="s">
        <v>32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33</v>
      </c>
      <c r="B14" s="18">
        <f>F13</f>
      </c>
      <c r="E14" s="11" t="s">
        <v>34</v>
      </c>
      <c r="F14" s="15">
        <f>'Tablas oficiales'!$C$62*'Tablas oficiales'!$C$63/100</f>
      </c>
    </row>
    <row r="15" spans="1:6" x14ac:dyDescent="0.25">
      <c r="A15" s="17" t="s">
        <v>35</v>
      </c>
      <c r="B15" s="18">
        <f>F17</f>
      </c>
      <c r="E15" s="11" t="s">
        <v>36</v>
      </c>
      <c r="F15" s="15">
        <f>IF(B6="Mensual",F14,F14/30.4*F6)</f>
      </c>
    </row>
    <row r="16" spans="1:6" x14ac:dyDescent="0.25">
      <c r="A16" s="17" t="s">
        <v>37</v>
      </c>
      <c r="B16" s="18">
        <f>F18</f>
      </c>
      <c r="E16" s="11" t="s">
        <v>38</v>
      </c>
      <c r="F16" s="15">
        <f>IF(B6="Mensual",B5,B5/F6*30.4)</f>
      </c>
    </row>
    <row r="17" spans="1:6" x14ac:dyDescent="0.25">
      <c r="A17" s="17" t="s">
        <v>39</v>
      </c>
      <c r="B17" s="18">
        <f>F28</f>
      </c>
      <c r="E17" s="11" t="s">
        <v>40</v>
      </c>
      <c r="F17" s="15">
        <f>IF(F10="Sí",0,IF(F16&lt;='Tablas oficiales'!$C$64,MIN(ROUND(F15,2),F13),0))</f>
      </c>
    </row>
    <row r="18" spans="1:6" x14ac:dyDescent="0.25">
      <c r="A18" s="19" t="s">
        <v>41</v>
      </c>
      <c r="B18" s="20">
        <f>ROUND(B5-F18-F28,2)</f>
      </c>
      <c r="E18" s="11" t="s">
        <v>37</v>
      </c>
      <c r="F18" s="15">
        <f>ROUND(F13-F17,2)</f>
      </c>
    </row>
    <row r="20" ht="36" customHeight="1" spans="1:5" x14ac:dyDescent="0.25">
      <c r="A20" s="4" t="s">
        <v>42</v>
      </c>
      <c r="B20" s="4"/>
      <c r="C20" s="4"/>
      <c r="E20" s="9" t="s">
        <v>39</v>
      </c>
    </row>
    <row r="21" spans="5:6" x14ac:dyDescent="0.25">
      <c r="E21" s="11" t="s">
        <v>43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44</v>
      </c>
      <c r="F22" s="22">
        <f>1+('Tablas oficiales'!$C$66+F21*'Tablas oficiales'!$C$67/100)/365</f>
      </c>
    </row>
    <row r="23" spans="5:6" x14ac:dyDescent="0.25">
      <c r="E23" s="11" t="s">
        <v>45</v>
      </c>
      <c r="F23" s="15">
        <f>IF(ISNUMBER(B9),B9,ROUND(F8*F22,2))</f>
      </c>
    </row>
    <row r="24" spans="5:6" x14ac:dyDescent="0.25">
      <c r="E24" s="11" t="s">
        <v>46</v>
      </c>
      <c r="F24" s="15">
        <f>MIN(MAX(F23,F9),'Tablas oficiales'!$C$69*'Tablas oficiales'!$C$68)</f>
      </c>
    </row>
    <row r="25" spans="5:6" x14ac:dyDescent="0.25">
      <c r="E25" s="11" t="s">
        <v>47</v>
      </c>
      <c r="F25" s="23">
        <f>'Tablas oficiales'!$C$71+'Tablas oficiales'!$C$72+'Tablas oficiales'!$C$73+'Tablas oficiales'!$C$74</f>
      </c>
    </row>
    <row r="26" spans="5:6" x14ac:dyDescent="0.25">
      <c r="E26" s="11" t="s">
        <v>48</v>
      </c>
      <c r="F26" s="15">
        <f>MAX(0,F24-'Tablas oficiales'!$C$75*'Tablas oficiales'!$C$68)</f>
      </c>
    </row>
    <row r="27" spans="5:6" x14ac:dyDescent="0.25">
      <c r="E27" s="11" t="s">
        <v>49</v>
      </c>
      <c r="F27" s="12">
        <f>F24*F25/100+F26*'Tablas oficiales'!$C$70/100</f>
      </c>
    </row>
    <row r="28" spans="5:6" x14ac:dyDescent="0.25">
      <c r="E28" s="11" t="s">
        <v>50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 (Dónde trabajas)." sqref="B7">
      <formula1>'Sueldo neto'!$Z$1:$Z$2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51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52</v>
      </c>
      <c r="B5" s="8">
        <v>15000</v>
      </c>
      <c r="E5" s="9" t="s">
        <v>53</v>
      </c>
    </row>
    <row r="6" spans="1:6" x14ac:dyDescent="0.25">
      <c r="A6" s="7" t="s">
        <v>54</v>
      </c>
      <c r="B6" s="10" t="s">
        <v>55</v>
      </c>
      <c r="E6" s="11" t="s">
        <v>24</v>
      </c>
      <c r="F6" s="15">
        <f>ROUND(B5/IF(B6="Al mes",30,IF(B6="A la quincena",15,IF(B6="A la semana",7,1))),2)</f>
      </c>
    </row>
    <row r="7" spans="1:6" x14ac:dyDescent="0.25">
      <c r="A7" s="7" t="s">
        <v>56</v>
      </c>
      <c r="B7" s="13">
        <v>365</v>
      </c>
      <c r="C7" s="14" t="s">
        <v>57</v>
      </c>
      <c r="E7" s="11" t="s">
        <v>58</v>
      </c>
      <c r="F7" s="21">
        <f>IF(ISNUMBER(B8),B8,'Tablas oficiales'!$C$66)</f>
      </c>
    </row>
    <row r="8" spans="1:6" x14ac:dyDescent="0.25">
      <c r="A8" s="7" t="s">
        <v>59</v>
      </c>
      <c r="B8" s="13"/>
      <c r="C8" s="14" t="s">
        <v>60</v>
      </c>
      <c r="E8" s="11" t="s">
        <v>61</v>
      </c>
      <c r="F8" s="15">
        <f>ROUND(F6*F7*MIN(B7,365)/365,2)</f>
      </c>
    </row>
    <row r="9" spans="1:6" x14ac:dyDescent="0.25">
      <c r="A9" s="7" t="s">
        <v>20</v>
      </c>
      <c r="B9" s="10" t="s">
        <v>11</v>
      </c>
      <c r="E9" s="11" t="s">
        <v>27</v>
      </c>
      <c r="F9" s="15">
        <f>INDEX('Tablas oficiales'!$C$4:$C$5,MATCH(B9,'Tablas oficiales'!$B$4:$B$5,0))</f>
      </c>
    </row>
    <row r="10" spans="5:6" x14ac:dyDescent="0.25">
      <c r="E10" s="11" t="s">
        <v>28</v>
      </c>
      <c r="F10" s="16">
        <f>IF(F6&lt;=F9,"Sí","No")</f>
      </c>
    </row>
    <row r="11" spans="1:6" x14ac:dyDescent="0.25">
      <c r="A11" s="6" t="s">
        <v>62</v>
      </c>
      <c r="B11" s="6"/>
      <c r="C11" s="6"/>
      <c r="E11" s="11" t="s">
        <v>63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64</v>
      </c>
      <c r="F12" s="15">
        <f>IF(F10="Sí",F8,MIN(F8,F11))</f>
      </c>
    </row>
    <row r="13" spans="1:6" x14ac:dyDescent="0.25">
      <c r="A13" s="17" t="s">
        <v>24</v>
      </c>
      <c r="B13" s="18">
        <f>F6</f>
      </c>
      <c r="E13" s="11" t="s">
        <v>65</v>
      </c>
      <c r="F13" s="15">
        <f>ROUND(F8-F12,2)</f>
      </c>
    </row>
    <row r="14" spans="1:2" x14ac:dyDescent="0.25">
      <c r="A14" s="17" t="s">
        <v>66</v>
      </c>
      <c r="B14" s="25">
        <f>F7</f>
      </c>
    </row>
    <row r="15" spans="1:5" x14ac:dyDescent="0.25">
      <c r="A15" s="17" t="s">
        <v>61</v>
      </c>
      <c r="B15" s="18">
        <f>F8</f>
      </c>
      <c r="E15" s="9" t="s">
        <v>67</v>
      </c>
    </row>
    <row r="16" spans="1:6" x14ac:dyDescent="0.25">
      <c r="A16" s="17" t="s">
        <v>68</v>
      </c>
      <c r="B16" s="18">
        <f>F12</f>
      </c>
      <c r="E16" s="11" t="s">
        <v>69</v>
      </c>
      <c r="F16" s="15">
        <f>ROUND(F6*30.4,2)</f>
      </c>
    </row>
    <row r="17" spans="1:6" x14ac:dyDescent="0.25">
      <c r="A17" s="17" t="s">
        <v>70</v>
      </c>
      <c r="B17" s="18">
        <f>F13</f>
      </c>
      <c r="E17" s="11" t="s">
        <v>34</v>
      </c>
      <c r="F17" s="15">
        <f>'Tablas oficiales'!$C$62*'Tablas oficiales'!$C$63/100</f>
      </c>
    </row>
    <row r="18" spans="1:6" x14ac:dyDescent="0.25">
      <c r="A18" s="17" t="s">
        <v>71</v>
      </c>
      <c r="B18" s="18">
        <f>F23</f>
      </c>
      <c r="E18" s="11" t="s">
        <v>72</v>
      </c>
      <c r="F18" s="15">
        <f>F16+F13</f>
      </c>
    </row>
    <row r="19" spans="1:6" x14ac:dyDescent="0.25">
      <c r="A19" s="19" t="s">
        <v>73</v>
      </c>
      <c r="B19" s="20">
        <f>ROUND(F8-F23,2)</f>
      </c>
      <c r="E19" s="11" t="s">
        <v>74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75</v>
      </c>
      <c r="F20" s="15">
        <f>ROUND(F19-IF(F18&lt;='Tablas oficiales'!$C$64,MIN(ROUND(F17,2),F19),0),2)</f>
      </c>
    </row>
    <row r="21" ht="36" customHeight="1" spans="1:6" x14ac:dyDescent="0.25">
      <c r="A21" s="4" t="s">
        <v>76</v>
      </c>
      <c r="B21" s="4"/>
      <c r="C21" s="4"/>
      <c r="E21" s="11" t="s">
        <v>77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78</v>
      </c>
      <c r="F22" s="15">
        <f>ROUND(F21-IF(F16&lt;='Tablas oficiales'!$C$64,MIN(ROUND(F17,2),F21),0),2)</f>
      </c>
    </row>
    <row r="23" spans="5:6" x14ac:dyDescent="0.25">
      <c r="E23" s="11" t="s">
        <v>79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 (Dónde trabajas)." sqref="B9">
      <formula1>'Aguinaldo'!$Z$1:$Z$2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80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81</v>
      </c>
      <c r="B5" s="10" t="s">
        <v>82</v>
      </c>
      <c r="E5" s="9" t="s">
        <v>83</v>
      </c>
    </row>
    <row r="6" spans="1:6" x14ac:dyDescent="0.25">
      <c r="A6" s="7" t="s">
        <v>52</v>
      </c>
      <c r="B6" s="8">
        <v>15000</v>
      </c>
      <c r="E6" s="11" t="s">
        <v>84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54</v>
      </c>
      <c r="B7" s="10" t="s">
        <v>55</v>
      </c>
      <c r="E7" s="11" t="s">
        <v>85</v>
      </c>
      <c r="F7" s="21">
        <f>B9+1-DATE(YEAR(B8)+F6,MONTH(B8),MIN(DAY(B8),DAY(EOMONTH(DATE(YEAR(B8)+F6,MONTH(B8),1),0))))</f>
      </c>
    </row>
    <row r="8" spans="1:6" x14ac:dyDescent="0.25">
      <c r="A8" s="7" t="s">
        <v>86</v>
      </c>
      <c r="B8" s="26">
        <v>44986</v>
      </c>
      <c r="E8" s="11" t="s">
        <v>87</v>
      </c>
      <c r="F8" s="21">
        <f>B9-MAX(B8,DATE(YEAR(B9),1,1))+1</f>
      </c>
    </row>
    <row r="9" spans="1:6" x14ac:dyDescent="0.25">
      <c r="A9" s="7" t="s">
        <v>88</v>
      </c>
      <c r="B9" s="26">
        <v>46316</v>
      </c>
      <c r="E9" s="11" t="s">
        <v>89</v>
      </c>
      <c r="F9" s="22">
        <f>F6+F7/365</f>
      </c>
    </row>
    <row r="10" spans="1:6" x14ac:dyDescent="0.25">
      <c r="A10" s="7" t="s">
        <v>20</v>
      </c>
      <c r="B10" s="10" t="s">
        <v>11</v>
      </c>
      <c r="E10" s="11" t="s">
        <v>90</v>
      </c>
      <c r="F10" s="21">
        <f>B9-B8+1</f>
      </c>
    </row>
    <row r="11" spans="1:2" x14ac:dyDescent="0.25">
      <c r="A11" s="7" t="s">
        <v>91</v>
      </c>
      <c r="B11" s="13">
        <v>0</v>
      </c>
    </row>
    <row r="12" spans="1:5" x14ac:dyDescent="0.25">
      <c r="A12" s="7" t="s">
        <v>92</v>
      </c>
      <c r="B12" s="27">
        <v>0</v>
      </c>
      <c r="E12" s="9" t="s">
        <v>93</v>
      </c>
    </row>
    <row r="13" spans="1:6" x14ac:dyDescent="0.25">
      <c r="A13" s="7" t="s">
        <v>59</v>
      </c>
      <c r="B13" s="13"/>
      <c r="C13" s="14" t="s">
        <v>60</v>
      </c>
      <c r="E13" s="11" t="s">
        <v>24</v>
      </c>
      <c r="F13" s="15">
        <f>ROUND(B6/IF(B7="Al mes",30,IF(B7="A la quincena",15,IF(B7="A la semana",7,1))),2)</f>
      </c>
    </row>
    <row r="14" spans="1:6" x14ac:dyDescent="0.25">
      <c r="A14" s="7" t="s">
        <v>94</v>
      </c>
      <c r="B14" s="28"/>
      <c r="C14" s="14" t="s">
        <v>60</v>
      </c>
      <c r="E14" s="11" t="s">
        <v>58</v>
      </c>
      <c r="F14" s="21">
        <f>IF(ISNUMBER(B13),B13,'Tablas oficiales'!$C$66)</f>
      </c>
    </row>
    <row r="15" spans="5:6" x14ac:dyDescent="0.25">
      <c r="E15" s="11" t="s">
        <v>95</v>
      </c>
      <c r="F15" s="23">
        <f>IF(ISNUMBER(B14),B14,'Tablas oficiales'!$C$67)</f>
      </c>
    </row>
    <row r="16" spans="1:6" x14ac:dyDescent="0.25">
      <c r="A16" s="6" t="s">
        <v>96</v>
      </c>
      <c r="B16" s="6"/>
      <c r="C16" s="6"/>
      <c r="E16" s="11" t="s">
        <v>97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98</v>
      </c>
      <c r="F17" s="15">
        <f>ROUND(F13*F14*MIN(F8,365)/365,2)</f>
      </c>
    </row>
    <row r="18" spans="1:6" x14ac:dyDescent="0.25">
      <c r="A18" s="17" t="s">
        <v>83</v>
      </c>
      <c r="B18" s="29">
        <f>ROUND(F9,2)</f>
      </c>
      <c r="C18" s="14" t="s">
        <v>99</v>
      </c>
      <c r="E18" s="11" t="s">
        <v>100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24</v>
      </c>
      <c r="B19" s="18">
        <f>F13</f>
      </c>
      <c r="E19" s="11" t="s">
        <v>101</v>
      </c>
      <c r="F19" s="12">
        <f>F18*F7/365</f>
      </c>
    </row>
    <row r="20" spans="1:6" x14ac:dyDescent="0.25">
      <c r="A20" s="17" t="s">
        <v>97</v>
      </c>
      <c r="B20" s="18">
        <f>F16</f>
      </c>
      <c r="E20" s="11" t="s">
        <v>102</v>
      </c>
      <c r="F20" s="15">
        <f>ROUND(F13*(F19+B12),2)</f>
      </c>
    </row>
    <row r="21" spans="1:6" x14ac:dyDescent="0.25">
      <c r="A21" s="17" t="s">
        <v>98</v>
      </c>
      <c r="B21" s="18">
        <f>F17</f>
      </c>
      <c r="E21" s="11" t="s">
        <v>103</v>
      </c>
      <c r="F21" s="15">
        <f>ROUND(F20*F15/100,2)</f>
      </c>
    </row>
    <row r="22" spans="1:6" x14ac:dyDescent="0.25">
      <c r="A22" s="17" t="s">
        <v>102</v>
      </c>
      <c r="B22" s="18">
        <f>F20</f>
      </c>
      <c r="E22" s="11" t="s">
        <v>27</v>
      </c>
      <c r="F22" s="15">
        <f>INDEX('Tablas oficiales'!$C$4:$C$5,MATCH(B10,'Tablas oficiales'!$B$4:$B$5,0))</f>
      </c>
    </row>
    <row r="23" spans="1:6" x14ac:dyDescent="0.25">
      <c r="A23" s="17" t="s">
        <v>103</v>
      </c>
      <c r="B23" s="18">
        <f>F21</f>
      </c>
      <c r="E23" s="11" t="s">
        <v>104</v>
      </c>
      <c r="F23" s="15">
        <f>MIN(MAX(F13,F22),'Tablas oficiales'!$C$77*F22)</f>
      </c>
    </row>
    <row r="24" spans="1:6" x14ac:dyDescent="0.25">
      <c r="A24" s="17" t="s">
        <v>105</v>
      </c>
      <c r="B24" s="18">
        <f>F26</f>
      </c>
      <c r="C24" s="14" t="s">
        <v>106</v>
      </c>
      <c r="E24" s="11" t="s">
        <v>107</v>
      </c>
      <c r="F24" s="15">
        <f>ROUND(F23*'Tablas oficiales'!$C$78*F9,2)</f>
      </c>
    </row>
    <row r="25" spans="1:6" x14ac:dyDescent="0.25">
      <c r="A25" s="19" t="s">
        <v>108</v>
      </c>
      <c r="B25" s="20">
        <f>ROUND(F16+F17+F20+F21+F26,2)</f>
      </c>
      <c r="E25" s="11" t="s">
        <v>109</v>
      </c>
      <c r="F25" s="16">
        <f>IF(OR(B5="Me despidieron o terminó el contrato",F9&gt;='Tablas oficiales'!$C$79),"Sí","No")</f>
      </c>
    </row>
    <row r="26" spans="5:6" x14ac:dyDescent="0.25">
      <c r="E26" s="11" t="s">
        <v>110</v>
      </c>
      <c r="F26" s="15">
        <f>IF(F25="Sí",F24,0)</f>
      </c>
    </row>
    <row r="27" spans="1:3" x14ac:dyDescent="0.25">
      <c r="A27" s="6" t="s">
        <v>111</v>
      </c>
      <c r="B27" s="6"/>
      <c r="C27" s="6"/>
    </row>
    <row r="28" ht="30" customHeight="1" spans="1:5" x14ac:dyDescent="0.25">
      <c r="A28" s="7" t="s">
        <v>112</v>
      </c>
      <c r="B28" s="8"/>
      <c r="C28" s="14" t="s">
        <v>113</v>
      </c>
      <c r="E28" s="9" t="s">
        <v>114</v>
      </c>
    </row>
    <row r="29" ht="30" customHeight="1" spans="1:6" x14ac:dyDescent="0.25">
      <c r="A29" s="7" t="s">
        <v>115</v>
      </c>
      <c r="B29" s="10" t="s">
        <v>116</v>
      </c>
      <c r="C29" s="14" t="s">
        <v>117</v>
      </c>
      <c r="E29" s="11" t="s">
        <v>118</v>
      </c>
      <c r="F29" s="15">
        <f>MAX(IF(ISNUMBER(B28),B28,F13),F13)</f>
      </c>
    </row>
    <row r="30" spans="1:6" x14ac:dyDescent="0.25">
      <c r="A30" s="17" t="s">
        <v>83</v>
      </c>
      <c r="B30" s="29">
        <f>ROUND(F9,2)</f>
      </c>
      <c r="C30" s="14" t="s">
        <v>99</v>
      </c>
      <c r="E30" s="11" t="s">
        <v>119</v>
      </c>
      <c r="F30" s="15">
        <f>ROUND(F29*'Tablas oficiales'!$C$80*30,2)</f>
      </c>
    </row>
    <row r="31" spans="1:6" x14ac:dyDescent="0.25">
      <c r="A31" s="17" t="s">
        <v>118</v>
      </c>
      <c r="B31" s="18">
        <f>ROUND(F29,2)</f>
      </c>
      <c r="E31" s="11" t="s">
        <v>120</v>
      </c>
      <c r="F31" s="15">
        <f>IF(B29="Sí",ROUND(F29*'Tablas oficiales'!$C$81*F9,2),0)</f>
      </c>
    </row>
    <row r="32" spans="1:6" x14ac:dyDescent="0.25">
      <c r="A32" s="17" t="s">
        <v>121</v>
      </c>
      <c r="B32" s="18">
        <f>F30</f>
      </c>
      <c r="E32" s="11" t="s">
        <v>122</v>
      </c>
      <c r="F32" s="15">
        <f>ROUND(F30+F31+F24,2)</f>
      </c>
    </row>
    <row r="33" spans="1:6" x14ac:dyDescent="0.25">
      <c r="A33" s="17" t="s">
        <v>120</v>
      </c>
      <c r="B33" s="18">
        <f>F31</f>
      </c>
      <c r="E33" s="11" t="s">
        <v>123</v>
      </c>
      <c r="F33" s="21">
        <f>MAX(1,F6+IF(F7&gt;182,1,0))</f>
      </c>
    </row>
    <row r="34" spans="1:6" x14ac:dyDescent="0.25">
      <c r="A34" s="17" t="s">
        <v>105</v>
      </c>
      <c r="B34" s="18">
        <f>F24</f>
      </c>
      <c r="E34" s="11" t="s">
        <v>124</v>
      </c>
      <c r="F34" s="15">
        <f>MIN(F32,ROUND('Tablas oficiales'!$C$82*'Tablas oficiales'!$C$68*F33,2))</f>
      </c>
    </row>
    <row r="35" spans="1:6" x14ac:dyDescent="0.25">
      <c r="A35" s="17" t="s">
        <v>125</v>
      </c>
      <c r="B35" s="18">
        <f>F35</f>
      </c>
      <c r="E35" s="11" t="s">
        <v>126</v>
      </c>
      <c r="F35" s="15">
        <f>ROUND(F16+F17+F20+F21,2)</f>
      </c>
    </row>
    <row r="36" spans="1:2" x14ac:dyDescent="0.25">
      <c r="A36" s="17" t="s">
        <v>127</v>
      </c>
      <c r="B36" s="18">
        <f>F34</f>
      </c>
    </row>
    <row r="37" spans="1:2" x14ac:dyDescent="0.25">
      <c r="A37" s="19" t="s">
        <v>128</v>
      </c>
      <c r="B37" s="20">
        <f>ROUND(F32+F35,2)</f>
      </c>
    </row>
    <row r="39" ht="36" customHeight="1" spans="1:3" x14ac:dyDescent="0.25">
      <c r="A39" s="4" t="s">
        <v>129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 (Dónde trabajas)." sqref="B10">
      <formula1>'Finiquito y liquidación'!$Z$1:$Z$2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11</v>
      </c>
      <c r="C4" s="33">
        <v>315.04</v>
      </c>
      <c r="D4" s="32" t="s">
        <v>140</v>
      </c>
      <c r="E4" s="32" t="s">
        <v>141</v>
      </c>
      <c r="F4" s="34" t="s">
        <v>142</v>
      </c>
      <c r="G4" s="32" t="s">
        <v>143</v>
      </c>
    </row>
    <row r="5" spans="1:7" x14ac:dyDescent="0.25">
      <c r="A5" s="35" t="s">
        <v>139</v>
      </c>
      <c r="B5" s="35" t="s">
        <v>12</v>
      </c>
      <c r="C5" s="36">
        <v>440.87</v>
      </c>
      <c r="D5" s="35" t="s">
        <v>140</v>
      </c>
      <c r="E5" s="35" t="s">
        <v>141</v>
      </c>
      <c r="F5" s="37" t="s">
        <v>142</v>
      </c>
      <c r="G5" s="35" t="s">
        <v>143</v>
      </c>
    </row>
    <row r="6" spans="1:7" x14ac:dyDescent="0.25">
      <c r="A6" s="38" t="s">
        <v>144</v>
      </c>
      <c r="B6" s="39"/>
      <c r="C6" s="39"/>
      <c r="D6" s="39" t="s">
        <v>140</v>
      </c>
      <c r="E6" s="39" t="s">
        <v>141</v>
      </c>
      <c r="F6" s="40" t="s">
        <v>145</v>
      </c>
      <c r="G6" s="39" t="s">
        <v>143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140</v>
      </c>
      <c r="E20" s="39" t="s">
        <v>141</v>
      </c>
      <c r="F20" s="40" t="s">
        <v>145</v>
      </c>
      <c r="G20" s="39" t="s">
        <v>143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140</v>
      </c>
      <c r="E34" s="39" t="s">
        <v>141</v>
      </c>
      <c r="F34" s="40" t="s">
        <v>145</v>
      </c>
      <c r="G34" s="39" t="s">
        <v>143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140</v>
      </c>
      <c r="E48" s="39" t="s">
        <v>141</v>
      </c>
      <c r="F48" s="40" t="s">
        <v>145</v>
      </c>
      <c r="G48" s="39" t="s">
        <v>143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140</v>
      </c>
      <c r="E62" s="32" t="s">
        <v>155</v>
      </c>
      <c r="F62" s="34" t="s">
        <v>156</v>
      </c>
      <c r="G62" s="32" t="s">
        <v>143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143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140</v>
      </c>
      <c r="E64" s="32" t="s">
        <v>141</v>
      </c>
      <c r="F64" s="34" t="s">
        <v>159</v>
      </c>
      <c r="G64" s="32" t="s">
        <v>143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143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143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143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140</v>
      </c>
      <c r="E68" s="32" t="s">
        <v>155</v>
      </c>
      <c r="F68" s="34" t="s">
        <v>156</v>
      </c>
      <c r="G68" s="32" t="s">
        <v>143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143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143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143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143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143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143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143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143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143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143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143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143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143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143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