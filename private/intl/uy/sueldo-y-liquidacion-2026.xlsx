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ueldo líquido" state="visible" r:id="rId5"/>
    <sheet sheetId="3" name="Aguinaldo y vacacional" state="visible" r:id="rId6"/>
    <sheet sheetId="4" name="Liquidación por egreso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<sst xmlns="http://schemas.openxmlformats.org/spreadsheetml/2006/main" count="385" uniqueCount="188">
  <si>
    <t>Planilla de sueldo y liquidación Uruguay 2026</t>
  </si>
  <si>
    <t>Las celdas amarillas son para tus datos. Las verdes se calculan solas, con las fórmulas de la ley. A la derecha de cada hoja está el paso a paso de la cuenta.</t>
  </si>
  <si>
    <t>«Sueldo líquido»: ponés tu nominal y te dice los aportes, el IRPF que te retienen y tu sueldo líquido.</t>
  </si>
  <si>
    <t>«Aguinaldo y vacacional»: calcula la cuota de aguinaldo de junio o diciembre y el salario vacacional de tu licencia.</t>
  </si>
  <si>
    <t>«Liquidación por egreso»: ponés tus fechas y tu sueldo, y te dice el aguinaldo, la licencia, el salario vacacional y, si te despidieron, la indemnización.</t>
  </si>
  <si>
    <t>«Tablas oficiales» tiene cada valor oficial que usan las fórmulas, con el enlace a su fuente y la fecha en que lo verificamos. Los valores son los vigentes al 9/10/2026.</t>
  </si>
  <si>
    <t>Cuando cambia un valor oficial, actualizamos la planilla y el mismo enlace de descarga te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</si>
  <si>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</si>
  <si>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asesoramiento legal. Tu contrato o tu empresa pueden darte más que el mínimo de ley.</t>
  </si>
  <si>
    <t>Las fechas van como dd/mm/aaaa. Si tu Excel está en inglés y las lee al revés, escribilas como aaaa-mm-dd.</t>
  </si>
  <si>
    <t>Sueldo líquido: montepío, Fonasa, FRL e IRPF</t>
  </si>
  <si>
    <t>Paso a paso</t>
  </si>
  <si>
    <t>TUS DATOS</t>
  </si>
  <si>
    <t>Sueldo nominal del mes</t>
  </si>
  <si>
    <t>Todo lo que cobrás antes de descuentos. Sin aguinaldo ni salario vacacional.</t>
  </si>
  <si>
    <t>Aportes</t>
  </si>
  <si>
    <t>Hijos menores de 18 a tu cargo</t>
  </si>
  <si>
    <t>Montepío</t>
  </si>
  <si>
    <t>Hijos con discapacidad a tu cargo</t>
  </si>
  <si>
    <t>De cualquier edad. Para el IRPF se deducen el doble que un hijo menor.</t>
  </si>
  <si>
    <t>Tasa de Fonasa</t>
  </si>
  <si>
    <t>Tenés cónyuge o concubino a cargo en el Fonasa</t>
  </si>
  <si>
    <t>No</t>
  </si>
  <si>
    <t>Marcalo si tu pareja se atiende por tu Fonasa porque no tiene cobertura propia.</t>
  </si>
  <si>
    <t>Fonasa</t>
  </si>
  <si>
    <t>Deducción de los hijos en el IRPF</t>
  </si>
  <si>
    <t>La uso entera</t>
  </si>
  <si>
    <t>Fondo de Reconversión Laboral</t>
  </si>
  <si>
    <t>TU RECIBO</t>
  </si>
  <si>
    <t>IRPF</t>
  </si>
  <si>
    <t>Sueldo nominal</t>
  </si>
  <si>
    <t>Renta computable (con el 6 % si pasa 10 BPC)</t>
  </si>
  <si>
    <t>Aporte jubilatorio (montepío)</t>
  </si>
  <si>
    <t>Impuesto por la escala: tramo 1</t>
  </si>
  <si>
    <t>Impuesto por la escala: tramo 2</t>
  </si>
  <si>
    <t>Tasa de Fonasa que te corresponde</t>
  </si>
  <si>
    <t>Impuesto por la escala: tramo 3</t>
  </si>
  <si>
    <t>Impuesto por la escala: tramo 4</t>
  </si>
  <si>
    <t>Impuesto por la escala: tramo 5</t>
  </si>
  <si>
    <t>Total de descuentos</t>
  </si>
  <si>
    <t>Impuesto por la escala: tramo 6</t>
  </si>
  <si>
    <t>Sueldo líquido</t>
  </si>
  <si>
    <t>Impuesto por la escala: tramo 7</t>
  </si>
  <si>
    <t>Impuesto por la escala: tramo 8</t>
  </si>
  <si>
    <t>Si tu nominal pasa 10 BPC, para el IRPF se le suma un 6 %, como manda el decreto de la retención. El montepío se calcula hasta el tope de aportación.</t>
  </si>
  <si>
    <t>Impuesto por la escala: total</t>
  </si>
  <si>
    <t>Impuesto de la escala</t>
  </si>
  <si>
    <t>Deducción por hijos del mes</t>
  </si>
  <si>
    <t>Deducciones</t>
  </si>
  <si>
    <t>Tasa sobre las deducciones</t>
  </si>
  <si>
    <t>Descuento por deducciones</t>
  </si>
  <si>
    <t>Aguinaldo y salario vacacional</t>
  </si>
  <si>
    <t>AGUINALDO</t>
  </si>
  <si>
    <t>Total cobrado en el período</t>
  </si>
  <si>
    <t>Qué aguinaldo querés calcular</t>
  </si>
  <si>
    <t>Diciembre (de junio a noviembre)</t>
  </si>
  <si>
    <t>Sueldo nominal mensual</t>
  </si>
  <si>
    <t>Si tu sueldo cambió en el período, poné el promedio.</t>
  </si>
  <si>
    <t>Salario vacacional</t>
  </si>
  <si>
    <t>Meses trabajados en el período</t>
  </si>
  <si>
    <t>Hasta 6. Se aceptan fracciones: medio mes es 0,5.</t>
  </si>
  <si>
    <t>Días extra por antigüedad</t>
  </si>
  <si>
    <t>Otros cobros en dinero del período</t>
  </si>
  <si>
    <t>Horas extra, comisiones y primas que cobraste en esos meses. Si no tuviste, dejá 0.</t>
  </si>
  <si>
    <t>Días de licencia por año</t>
  </si>
  <si>
    <t>Días de licencia</t>
  </si>
  <si>
    <t>Aguinaldo nominal</t>
  </si>
  <si>
    <t>El aguinaldo es la doceava parte de lo cobrado en el período. Es nominal: lleva aportes e IRPF.</t>
  </si>
  <si>
    <t>SALARIO VACACIONAL</t>
  </si>
  <si>
    <t>Sueldo nominal mensual para la licencia</t>
  </si>
  <si>
    <t>Si hacés horas extra, sumá el promedio mensual del año: también cuentan para la licencia.</t>
  </si>
  <si>
    <t>Años cumplidos en la empresa</t>
  </si>
  <si>
    <t>Desde los 5 años se suman días de licencia por antigüedad.</t>
  </si>
  <si>
    <t>Meses trabajados en el año que genera la licencia</t>
  </si>
  <si>
    <t>Días de licencia que te tocan</t>
  </si>
  <si>
    <t>Jornal nominal</t>
  </si>
  <si>
    <t>Pago de la licencia</t>
  </si>
  <si>
    <t>Jornal líquido</t>
  </si>
  <si>
    <t>El salario vacacional se cobra antes de salir de licencia y se calcula sobre el jornal líquido. Tu laudo o convenio puede mejorarlo.</t>
  </si>
  <si>
    <t>Liquidación por egreso e indemnización por despido</t>
  </si>
  <si>
    <t>Fecha de ingreso</t>
  </si>
  <si>
    <t>Aguinaldo del semestre en curso</t>
  </si>
  <si>
    <t>Último día de trabajo</t>
  </si>
  <si>
    <t>Empieza el período</t>
  </si>
  <si>
    <t>Por qué termina el trabajo</t>
  </si>
  <si>
    <t>Renuncia</t>
  </si>
  <si>
    <t>Termina el período</t>
  </si>
  <si>
    <t>Si cobrás horas extra o comisiones, sumá el promedio mensual del último año.</t>
  </si>
  <si>
    <t>Días trabajados en el período</t>
  </si>
  <si>
    <t>Días de licencia de años anteriores sin gozar</t>
  </si>
  <si>
    <t>Aguinaldo</t>
  </si>
  <si>
    <t>Cambia tus descuentos, y el salario vacacional se paga sobre el sueldo líquido.</t>
  </si>
  <si>
    <t>Licencia</t>
  </si>
  <si>
    <t>Días trabajados este año</t>
  </si>
  <si>
    <t>TU LIQUIDACIÓN</t>
  </si>
  <si>
    <t>Días de licencia generados este año</t>
  </si>
  <si>
    <t>Aguinaldo proporcional</t>
  </si>
  <si>
    <t>Días de licencia a pagar</t>
  </si>
  <si>
    <t>Licencia no gozada</t>
  </si>
  <si>
    <t>Indemnización por despido</t>
  </si>
  <si>
    <t>Total</t>
  </si>
  <si>
    <t>Aguinaldo, licencia y salario vacacional se pagan también si renunciás. La indemnización suma a la base el aguinaldo y la licencia, como indica el MTSS.</t>
  </si>
  <si>
    <t>INDEMNIZACIÓN POR DESPIDO (MENSUALES Y JORNALEROS)</t>
  </si>
  <si>
    <t>Cómo cobrás</t>
  </si>
  <si>
    <t>Mensual</t>
  </si>
  <si>
    <t>Sueldo mensual o jornal</t>
  </si>
  <si>
    <t>Mensuales: el nominal más el promedio de horas extra y comisiones del último año. Jornaleros: el jornal del último día trabajado.</t>
  </si>
  <si>
    <t>Sumar aguinaldo y licencia a la base</t>
  </si>
  <si>
    <t>Sí</t>
  </si>
  <si>
    <t>Es lo que indica el MTSS para calcular la remuneración total del mes. Solo para mensuales.</t>
  </si>
  <si>
    <t>Años en los que trabajaste 240 jornales o más</t>
  </si>
  <si>
    <t>Solo para jornaleros.</t>
  </si>
  <si>
    <t>Jornales trabajados en los años que no llegaron a 240</t>
  </si>
  <si>
    <t>Solo para jornaleros. Incluí la fracción del último año.</t>
  </si>
  <si>
    <t>Años o fracción que se indemnizan</t>
  </si>
  <si>
    <t>Sueldos de indemnización</t>
  </si>
  <si>
    <t>Remuneración total del mes</t>
  </si>
  <si>
    <t>Jornales de indemnización</t>
  </si>
  <si>
    <t>Mensuales: un sueldo por año o fracción, con tope de seis. Jornaleros: 2 jornales cada 25 trabajados, con tope de 150. La indemnización legal no paga aportes ni IRPF.</t>
  </si>
  <si>
    <t>Licencia y salario vacacional</t>
  </si>
  <si>
    <t>Despido</t>
  </si>
  <si>
    <t>Años cumplidos</t>
  </si>
  <si>
    <t>Sueldos de indemnización (con tope)</t>
  </si>
  <si>
    <t>Incidencia del aguinaldo</t>
  </si>
  <si>
    <t>Incidencia de la licencia</t>
  </si>
  <si>
    <t>Indemnización si es despido</t>
  </si>
  <si>
    <t>Indemnización de mensuales</t>
  </si>
  <si>
    <t>Indemnización de jornaleros</t>
  </si>
  <si>
    <t>Jornales antes del tope</t>
  </si>
  <si>
    <t>¿Llegás a 100 jornales?</t>
  </si>
  <si>
    <t>Tablas oficiales de Uruguay</t>
  </si>
  <si>
    <t>Son los valores que usan las fórmulas de esta planilla, vigentes al 9/10/2026.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</si>
  <si>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</si>
  <si>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</si>
  <si>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</si>
  <si>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</si>
  <si>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</si>
  <si>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</si>
  <si>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</si>
  <si>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Base de Prestaciones y Contribuciones (BPC)</t>
  </si>
  <si>
    <t/>
  </si>
  <si>
    <t>UYU</t>
  </si>
  <si>
    <t>1/1/2026</t>
  </si>
  <si>
    <t>https://www.impo.com.uy/bases/decretos/11-2026</t>
  </si>
  <si>
    <t>7/10/2026</t>
  </si>
  <si>
    <t>Tope de aportación jubilatoria (tope C, Ley 16.713)</t>
  </si>
  <si>
    <t>1/9/2026</t>
  </si>
  <si>
    <t>https://www.bps.gub.uy/5478/valores-actuales.html</t>
  </si>
  <si>
    <t>Aporte jubilatorio personal (montepío)</t>
  </si>
  <si>
    <t>%</t>
  </si>
  <si>
    <t>https://www.bps.gub.uy/835/tasas.html</t>
  </si>
  <si>
    <t>Fonasa: remuneración que separa las dos tablas de aporte</t>
  </si>
  <si>
    <t>BPC</t>
  </si>
  <si>
    <t>https://www.bps.gub.uy/10314/tasas-fonasa.html</t>
  </si>
  <si>
    <t>Aporte personal al Fonasa con remuneración de más de 2,5 BPC</t>
  </si>
  <si>
    <t>Sin cónyuge ni hijos</t>
  </si>
  <si>
    <t>Con hijos</t>
  </si>
  <si>
    <t>Con cónyuge</t>
  </si>
  <si>
    <t>Con cónyuge e hijos</t>
  </si>
  <si>
    <t>Aporte personal al Fonasa con remuneración de hasta 2,5 BPC</t>
  </si>
  <si>
    <t>Fondo de Reconversión Laboral, aporte personal</t>
  </si>
  <si>
    <t>https://www.bps.gub.uy/10322/fondo-reconversion-laboral-frl.html</t>
  </si>
  <si>
    <t>IRPF: renta mensual desde la que se aplica el incremento</t>
  </si>
  <si>
    <t>https://www.impo.com.uy/bases/decretos/148-2007/63</t>
  </si>
  <si>
    <t>IRPF: incremento de la renta gravada por aportes</t>
  </si>
  <si>
    <t>IRPF categoría II: escala mensual de retención (en BPC)</t>
  </si>
  <si>
    <t>Desde</t>
  </si>
  <si>
    <t>Hasta</t>
  </si>
  <si>
    <t>Tasa %</t>
  </si>
  <si>
    <t>Cuota fija</t>
  </si>
  <si>
    <t>IRPF: deducción anual por hijo menor a cargo</t>
  </si>
  <si>
    <t>https://www.impo.com.uy/bases/todgi2023/101-2024/49_T7</t>
  </si>
  <si>
    <t>IRPF: deducción anual por hijo con discapacidad</t>
  </si>
  <si>
    <t>IRPF: ingresos mensuales hasta los que las deducciones van al 14 %</t>
  </si>
  <si>
    <t>IRPF: tasa sobre deducciones con ingresos hasta 15 BPC</t>
  </si>
  <si>
    <t>IRPF: tasa sobre deducciones con ingresos de más de 15 BPC</t>
  </si>
  <si>
    <t>Licencia anual mínima</t>
  </si>
  <si>
    <t>días</t>
  </si>
  <si>
    <t>https://www.impo.com.uy/bases/leyes/12590-1958</t>
  </si>
  <si>
    <t>Salario vacacional (porcentaje del jornal líquido de licencia)</t>
  </si>
  <si>
    <t>https://www.impo.com.uy/bases/leyes/16101-1989/4</t>
  </si>
  <si>
    <t>Indemnización por despido de mensuales: tope</t>
  </si>
  <si>
    <t>meses</t>
  </si>
  <si>
    <t>https://www.impo.com.uy/bases/leyes/10489-1944/4</t>
  </si>
  <si>
    <t>Indemnización por despido de jornaleros: jornales por año</t>
  </si>
  <si>
    <t>https://www.impo.com.uy/bases/leyes/10570-1944/1</t>
  </si>
  <si>
    <t>Indemnización por despido de jornaleros: tope</t>
  </si>
  <si>
    <t>https://www.gub.uy/ministerio-trabajo-seguridad-social/politicas-y-gestion/derecho-reglamentacion-laboral/derecho-laboral-uruguayo/despido-regimen-comun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</si>
</sst>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 &quot;#,##0.00"/>
    <numFmt numFmtId="165" formatCode="#,##0.##"/>
    <numFmt numFmtId="166" formatCode="0.00##&quot; %&quot;"/>
    <numFmt numFmtId="167" formatCode="#,##0.00##"/>
    <numFmt numFmtId="168" formatCode="dd/mm/yyyy"/>
    <numFmt numFmtId="169" formatCode="[&gt;=100000000000000]&quot;en adelante&quot;;#,##0.00##"/>
    <numFmt numFmtId="170" formatCode="0.00##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b/>
    </font>
    <font>
      <b/>
      <color rgb="FF1B5E20"/>
      <sz val="10"/>
    </font>
    <font>
      <sz val="10"/>
    </font>
    <font>
      <b/>
      <color rgb="FFB71C1C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0" fillId="4" borderId="1" xfId="0" applyFill="1" applyBorder="1" applyAlignment="1">
      <alignment horizontal="left" vertical="center" wrapText="1" indent="1"/>
    </xf>
    <xf numFmtId="164" fontId="5" fillId="5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6" fillId="0" borderId="0" xfId="0" applyFont="1"/>
    <xf numFmtId="165" fontId="5" fillId="5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left" wrapText="1" indent="1"/>
    </xf>
    <xf numFmtId="164" fontId="7" fillId="6" borderId="1" xfId="0" applyNumberFormat="1" applyFont="1" applyFill="1" applyBorder="1" applyAlignment="1">
      <alignment horizontal="right"/>
    </xf>
    <xf numFmtId="166" fontId="7" fillId="6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left" indent="1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166" fontId="0" fillId="7" borderId="1" xfId="0" applyNumberFormat="1" applyFill="1" applyBorder="1" applyAlignment="1">
      <alignment horizontal="right"/>
    </xf>
    <xf numFmtId="0" fontId="5" fillId="8" borderId="1" xfId="0" applyFont="1" applyFill="1" applyBorder="1" applyAlignment="1">
      <alignment horizontal="left" wrapText="1" indent="1"/>
    </xf>
    <xf numFmtId="164" fontId="5" fillId="8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165" fontId="7" fillId="6" borderId="1" xfId="0" applyNumberFormat="1" applyFont="1" applyFill="1" applyBorder="1" applyAlignment="1">
      <alignment horizontal="right"/>
    </xf>
    <xf numFmtId="167" fontId="7" fillId="6" borderId="1" xfId="0" applyNumberFormat="1" applyFont="1" applyFill="1" applyBorder="1" applyAlignment="1">
      <alignment horizontal="right"/>
    </xf>
    <xf numFmtId="165" fontId="0" fillId="7" borderId="1" xfId="0" applyNumberFormat="1" applyFill="1" applyBorder="1" applyAlignment="1">
      <alignment horizontal="right"/>
    </xf>
    <xf numFmtId="167" fontId="0" fillId="7" borderId="1" xfId="0" applyNumberFormat="1" applyFill="1" applyBorder="1" applyAlignment="1">
      <alignment horizontal="right"/>
    </xf>
    <xf numFmtId="168" fontId="5" fillId="5" borderId="1" xfId="0" applyNumberFormat="1" applyFont="1" applyFill="1" applyBorder="1" applyAlignment="1">
      <alignment horizontal="right"/>
    </xf>
    <xf numFmtId="168" fontId="7" fillId="6" borderId="1" xfId="0" applyNumberFormat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7" fillId="6" borderId="1" xfId="0" applyFon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vertical="top"/>
    </xf>
    <xf numFmtId="0" fontId="9" fillId="6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167" fontId="0" fillId="6" borderId="1" xfId="0" applyNumberFormat="1" applyFill="1" applyBorder="1" applyAlignment="1">
      <alignment vertical="top"/>
    </xf>
    <xf numFmtId="167" fontId="0" fillId="4" borderId="1" xfId="0" applyNumberFormat="1" applyFill="1" applyBorder="1" applyAlignment="1">
      <alignment vertical="top"/>
    </xf>
    <xf numFmtId="0" fontId="5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4" borderId="1" xfId="0" applyFont="1" applyFill="1" applyBorder="1"/>
    <xf numFmtId="167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mpo.com.uy/bases/decretos/11-2026" TargetMode="External"/><Relationship Id="rId2" Type="http://schemas.openxmlformats.org/officeDocument/2006/relationships/hyperlink" Target="https://www.bps.gub.uy/5478/valores-actuales.html" TargetMode="External"/><Relationship Id="rId3" Type="http://schemas.openxmlformats.org/officeDocument/2006/relationships/hyperlink" Target="https://www.bps.gub.uy/835/tasas.html" TargetMode="External"/><Relationship Id="rId4" Type="http://schemas.openxmlformats.org/officeDocument/2006/relationships/hyperlink" Target="https://www.bps.gub.uy/10314/tasas-fonasa.html" TargetMode="External"/><Relationship Id="rId5" Type="http://schemas.openxmlformats.org/officeDocument/2006/relationships/hyperlink" Target="https://www.bps.gub.uy/10314/tasas-fonasa.html" TargetMode="External"/><Relationship Id="rId6" Type="http://schemas.openxmlformats.org/officeDocument/2006/relationships/hyperlink" Target="https://www.bps.gub.uy/10314/tasas-fonasa.html" TargetMode="External"/><Relationship Id="rId7" Type="http://schemas.openxmlformats.org/officeDocument/2006/relationships/hyperlink" Target="https://www.bps.gub.uy/10314/tasas-fonasa.html" TargetMode="External"/><Relationship Id="rId8" Type="http://schemas.openxmlformats.org/officeDocument/2006/relationships/hyperlink" Target="https://www.bps.gub.uy/10314/tasas-fonasa.html" TargetMode="External"/><Relationship Id="rId9" Type="http://schemas.openxmlformats.org/officeDocument/2006/relationships/hyperlink" Target="https://www.bps.gub.uy/10314/tasas-fonasa.html" TargetMode="External"/><Relationship Id="rId10" Type="http://schemas.openxmlformats.org/officeDocument/2006/relationships/hyperlink" Target="https://www.bps.gub.uy/10314/tasas-fonasa.html" TargetMode="External"/><Relationship Id="rId11" Type="http://schemas.openxmlformats.org/officeDocument/2006/relationships/hyperlink" Target="https://www.bps.gub.uy/10314/tasas-fonasa.html" TargetMode="External"/><Relationship Id="rId12" Type="http://schemas.openxmlformats.org/officeDocument/2006/relationships/hyperlink" Target="https://www.bps.gub.uy/10314/tasas-fonasa.html" TargetMode="External"/><Relationship Id="rId13" Type="http://schemas.openxmlformats.org/officeDocument/2006/relationships/hyperlink" Target="https://www.bps.gub.uy/10322/fondo-reconversion-laboral-frl.html" TargetMode="External"/><Relationship Id="rId14" Type="http://schemas.openxmlformats.org/officeDocument/2006/relationships/hyperlink" Target="https://www.impo.com.uy/bases/decretos/148-2007/63" TargetMode="External"/><Relationship Id="rId15" Type="http://schemas.openxmlformats.org/officeDocument/2006/relationships/hyperlink" Target="https://www.impo.com.uy/bases/decretos/148-2007/63" TargetMode="External"/><Relationship Id="rId16" Type="http://schemas.openxmlformats.org/officeDocument/2006/relationships/hyperlink" Target="https://www.impo.com.uy/bases/decretos/148-2007/63" TargetMode="External"/><Relationship Id="rId17" Type="http://schemas.openxmlformats.org/officeDocument/2006/relationships/hyperlink" Target="https://www.impo.com.uy/bases/todgi2023/101-2024/49_T7" TargetMode="External"/><Relationship Id="rId18" Type="http://schemas.openxmlformats.org/officeDocument/2006/relationships/hyperlink" Target="https://www.impo.com.uy/bases/todgi2023/101-2024/49_T7" TargetMode="External"/><Relationship Id="rId19" Type="http://schemas.openxmlformats.org/officeDocument/2006/relationships/hyperlink" Target="https://www.impo.com.uy/bases/decretos/148-2007/63" TargetMode="External"/><Relationship Id="rId20" Type="http://schemas.openxmlformats.org/officeDocument/2006/relationships/hyperlink" Target="https://www.impo.com.uy/bases/decretos/148-2007/63" TargetMode="External"/><Relationship Id="rId21" Type="http://schemas.openxmlformats.org/officeDocument/2006/relationships/hyperlink" Target="https://www.impo.com.uy/bases/decretos/148-2007/63" TargetMode="External"/><Relationship Id="rId22" Type="http://schemas.openxmlformats.org/officeDocument/2006/relationships/hyperlink" Target="https://www.impo.com.uy/bases/leyes/12590-1958" TargetMode="External"/><Relationship Id="rId23" Type="http://schemas.openxmlformats.org/officeDocument/2006/relationships/hyperlink" Target="https://www.impo.com.uy/bases/leyes/16101-1989/4" TargetMode="External"/><Relationship Id="rId24" Type="http://schemas.openxmlformats.org/officeDocument/2006/relationships/hyperlink" Target="https://www.impo.com.uy/bases/leyes/10489-1944/4" TargetMode="External"/><Relationship Id="rId25" Type="http://schemas.openxmlformats.org/officeDocument/2006/relationships/hyperlink" Target="https://www.impo.com.uy/bases/leyes/10570-1944/1" TargetMode="External"/><Relationship Id="rId26" Type="http://schemas.openxmlformats.org/officeDocument/2006/relationships/hyperlink" Target="https://www.gub.uy/ministerio-trabajo-seguridad-social/politicas-y-gestion/derecho-reglamentacion-laboral/derecho-laboral-uruguayo/despido-regimen-com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20" customHeight="1" spans="1:2" x14ac:dyDescent="0.25">
      <c r="A4" s="2">
        <v>2</v>
      </c>
      <c r="B4" s="3" t="s">
        <v>2</v>
      </c>
    </row>
    <row r="5" ht="34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8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3" x14ac:dyDescent="0.25">
      <c r="A4" s="6" t="s">
        <v>12</v>
      </c>
      <c r="B4" s="6"/>
      <c r="C4" s="6"/>
    </row>
    <row r="5" ht="30" customHeight="1" spans="1:5" x14ac:dyDescent="0.25">
      <c r="A5" s="7" t="s">
        <v>13</v>
      </c>
      <c r="B5" s="8">
        <v>60000</v>
      </c>
      <c r="C5" s="9" t="s">
        <v>14</v>
      </c>
      <c r="E5" s="10" t="s">
        <v>15</v>
      </c>
    </row>
    <row r="6" spans="1:6" x14ac:dyDescent="0.25">
      <c r="A6" s="7" t="s">
        <v>16</v>
      </c>
      <c r="B6" s="11">
        <v>0</v>
      </c>
      <c r="E6" s="12" t="s">
        <v>17</v>
      </c>
      <c r="F6" s="13">
        <f>ROUND(MIN(B5,'Tablas oficiales'!$C$5)*'Tablas oficiales'!$C$6/100,2)</f>
      </c>
    </row>
    <row r="7" spans="1:6" x14ac:dyDescent="0.25">
      <c r="A7" s="7" t="s">
        <v>18</v>
      </c>
      <c r="B7" s="11">
        <v>0</v>
      </c>
      <c r="C7" s="9" t="s">
        <v>19</v>
      </c>
      <c r="E7" s="12" t="s">
        <v>20</v>
      </c>
      <c r="F7" s="14">
        <f>IF(B5&gt;'Tablas oficiales'!$C$7*'Tablas oficiales'!$C$4,IF(B8="Sí",IF((B6+B7)&gt;0,'Tablas oficiales'!$C$11,'Tablas oficiales'!$C$10),IF((B6+B7)&gt;0,'Tablas oficiales'!$C$9,'Tablas oficiales'!$C$8)),IF(B8="Sí",IF((B6+B7)&gt;0,'Tablas oficiales'!$C$15,'Tablas oficiales'!$C$14),IF((B6+B7)&gt;0,'Tablas oficiales'!$C$13,'Tablas oficiales'!$C$12)))</f>
      </c>
    </row>
    <row r="8" ht="30" customHeight="1" spans="1:6" x14ac:dyDescent="0.25">
      <c r="A8" s="7" t="s">
        <v>21</v>
      </c>
      <c r="B8" s="15" t="s">
        <v>22</v>
      </c>
      <c r="C8" s="9" t="s">
        <v>23</v>
      </c>
      <c r="E8" s="12" t="s">
        <v>24</v>
      </c>
      <c r="F8" s="13">
        <f>ROUND(B5*F7/100,2)</f>
      </c>
    </row>
    <row r="9" spans="1:6" x14ac:dyDescent="0.25">
      <c r="A9" s="7" t="s">
        <v>25</v>
      </c>
      <c r="B9" s="15" t="s">
        <v>26</v>
      </c>
      <c r="E9" s="12" t="s">
        <v>27</v>
      </c>
      <c r="F9" s="13">
        <f>ROUND(B5*'Tablas oficiales'!$C$16/100,2)</f>
      </c>
    </row>
    <row r="11" spans="1:5" x14ac:dyDescent="0.25">
      <c r="A11" s="6" t="s">
        <v>28</v>
      </c>
      <c r="B11" s="6"/>
      <c r="C11" s="6"/>
      <c r="E11" s="10" t="s">
        <v>29</v>
      </c>
    </row>
    <row r="12" spans="1:6" x14ac:dyDescent="0.25">
      <c r="A12" s="16" t="s">
        <v>30</v>
      </c>
      <c r="B12" s="17">
        <f>B5</f>
      </c>
      <c r="E12" s="12" t="s">
        <v>31</v>
      </c>
      <c r="F12" s="13">
        <f>ROUND(IF(B5&gt;'Tablas oficiales'!$C$17*'Tablas oficiales'!$C$4,B5+B5*'Tablas oficiales'!$C$18/100,B5),2)</f>
      </c>
    </row>
    <row r="13" spans="1:6" x14ac:dyDescent="0.25">
      <c r="A13" s="16" t="s">
        <v>32</v>
      </c>
      <c r="B13" s="17">
        <f>F6</f>
      </c>
      <c r="E13" s="12" t="s">
        <v>33</v>
      </c>
      <c r="F13" s="13">
        <f>MAX(0,MIN(F12,'Tablas oficiales'!$C$21*'Tablas oficiales'!$C$4)-'Tablas oficiales'!$B$21*'Tablas oficiales'!$C$4)*'Tablas oficiales'!$D$21/100</f>
      </c>
    </row>
    <row r="14" spans="1:6" x14ac:dyDescent="0.25">
      <c r="A14" s="16" t="s">
        <v>24</v>
      </c>
      <c r="B14" s="17">
        <f>F8</f>
      </c>
      <c r="E14" s="12" t="s">
        <v>34</v>
      </c>
      <c r="F14" s="13">
        <f>MAX(0,MIN(F12,'Tablas oficiales'!$C$22*'Tablas oficiales'!$C$4)-'Tablas oficiales'!$B$22*'Tablas oficiales'!$C$4)*'Tablas oficiales'!$D$22/100</f>
      </c>
    </row>
    <row r="15" spans="1:6" x14ac:dyDescent="0.25">
      <c r="A15" s="16" t="s">
        <v>35</v>
      </c>
      <c r="B15" s="18">
        <f>F7</f>
      </c>
      <c r="E15" s="12" t="s">
        <v>36</v>
      </c>
      <c r="F15" s="13">
        <f>MAX(0,MIN(F12,'Tablas oficiales'!$C$23*'Tablas oficiales'!$C$4)-'Tablas oficiales'!$B$23*'Tablas oficiales'!$C$4)*'Tablas oficiales'!$D$23/100</f>
      </c>
    </row>
    <row r="16" spans="1:6" x14ac:dyDescent="0.25">
      <c r="A16" s="16" t="s">
        <v>27</v>
      </c>
      <c r="B16" s="17">
        <f>F9</f>
      </c>
      <c r="E16" s="12" t="s">
        <v>37</v>
      </c>
      <c r="F16" s="13">
        <f>MAX(0,MIN(F12,'Tablas oficiales'!$C$24*'Tablas oficiales'!$C$4)-'Tablas oficiales'!$B$24*'Tablas oficiales'!$C$4)*'Tablas oficiales'!$D$24/100</f>
      </c>
    </row>
    <row r="17" spans="1:6" x14ac:dyDescent="0.25">
      <c r="A17" s="16" t="s">
        <v>29</v>
      </c>
      <c r="B17" s="17">
        <f>F27</f>
      </c>
      <c r="E17" s="12" t="s">
        <v>38</v>
      </c>
      <c r="F17" s="13">
        <f>MAX(0,MIN(F12,'Tablas oficiales'!$C$25*'Tablas oficiales'!$C$4)-'Tablas oficiales'!$B$25*'Tablas oficiales'!$C$4)*'Tablas oficiales'!$D$25/100</f>
      </c>
    </row>
    <row r="18" spans="1:6" x14ac:dyDescent="0.25">
      <c r="A18" s="16" t="s">
        <v>39</v>
      </c>
      <c r="B18" s="17">
        <f>ROUND(F6+F8+F9+F27,2)</f>
      </c>
      <c r="E18" s="12" t="s">
        <v>40</v>
      </c>
      <c r="F18" s="13">
        <f>MAX(0,MIN(F12,'Tablas oficiales'!$C$26*'Tablas oficiales'!$C$4)-'Tablas oficiales'!$B$26*'Tablas oficiales'!$C$4)*'Tablas oficiales'!$D$26/100</f>
      </c>
    </row>
    <row r="19" spans="1:6" x14ac:dyDescent="0.25">
      <c r="A19" s="19" t="s">
        <v>41</v>
      </c>
      <c r="B19" s="20">
        <f>F28</f>
      </c>
      <c r="E19" s="12" t="s">
        <v>42</v>
      </c>
      <c r="F19" s="13">
        <f>MAX(0,MIN(F12,'Tablas oficiales'!$C$27*'Tablas oficiales'!$C$4)-'Tablas oficiales'!$B$27*'Tablas oficiales'!$C$4)*'Tablas oficiales'!$D$27/100</f>
      </c>
    </row>
    <row r="20" spans="5:6" x14ac:dyDescent="0.25">
      <c r="E20" s="12" t="s">
        <v>43</v>
      </c>
      <c r="F20" s="13">
        <f>MAX(0,MIN(F12,'Tablas oficiales'!$C$28*'Tablas oficiales'!$C$4)-'Tablas oficiales'!$B$28*'Tablas oficiales'!$C$4)*'Tablas oficiales'!$D$28/100</f>
      </c>
    </row>
    <row r="21" ht="36" customHeight="1" spans="1:6" x14ac:dyDescent="0.25">
      <c r="A21" s="4" t="s">
        <v>44</v>
      </c>
      <c r="B21" s="4"/>
      <c r="C21" s="4"/>
      <c r="E21" s="12" t="s">
        <v>45</v>
      </c>
      <c r="F21" s="13">
        <f>SUM(F13,F14,F15,F16,F17,F18,F19,F20)</f>
      </c>
    </row>
    <row r="22" spans="5:6" x14ac:dyDescent="0.25">
      <c r="E22" s="12" t="s">
        <v>46</v>
      </c>
      <c r="F22" s="13">
        <f>ROUND(F21,2)</f>
      </c>
    </row>
    <row r="23" spans="5:6" x14ac:dyDescent="0.25">
      <c r="E23" s="12" t="s">
        <v>47</v>
      </c>
      <c r="F23" s="13">
        <f>ROUND((B6*'Tablas oficiales'!$C$30+B7*'Tablas oficiales'!$C$31)*'Tablas oficiales'!$C$4*IF(B9="La comparto con el otro progenitor",0.5,1)/12,2)</f>
      </c>
    </row>
    <row r="24" spans="5:6" x14ac:dyDescent="0.25">
      <c r="E24" s="12" t="s">
        <v>48</v>
      </c>
      <c r="F24" s="13">
        <f>ROUND(F6+F8+F9+F23,2)</f>
      </c>
    </row>
    <row r="25" spans="5:6" x14ac:dyDescent="0.25">
      <c r="E25" s="12" t="s">
        <v>49</v>
      </c>
      <c r="F25" s="14">
        <f>IF(B5&lt;='Tablas oficiales'!$C$32*'Tablas oficiales'!$C$4,'Tablas oficiales'!$C$33,'Tablas oficiales'!$C$34)</f>
      </c>
    </row>
    <row r="26" spans="5:6" x14ac:dyDescent="0.25">
      <c r="E26" s="12" t="s">
        <v>50</v>
      </c>
      <c r="F26" s="13">
        <f>ROUND(F24*F25/100,2)</f>
      </c>
    </row>
    <row r="27" spans="5:6" x14ac:dyDescent="0.25">
      <c r="E27" s="12" t="s">
        <v>29</v>
      </c>
      <c r="F27" s="13">
        <f>MAX(0,ROUND(F22-F26,2))</f>
      </c>
    </row>
    <row r="28" spans="5:6" x14ac:dyDescent="0.25">
      <c r="E28" s="12" t="s">
        <v>41</v>
      </c>
      <c r="F28" s="13">
        <f>ROUND(B5-F6-F8-F9-F27,2)</f>
      </c>
    </row>
  </sheetData>
  <mergeCells count="5">
    <mergeCell ref="A1:C1"/>
    <mergeCell ref="E3:F3"/>
    <mergeCell ref="A4:C4"/>
    <mergeCell ref="A11:C11"/>
    <mergeCell ref="A21:C21"/>
  </mergeCells>
  <dataValidations count="4">
    <dataValidation type="decimal" allowBlank="1" showErrorMessage="1" error="Escribe un número mayor o igual a 0." sqref="B5">
      <formula1>0</formula1>
      <formula2>1000000000000</formula2>
    </dataValidation>
    <dataValidation type="whole" allowBlank="1" showErrorMessage="1" error="Escribe un número entre 0 y 15." sqref="B6:B7">
      <formula1>0</formula1>
      <formula2>15</formula2>
    </dataValidation>
    <dataValidation type="list" showErrorMessage="1" error="Elige una opción de la lista." sqref="B8">
      <formula1>"Sí,No"</formula1>
    </dataValidation>
    <dataValidation type="list" showErrorMessage="1" error="Elige una opción de la lista." sqref="B9">
      <formula1>"La uso entera,La comparto con el otro progenitor"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36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51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52</v>
      </c>
      <c r="B4" s="6"/>
      <c r="C4" s="6"/>
      <c r="E4" s="12" t="s">
        <v>53</v>
      </c>
      <c r="F4" s="13">
        <f>ROUND(B6*B7+B8,2)</f>
      </c>
    </row>
    <row r="5" spans="1:2" x14ac:dyDescent="0.25">
      <c r="A5" s="7" t="s">
        <v>54</v>
      </c>
      <c r="B5" s="15" t="s">
        <v>55</v>
      </c>
    </row>
    <row r="6" spans="1:5" x14ac:dyDescent="0.25">
      <c r="A6" s="7" t="s">
        <v>56</v>
      </c>
      <c r="B6" s="8">
        <v>60000</v>
      </c>
      <c r="C6" s="9" t="s">
        <v>57</v>
      </c>
      <c r="E6" s="10" t="s">
        <v>58</v>
      </c>
    </row>
    <row r="7" spans="1:6" x14ac:dyDescent="0.25">
      <c r="A7" s="7" t="s">
        <v>59</v>
      </c>
      <c r="B7" s="21">
        <v>6</v>
      </c>
      <c r="C7" s="9" t="s">
        <v>60</v>
      </c>
      <c r="E7" s="12" t="s">
        <v>61</v>
      </c>
      <c r="F7" s="22">
        <f>IF(B16&gt;=5,INT(B16/4),0)</f>
      </c>
    </row>
    <row r="8" ht="30" customHeight="1" spans="1:6" x14ac:dyDescent="0.25">
      <c r="A8" s="7" t="s">
        <v>62</v>
      </c>
      <c r="B8" s="8">
        <v>0</v>
      </c>
      <c r="C8" s="9" t="s">
        <v>63</v>
      </c>
      <c r="E8" s="12" t="s">
        <v>64</v>
      </c>
      <c r="F8" s="22">
        <f>'Tablas oficiales'!$C$35+F7</f>
      </c>
    </row>
    <row r="9" spans="1:6" x14ac:dyDescent="0.25">
      <c r="A9" s="16" t="s">
        <v>53</v>
      </c>
      <c r="B9" s="17">
        <f>F4</f>
      </c>
      <c r="E9" s="12" t="s">
        <v>65</v>
      </c>
      <c r="F9" s="23">
        <f>ROUND(F8*B17/12,2)</f>
      </c>
    </row>
    <row r="10" spans="1:2" x14ac:dyDescent="0.25">
      <c r="A10" s="19" t="s">
        <v>66</v>
      </c>
      <c r="B10" s="20">
        <f>ROUND(F4/12,2)</f>
      </c>
    </row>
    <row r="11" spans="5:5" x14ac:dyDescent="0.25">
      <c r="E11" s="10" t="s">
        <v>15</v>
      </c>
    </row>
    <row r="12" ht="21" customHeight="1" spans="1:6" x14ac:dyDescent="0.25">
      <c r="A12" s="4" t="s">
        <v>67</v>
      </c>
      <c r="B12" s="4"/>
      <c r="C12" s="4"/>
      <c r="E12" s="12" t="s">
        <v>17</v>
      </c>
      <c r="F12" s="13">
        <f>ROUND(MIN(B15,'Tablas oficiales'!$C$5)*'Tablas oficiales'!$C$6/100,2)</f>
      </c>
    </row>
    <row r="13" spans="5:6" x14ac:dyDescent="0.25">
      <c r="E13" s="12" t="s">
        <v>20</v>
      </c>
      <c r="F13" s="14">
        <f>IF(B15&gt;'Tablas oficiales'!$C$7*'Tablas oficiales'!$C$4,IF(B19="Sí",IF((B18+0)&gt;0,'Tablas oficiales'!$C$11,'Tablas oficiales'!$C$10),IF((B18+0)&gt;0,'Tablas oficiales'!$C$9,'Tablas oficiales'!$C$8)),IF(B19="Sí",IF((B18+0)&gt;0,'Tablas oficiales'!$C$15,'Tablas oficiales'!$C$14),IF((B18+0)&gt;0,'Tablas oficiales'!$C$13,'Tablas oficiales'!$C$12)))</f>
      </c>
    </row>
    <row r="14" spans="1:6" x14ac:dyDescent="0.25">
      <c r="A14" s="6" t="s">
        <v>68</v>
      </c>
      <c r="B14" s="6"/>
      <c r="C14" s="6"/>
      <c r="E14" s="12" t="s">
        <v>24</v>
      </c>
      <c r="F14" s="13">
        <f>ROUND(B15*F13/100,2)</f>
      </c>
    </row>
    <row r="15" ht="30" customHeight="1" spans="1:6" x14ac:dyDescent="0.25">
      <c r="A15" s="7" t="s">
        <v>69</v>
      </c>
      <c r="B15" s="8">
        <v>60000</v>
      </c>
      <c r="C15" s="9" t="s">
        <v>70</v>
      </c>
      <c r="E15" s="12" t="s">
        <v>27</v>
      </c>
      <c r="F15" s="13">
        <f>ROUND(B15*'Tablas oficiales'!$C$16/100,2)</f>
      </c>
    </row>
    <row r="16" spans="1:3" x14ac:dyDescent="0.25">
      <c r="A16" s="7" t="s">
        <v>71</v>
      </c>
      <c r="B16" s="11">
        <v>1</v>
      </c>
      <c r="C16" s="9" t="s">
        <v>72</v>
      </c>
    </row>
    <row r="17" spans="1:5" x14ac:dyDescent="0.25">
      <c r="A17" s="7" t="s">
        <v>73</v>
      </c>
      <c r="B17" s="21">
        <v>12</v>
      </c>
      <c r="E17" s="10" t="s">
        <v>29</v>
      </c>
    </row>
    <row r="18" spans="1:6" x14ac:dyDescent="0.25">
      <c r="A18" s="7" t="s">
        <v>16</v>
      </c>
      <c r="B18" s="11">
        <v>0</v>
      </c>
      <c r="E18" s="12" t="s">
        <v>31</v>
      </c>
      <c r="F18" s="13">
        <f>ROUND(IF(B15&gt;'Tablas oficiales'!$C$17*'Tablas oficiales'!$C$4,B15+B15*'Tablas oficiales'!$C$18/100,B15),2)</f>
      </c>
    </row>
    <row r="19" spans="1:6" x14ac:dyDescent="0.25">
      <c r="A19" s="7" t="s">
        <v>21</v>
      </c>
      <c r="B19" s="15" t="s">
        <v>22</v>
      </c>
      <c r="E19" s="12" t="s">
        <v>33</v>
      </c>
      <c r="F19" s="13">
        <f>MAX(0,MIN(F18,'Tablas oficiales'!$C$21*'Tablas oficiales'!$C$4)-'Tablas oficiales'!$B$21*'Tablas oficiales'!$C$4)*'Tablas oficiales'!$D$21/100</f>
      </c>
    </row>
    <row r="20" spans="1:6" x14ac:dyDescent="0.25">
      <c r="A20" s="16" t="s">
        <v>64</v>
      </c>
      <c r="B20" s="24">
        <f>F8</f>
      </c>
      <c r="E20" s="12" t="s">
        <v>34</v>
      </c>
      <c r="F20" s="13">
        <f>MAX(0,MIN(F18,'Tablas oficiales'!$C$22*'Tablas oficiales'!$C$4)-'Tablas oficiales'!$B$22*'Tablas oficiales'!$C$4)*'Tablas oficiales'!$D$22/100</f>
      </c>
    </row>
    <row r="21" spans="1:6" x14ac:dyDescent="0.25">
      <c r="A21" s="16" t="s">
        <v>61</v>
      </c>
      <c r="B21" s="24">
        <f>F7</f>
      </c>
      <c r="E21" s="12" t="s">
        <v>36</v>
      </c>
      <c r="F21" s="13">
        <f>MAX(0,MIN(F18,'Tablas oficiales'!$C$23*'Tablas oficiales'!$C$4)-'Tablas oficiales'!$B$23*'Tablas oficiales'!$C$4)*'Tablas oficiales'!$D$23/100</f>
      </c>
    </row>
    <row r="22" spans="1:6" x14ac:dyDescent="0.25">
      <c r="A22" s="16" t="s">
        <v>74</v>
      </c>
      <c r="B22" s="25">
        <f>F9</f>
      </c>
      <c r="E22" s="12" t="s">
        <v>37</v>
      </c>
      <c r="F22" s="13">
        <f>MAX(0,MIN(F18,'Tablas oficiales'!$C$24*'Tablas oficiales'!$C$4)-'Tablas oficiales'!$B$24*'Tablas oficiales'!$C$4)*'Tablas oficiales'!$D$24/100</f>
      </c>
    </row>
    <row r="23" spans="1:6" x14ac:dyDescent="0.25">
      <c r="A23" s="16" t="s">
        <v>75</v>
      </c>
      <c r="B23" s="17">
        <f>F35</f>
      </c>
      <c r="E23" s="12" t="s">
        <v>38</v>
      </c>
      <c r="F23" s="13">
        <f>MAX(0,MIN(F18,'Tablas oficiales'!$C$25*'Tablas oficiales'!$C$4)-'Tablas oficiales'!$B$25*'Tablas oficiales'!$C$4)*'Tablas oficiales'!$D$25/100</f>
      </c>
    </row>
    <row r="24" spans="1:6" x14ac:dyDescent="0.25">
      <c r="A24" s="16" t="s">
        <v>76</v>
      </c>
      <c r="B24" s="17">
        <f>ROUND(F35*F9,2)</f>
      </c>
      <c r="E24" s="12" t="s">
        <v>40</v>
      </c>
      <c r="F24" s="13">
        <f>MAX(0,MIN(F18,'Tablas oficiales'!$C$26*'Tablas oficiales'!$C$4)-'Tablas oficiales'!$B$26*'Tablas oficiales'!$C$4)*'Tablas oficiales'!$D$26/100</f>
      </c>
    </row>
    <row r="25" spans="1:6" x14ac:dyDescent="0.25">
      <c r="A25" s="16" t="s">
        <v>77</v>
      </c>
      <c r="B25" s="17">
        <f>F36</f>
      </c>
      <c r="E25" s="12" t="s">
        <v>42</v>
      </c>
      <c r="F25" s="13">
        <f>MAX(0,MIN(F18,'Tablas oficiales'!$C$27*'Tablas oficiales'!$C$4)-'Tablas oficiales'!$B$27*'Tablas oficiales'!$C$4)*'Tablas oficiales'!$D$27/100</f>
      </c>
    </row>
    <row r="26" spans="1:6" x14ac:dyDescent="0.25">
      <c r="A26" s="19" t="s">
        <v>58</v>
      </c>
      <c r="B26" s="20">
        <f>ROUND(F36*F9*'Tablas oficiales'!$C$36/100,2)</f>
      </c>
      <c r="E26" s="12" t="s">
        <v>43</v>
      </c>
      <c r="F26" s="13">
        <f>MAX(0,MIN(F18,'Tablas oficiales'!$C$28*'Tablas oficiales'!$C$4)-'Tablas oficiales'!$B$28*'Tablas oficiales'!$C$4)*'Tablas oficiales'!$D$28/100</f>
      </c>
    </row>
    <row r="27" spans="5:6" x14ac:dyDescent="0.25">
      <c r="E27" s="12" t="s">
        <v>45</v>
      </c>
      <c r="F27" s="13">
        <f>SUM(F19,F20,F21,F22,F23,F24,F25,F26)</f>
      </c>
    </row>
    <row r="28" ht="36" customHeight="1" spans="1:6" x14ac:dyDescent="0.25">
      <c r="A28" s="4" t="s">
        <v>78</v>
      </c>
      <c r="B28" s="4"/>
      <c r="C28" s="4"/>
      <c r="E28" s="12" t="s">
        <v>46</v>
      </c>
      <c r="F28" s="13">
        <f>ROUND(F27,2)</f>
      </c>
    </row>
    <row r="29" spans="5:6" x14ac:dyDescent="0.25">
      <c r="E29" s="12" t="s">
        <v>47</v>
      </c>
      <c r="F29" s="13">
        <f>ROUND((B18*'Tablas oficiales'!$C$30+0*'Tablas oficiales'!$C$31)*'Tablas oficiales'!$C$4*IF(FALSE(),0.5,1)/12,2)</f>
      </c>
    </row>
    <row r="30" spans="5:6" x14ac:dyDescent="0.25">
      <c r="E30" s="12" t="s">
        <v>48</v>
      </c>
      <c r="F30" s="13">
        <f>ROUND(F12+F14+F15+F29,2)</f>
      </c>
    </row>
    <row r="31" spans="5:6" x14ac:dyDescent="0.25">
      <c r="E31" s="12" t="s">
        <v>49</v>
      </c>
      <c r="F31" s="14">
        <f>IF(B15&lt;='Tablas oficiales'!$C$32*'Tablas oficiales'!$C$4,'Tablas oficiales'!$C$33,'Tablas oficiales'!$C$34)</f>
      </c>
    </row>
    <row r="32" spans="5:6" x14ac:dyDescent="0.25">
      <c r="E32" s="12" t="s">
        <v>50</v>
      </c>
      <c r="F32" s="13">
        <f>ROUND(F30*F31/100,2)</f>
      </c>
    </row>
    <row r="33" spans="5:6" x14ac:dyDescent="0.25">
      <c r="E33" s="12" t="s">
        <v>29</v>
      </c>
      <c r="F33" s="13">
        <f>MAX(0,ROUND(F28-F32,2))</f>
      </c>
    </row>
    <row r="34" spans="5:6" x14ac:dyDescent="0.25">
      <c r="E34" s="12" t="s">
        <v>41</v>
      </c>
      <c r="F34" s="13">
        <f>ROUND(B15-F12-F14-F15-F33,2)</f>
      </c>
    </row>
    <row r="35" spans="5:6" x14ac:dyDescent="0.25">
      <c r="E35" s="12" t="s">
        <v>75</v>
      </c>
      <c r="F35" s="13">
        <f>ROUND(B15/30,2)</f>
      </c>
    </row>
    <row r="36" spans="5:6" x14ac:dyDescent="0.25">
      <c r="E36" s="12" t="s">
        <v>77</v>
      </c>
      <c r="F36" s="13">
        <f>ROUND(F34/30,2)</f>
      </c>
    </row>
  </sheetData>
  <mergeCells count="6">
    <mergeCell ref="A1:C1"/>
    <mergeCell ref="E3:F3"/>
    <mergeCell ref="A4:C4"/>
    <mergeCell ref="A12:C12"/>
    <mergeCell ref="A14:C14"/>
    <mergeCell ref="A28:C28"/>
  </mergeCells>
  <dataValidations count="9">
    <dataValidation type="decimal" allowBlank="1" showErrorMessage="1" error="Escribe un número mayor o igual a 0." sqref="B15">
      <formula1>0</formula1>
      <formula2>1000000000000</formula2>
    </dataValidation>
    <dataValidation type="whole" allowBlank="1" showErrorMessage="1" error="Escribe un número entre 0 y 60." sqref="B16">
      <formula1>0</formula1>
      <formula2>60</formula2>
    </dataValidation>
    <dataValidation type="decimal" allowBlank="1" showErrorMessage="1" error="Escribe un número entre 0 y 12." sqref="B17">
      <formula1>0</formula1>
      <formula2>12</formula2>
    </dataValidation>
    <dataValidation type="whole" allowBlank="1" showErrorMessage="1" error="Escribe un número entre 0 y 15." sqref="B18">
      <formula1>0</formula1>
      <formula2>15</formula2>
    </dataValidation>
    <dataValidation type="list" showErrorMessage="1" error="Elige una opción de la lista." sqref="B19">
      <formula1>"Sí,No"</formula1>
    </dataValidation>
    <dataValidation type="list" showErrorMessage="1" error="Elige una opción de la lista." sqref="B5">
      <formula1>"Junio (de diciembre a mayo),Diciembre (de junio a noviembre),Al dejar el trabajo (proporcional)"</formula1>
    </dataValidation>
    <dataValidation type="decimal" allowBlank="1" showErrorMessage="1" error="Escribe un número mayor o igual a 0." sqref="B6">
      <formula1>0</formula1>
      <formula2>1000000000000</formula2>
    </dataValidation>
    <dataValidation type="decimal" allowBlank="1" showErrorMessage="1" error="Escribe un número entre 0 y 6." sqref="B7">
      <formula1>0</formula1>
      <formula2>6</formula2>
    </dataValidation>
    <dataValidation type="decimal" allowBlank="1" showErrorMessage="1" error="Escribe un número mayor o igual a 0." sqref="B8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70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79</v>
      </c>
      <c r="B1" s="5"/>
      <c r="C1" s="5"/>
    </row>
    <row r="3" spans="5:6" x14ac:dyDescent="0.25">
      <c r="E3" s="6" t="s">
        <v>11</v>
      </c>
      <c r="F3" s="6"/>
    </row>
    <row r="4" spans="1:3" x14ac:dyDescent="0.25">
      <c r="A4" s="6" t="s">
        <v>12</v>
      </c>
      <c r="B4" s="6"/>
      <c r="C4" s="6"/>
    </row>
    <row r="5" spans="1:5" x14ac:dyDescent="0.25">
      <c r="A5" s="7" t="s">
        <v>80</v>
      </c>
      <c r="B5" s="26">
        <v>44621</v>
      </c>
      <c r="E5" s="10" t="s">
        <v>81</v>
      </c>
    </row>
    <row r="6" spans="1:6" x14ac:dyDescent="0.25">
      <c r="A6" s="7" t="s">
        <v>82</v>
      </c>
      <c r="B6" s="26">
        <v>46304</v>
      </c>
      <c r="E6" s="12" t="s">
        <v>83</v>
      </c>
      <c r="F6" s="27">
        <f>IF(AND(MONTH(B6)&gt;=6,MONTH(B6)&lt;=11),DATE(YEAR(B6),6,1),IF(MONTH(B6)=12,DATE(YEAR(B6),12,1),DATE(YEAR(B6)-1,12,1)))</f>
      </c>
    </row>
    <row r="7" spans="1:6" x14ac:dyDescent="0.25">
      <c r="A7" s="7" t="s">
        <v>84</v>
      </c>
      <c r="B7" s="15" t="s">
        <v>85</v>
      </c>
      <c r="E7" s="12" t="s">
        <v>86</v>
      </c>
      <c r="F7" s="27">
        <f>IF(AND(MONTH(B6)&gt;=6,MONTH(B6)&lt;=11),DATE(YEAR(B6),11,30),IF(MONTH(B6)=12,DATE(YEAR(B6)+1,5,31),DATE(YEAR(B6),5,31)))</f>
      </c>
    </row>
    <row r="8" ht="30" customHeight="1" spans="1:6" x14ac:dyDescent="0.25">
      <c r="A8" s="7" t="s">
        <v>56</v>
      </c>
      <c r="B8" s="8">
        <v>60000</v>
      </c>
      <c r="C8" s="9" t="s">
        <v>87</v>
      </c>
      <c r="E8" s="12" t="s">
        <v>88</v>
      </c>
      <c r="F8" s="22">
        <f>B6-MAX(F6,B5)+1</f>
      </c>
    </row>
    <row r="9" spans="1:6" x14ac:dyDescent="0.25">
      <c r="A9" s="7" t="s">
        <v>89</v>
      </c>
      <c r="B9" s="11">
        <v>0</v>
      </c>
      <c r="E9" s="12" t="s">
        <v>90</v>
      </c>
      <c r="F9" s="13">
        <f>ROUND(B8/2*F8/(F7-F6+1),2)</f>
      </c>
    </row>
    <row r="10" spans="1:2" x14ac:dyDescent="0.25">
      <c r="A10" s="7" t="s">
        <v>16</v>
      </c>
      <c r="B10" s="11">
        <v>0</v>
      </c>
    </row>
    <row r="11" ht="30" customHeight="1" spans="1:5" x14ac:dyDescent="0.25">
      <c r="A11" s="7" t="s">
        <v>21</v>
      </c>
      <c r="B11" s="15" t="s">
        <v>22</v>
      </c>
      <c r="C11" s="9" t="s">
        <v>91</v>
      </c>
      <c r="E11" s="10" t="s">
        <v>92</v>
      </c>
    </row>
    <row r="12" spans="5:6" x14ac:dyDescent="0.25">
      <c r="E12" s="12" t="s">
        <v>93</v>
      </c>
      <c r="F12" s="22">
        <f>B6-MAX(DATE(YEAR(B6),1,1),B5)+1</f>
      </c>
    </row>
    <row r="13" spans="1:6" x14ac:dyDescent="0.25">
      <c r="A13" s="6" t="s">
        <v>94</v>
      </c>
      <c r="B13" s="6"/>
      <c r="C13" s="6"/>
      <c r="E13" s="12" t="s">
        <v>64</v>
      </c>
      <c r="F13" s="22">
        <f>'Tablas oficiales'!$C$35+IF(MAX(0,YEAR(B6)-YEAR(B5)-IF(OR(MONTH(B6)&lt;MONTH(B5),AND(MONTH(B6)=MONTH(B5),DAY(B6)&lt;DAY(B5))),1,0))&gt;=5,INT(MAX(0,YEAR(B6)-YEAR(B5)-IF(OR(MONTH(B6)&lt;MONTH(B5),AND(MONTH(B6)=MONTH(B5),DAY(B6)&lt;DAY(B5))),1,0))/4),0)</f>
      </c>
    </row>
    <row r="14" spans="1:6" x14ac:dyDescent="0.25">
      <c r="A14" s="28">
        <f>IF(B6&lt;B5,"El último día de trabajo tiene que ser posterior al ingreso.","")</f>
      </c>
      <c r="B14" s="28"/>
      <c r="C14" s="28"/>
      <c r="E14" s="12" t="s">
        <v>95</v>
      </c>
      <c r="F14" s="23">
        <f>ROUND(F13*F12/(DATE(YEAR(B6),12,31)-DATE(YEAR(B6),1,1)+1),2)</f>
      </c>
    </row>
    <row r="15" spans="1:6" x14ac:dyDescent="0.25">
      <c r="A15" s="16" t="s">
        <v>96</v>
      </c>
      <c r="B15" s="17">
        <f>F9</f>
      </c>
      <c r="E15" s="12" t="s">
        <v>97</v>
      </c>
      <c r="F15" s="23">
        <f>ROUND(F14+B9,2)</f>
      </c>
    </row>
    <row r="16" spans="1:2" x14ac:dyDescent="0.25">
      <c r="A16" s="16" t="s">
        <v>95</v>
      </c>
      <c r="B16" s="25">
        <f>F14</f>
      </c>
    </row>
    <row r="17" spans="1:5" x14ac:dyDescent="0.25">
      <c r="A17" s="16" t="s">
        <v>97</v>
      </c>
      <c r="B17" s="25">
        <f>F15</f>
      </c>
      <c r="E17" s="10" t="s">
        <v>15</v>
      </c>
    </row>
    <row r="18" spans="1:6" x14ac:dyDescent="0.25">
      <c r="A18" s="16" t="s">
        <v>98</v>
      </c>
      <c r="B18" s="17">
        <f>F43</f>
      </c>
      <c r="E18" s="12" t="s">
        <v>17</v>
      </c>
      <c r="F18" s="13">
        <f>ROUND(MIN(B8,'Tablas oficiales'!$C$5)*'Tablas oficiales'!$C$6/100,2)</f>
      </c>
    </row>
    <row r="19" spans="1:6" x14ac:dyDescent="0.25">
      <c r="A19" s="16" t="s">
        <v>58</v>
      </c>
      <c r="B19" s="17">
        <f>F44</f>
      </c>
      <c r="E19" s="12" t="s">
        <v>20</v>
      </c>
      <c r="F19" s="14">
        <f>IF(B8&gt;'Tablas oficiales'!$C$7*'Tablas oficiales'!$C$4,IF(B11="Sí",IF((B10+0)&gt;0,'Tablas oficiales'!$C$11,'Tablas oficiales'!$C$10),IF((B10+0)&gt;0,'Tablas oficiales'!$C$9,'Tablas oficiales'!$C$8)),IF(B11="Sí",IF((B10+0)&gt;0,'Tablas oficiales'!$C$15,'Tablas oficiales'!$C$14),IF((B10+0)&gt;0,'Tablas oficiales'!$C$13,'Tablas oficiales'!$C$12)))</f>
      </c>
    </row>
    <row r="20" spans="1:6" x14ac:dyDescent="0.25">
      <c r="A20" s="16" t="s">
        <v>99</v>
      </c>
      <c r="B20" s="17">
        <f>F55</f>
      </c>
      <c r="E20" s="12" t="s">
        <v>24</v>
      </c>
      <c r="F20" s="13">
        <f>ROUND(B8*F19/100,2)</f>
      </c>
    </row>
    <row r="21" spans="1:6" x14ac:dyDescent="0.25">
      <c r="A21" s="19" t="s">
        <v>100</v>
      </c>
      <c r="B21" s="20">
        <f>ROUND(F9+F43+F44+F55,2)</f>
      </c>
      <c r="E21" s="12" t="s">
        <v>27</v>
      </c>
      <c r="F21" s="13">
        <f>ROUND(B8*'Tablas oficiales'!$C$16/100,2)</f>
      </c>
    </row>
    <row r="23" ht="36" customHeight="1" spans="1:5" x14ac:dyDescent="0.25">
      <c r="A23" s="4" t="s">
        <v>101</v>
      </c>
      <c r="B23" s="4"/>
      <c r="C23" s="4"/>
      <c r="E23" s="10" t="s">
        <v>29</v>
      </c>
    </row>
    <row r="24" spans="5:6" x14ac:dyDescent="0.25">
      <c r="E24" s="12" t="s">
        <v>31</v>
      </c>
      <c r="F24" s="13">
        <f>ROUND(IF(B8&gt;'Tablas oficiales'!$C$17*'Tablas oficiales'!$C$4,B8+B8*'Tablas oficiales'!$C$18/100,B8),2)</f>
      </c>
    </row>
    <row r="25" spans="1:6" x14ac:dyDescent="0.25">
      <c r="A25" s="6" t="s">
        <v>102</v>
      </c>
      <c r="B25" s="6"/>
      <c r="C25" s="6"/>
      <c r="E25" s="12" t="s">
        <v>33</v>
      </c>
      <c r="F25" s="13">
        <f>MAX(0,MIN(F24,'Tablas oficiales'!$C$21*'Tablas oficiales'!$C$4)-'Tablas oficiales'!$B$21*'Tablas oficiales'!$C$4)*'Tablas oficiales'!$D$21/100</f>
      </c>
    </row>
    <row r="26" spans="1:6" x14ac:dyDescent="0.25">
      <c r="A26" s="7" t="s">
        <v>103</v>
      </c>
      <c r="B26" s="15" t="s">
        <v>104</v>
      </c>
      <c r="E26" s="12" t="s">
        <v>34</v>
      </c>
      <c r="F26" s="13">
        <f>MAX(0,MIN(F24,'Tablas oficiales'!$C$22*'Tablas oficiales'!$C$4)-'Tablas oficiales'!$B$22*'Tablas oficiales'!$C$4)*'Tablas oficiales'!$D$22/100</f>
      </c>
    </row>
    <row r="27" ht="30" customHeight="1" spans="1:6" x14ac:dyDescent="0.25">
      <c r="A27" s="7" t="s">
        <v>105</v>
      </c>
      <c r="B27" s="8">
        <v>60000</v>
      </c>
      <c r="C27" s="9" t="s">
        <v>106</v>
      </c>
      <c r="E27" s="12" t="s">
        <v>36</v>
      </c>
      <c r="F27" s="13">
        <f>MAX(0,MIN(F24,'Tablas oficiales'!$C$23*'Tablas oficiales'!$C$4)-'Tablas oficiales'!$B$23*'Tablas oficiales'!$C$4)*'Tablas oficiales'!$D$23/100</f>
      </c>
    </row>
    <row r="28" ht="30" customHeight="1" spans="1:6" x14ac:dyDescent="0.25">
      <c r="A28" s="7" t="s">
        <v>107</v>
      </c>
      <c r="B28" s="15" t="s">
        <v>108</v>
      </c>
      <c r="C28" s="9" t="s">
        <v>109</v>
      </c>
      <c r="E28" s="12" t="s">
        <v>37</v>
      </c>
      <c r="F28" s="13">
        <f>MAX(0,MIN(F24,'Tablas oficiales'!$C$24*'Tablas oficiales'!$C$4)-'Tablas oficiales'!$B$24*'Tablas oficiales'!$C$4)*'Tablas oficiales'!$D$24/100</f>
      </c>
    </row>
    <row r="29" spans="1:6" x14ac:dyDescent="0.25">
      <c r="A29" s="7" t="s">
        <v>110</v>
      </c>
      <c r="B29" s="11">
        <v>0</v>
      </c>
      <c r="C29" s="9" t="s">
        <v>111</v>
      </c>
      <c r="E29" s="12" t="s">
        <v>38</v>
      </c>
      <c r="F29" s="13">
        <f>MAX(0,MIN(F24,'Tablas oficiales'!$C$25*'Tablas oficiales'!$C$4)-'Tablas oficiales'!$B$25*'Tablas oficiales'!$C$4)*'Tablas oficiales'!$D$25/100</f>
      </c>
    </row>
    <row r="30" spans="1:6" x14ac:dyDescent="0.25">
      <c r="A30" s="7" t="s">
        <v>112</v>
      </c>
      <c r="B30" s="11">
        <v>0</v>
      </c>
      <c r="C30" s="9" t="s">
        <v>113</v>
      </c>
      <c r="E30" s="12" t="s">
        <v>40</v>
      </c>
      <c r="F30" s="13">
        <f>MAX(0,MIN(F24,'Tablas oficiales'!$C$26*'Tablas oficiales'!$C$4)-'Tablas oficiales'!$B$26*'Tablas oficiales'!$C$4)*'Tablas oficiales'!$D$26/100</f>
      </c>
    </row>
    <row r="31" spans="1:6" x14ac:dyDescent="0.25">
      <c r="A31" s="16" t="s">
        <v>114</v>
      </c>
      <c r="B31" s="24">
        <f>IF(B26="Jornalero o destajista","",F59)</f>
      </c>
      <c r="E31" s="12" t="s">
        <v>42</v>
      </c>
      <c r="F31" s="13">
        <f>MAX(0,MIN(F24,'Tablas oficiales'!$C$27*'Tablas oficiales'!$C$4)-'Tablas oficiales'!$B$27*'Tablas oficiales'!$C$4)*'Tablas oficiales'!$D$27/100</f>
      </c>
    </row>
    <row r="32" spans="1:6" x14ac:dyDescent="0.25">
      <c r="A32" s="16" t="s">
        <v>115</v>
      </c>
      <c r="B32" s="24">
        <f>IF(B26="Jornalero o destajista","",F60)</f>
      </c>
      <c r="E32" s="12" t="s">
        <v>43</v>
      </c>
      <c r="F32" s="13">
        <f>MAX(0,MIN(F24,'Tablas oficiales'!$C$28*'Tablas oficiales'!$C$4)-'Tablas oficiales'!$B$28*'Tablas oficiales'!$C$4)*'Tablas oficiales'!$D$28/100</f>
      </c>
    </row>
    <row r="33" spans="1:6" x14ac:dyDescent="0.25">
      <c r="A33" s="16" t="s">
        <v>116</v>
      </c>
      <c r="B33" s="17">
        <f>IF(B26="Jornalero o destajista","",F64)</f>
      </c>
      <c r="E33" s="12" t="s">
        <v>45</v>
      </c>
      <c r="F33" s="13">
        <f>SUM(F25,F26,F27,F28,F29,F30,F31,F32)</f>
      </c>
    </row>
    <row r="34" spans="1:6" x14ac:dyDescent="0.25">
      <c r="A34" s="16" t="s">
        <v>117</v>
      </c>
      <c r="B34" s="25">
        <f>IF(B26="Jornalero o destajista",F70,"")</f>
      </c>
      <c r="E34" s="12" t="s">
        <v>46</v>
      </c>
      <c r="F34" s="13">
        <f>ROUND(F33,2)</f>
      </c>
    </row>
    <row r="35" spans="1:6" x14ac:dyDescent="0.25">
      <c r="A35" s="19" t="s">
        <v>99</v>
      </c>
      <c r="B35" s="20">
        <f>IF(B26="Jornalero o destajista",ROUND(F70*B27,2),F65)</f>
      </c>
      <c r="E35" s="12" t="s">
        <v>47</v>
      </c>
      <c r="F35" s="13">
        <f>ROUND((B10*'Tablas oficiales'!$C$30+0*'Tablas oficiales'!$C$31)*'Tablas oficiales'!$C$4*IF(FALSE(),0.5,1)/12,2)</f>
      </c>
    </row>
    <row r="36" spans="5:6" x14ac:dyDescent="0.25">
      <c r="E36" s="12" t="s">
        <v>48</v>
      </c>
      <c r="F36" s="13">
        <f>ROUND(F18+F20+F21+F35,2)</f>
      </c>
    </row>
    <row r="37" ht="36" customHeight="1" spans="1:6" x14ac:dyDescent="0.25">
      <c r="A37" s="4" t="s">
        <v>118</v>
      </c>
      <c r="B37" s="4"/>
      <c r="C37" s="4"/>
      <c r="E37" s="12" t="s">
        <v>49</v>
      </c>
      <c r="F37" s="14">
        <f>IF(B8&lt;='Tablas oficiales'!$C$32*'Tablas oficiales'!$C$4,'Tablas oficiales'!$C$33,'Tablas oficiales'!$C$34)</f>
      </c>
    </row>
    <row r="38" spans="5:6" x14ac:dyDescent="0.25">
      <c r="E38" s="12" t="s">
        <v>50</v>
      </c>
      <c r="F38" s="13">
        <f>ROUND(F36*F37/100,2)</f>
      </c>
    </row>
    <row r="39" spans="5:6" x14ac:dyDescent="0.25">
      <c r="E39" s="12" t="s">
        <v>29</v>
      </c>
      <c r="F39" s="13">
        <f>MAX(0,ROUND(F34-F38,2))</f>
      </c>
    </row>
    <row r="40" spans="5:6" x14ac:dyDescent="0.25">
      <c r="E40" s="12" t="s">
        <v>41</v>
      </c>
      <c r="F40" s="13">
        <f>ROUND(B8-F18-F20-F21-F39,2)</f>
      </c>
    </row>
    <row r="42" spans="5:5" x14ac:dyDescent="0.25">
      <c r="E42" s="10" t="s">
        <v>119</v>
      </c>
    </row>
    <row r="43" spans="5:6" x14ac:dyDescent="0.25">
      <c r="E43" s="12" t="s">
        <v>98</v>
      </c>
      <c r="F43" s="13">
        <f>ROUND(B8/30*F15,2)</f>
      </c>
    </row>
    <row r="44" spans="5:6" x14ac:dyDescent="0.25">
      <c r="E44" s="12" t="s">
        <v>58</v>
      </c>
      <c r="F44" s="13">
        <f>ROUND(F40/30*F15*'Tablas oficiales'!$C$36/100,2)</f>
      </c>
    </row>
    <row r="46" spans="5:5" x14ac:dyDescent="0.25">
      <c r="E46" s="10" t="s">
        <v>120</v>
      </c>
    </row>
    <row r="47" spans="5:6" x14ac:dyDescent="0.25">
      <c r="E47" s="12" t="s">
        <v>121</v>
      </c>
      <c r="F47" s="22">
        <f>MAX(0,YEAR(B6)-YEAR(B5)-IF(OR(MONTH(B6)&lt;MONTH(B5),AND(MONTH(B6)=MONTH(B5),DAY(B6)&lt;DAY(B5))),1,0))</f>
      </c>
    </row>
    <row r="48" spans="5:6" x14ac:dyDescent="0.25">
      <c r="E48" s="12" t="s">
        <v>114</v>
      </c>
      <c r="F48" s="22">
        <f>IF(IF(YEAR(B5)+F47&lt;YEAR(B6),TRUE(),MONTH(B5)*100+DAY(B5)&lt;MONTH(B6)*100+DAY(B6)),F47+1,MAX(F47,1))</f>
      </c>
    </row>
    <row r="49" spans="5:6" x14ac:dyDescent="0.25">
      <c r="E49" s="12" t="s">
        <v>122</v>
      </c>
      <c r="F49" s="22">
        <f>MIN('Tablas oficiales'!$C$37,F48)</f>
      </c>
    </row>
    <row r="50" spans="5:6" x14ac:dyDescent="0.25">
      <c r="E50" s="12" t="s">
        <v>64</v>
      </c>
      <c r="F50" s="22">
        <f>'Tablas oficiales'!$C$35+IF(F47&gt;=5,INT(F47/4),0)</f>
      </c>
    </row>
    <row r="51" spans="5:6" x14ac:dyDescent="0.25">
      <c r="E51" s="12" t="s">
        <v>123</v>
      </c>
      <c r="F51" s="13">
        <f>IF(TRUE(),ROUND(B8/12,2),0)</f>
      </c>
    </row>
    <row r="52" spans="5:6" x14ac:dyDescent="0.25">
      <c r="E52" s="12" t="s">
        <v>124</v>
      </c>
      <c r="F52" s="13">
        <f>IF(TRUE(),ROUND(B8/30*F50/12,2),0)</f>
      </c>
    </row>
    <row r="53" spans="5:6" x14ac:dyDescent="0.25">
      <c r="E53" s="12" t="s">
        <v>116</v>
      </c>
      <c r="F53" s="13">
        <f>ROUND(B8+F51+F52,2)</f>
      </c>
    </row>
    <row r="54" spans="5:6" x14ac:dyDescent="0.25">
      <c r="E54" s="12" t="s">
        <v>99</v>
      </c>
      <c r="F54" s="13">
        <f>ROUND(F53*F49,2)</f>
      </c>
    </row>
    <row r="55" spans="5:6" x14ac:dyDescent="0.25">
      <c r="E55" s="12" t="s">
        <v>125</v>
      </c>
      <c r="F55" s="13">
        <f>IF(B7="Despido",F54,0)</f>
      </c>
    </row>
    <row r="57" spans="5:5" x14ac:dyDescent="0.25">
      <c r="E57" s="10" t="s">
        <v>126</v>
      </c>
    </row>
    <row r="58" spans="5:6" x14ac:dyDescent="0.25">
      <c r="E58" s="12" t="s">
        <v>121</v>
      </c>
      <c r="F58" s="22">
        <f>MAX(0,YEAR(B6)-YEAR(B5)-IF(OR(MONTH(B6)&lt;MONTH(B5),AND(MONTH(B6)=MONTH(B5),DAY(B6)&lt;DAY(B5))),1,0))</f>
      </c>
    </row>
    <row r="59" spans="5:6" x14ac:dyDescent="0.25">
      <c r="E59" s="12" t="s">
        <v>114</v>
      </c>
      <c r="F59" s="22">
        <f>IF(IF(YEAR(B5)+F58&lt;YEAR(B6),TRUE(),MONTH(B5)*100+DAY(B5)&lt;MONTH(B6)*100+DAY(B6)),F58+1,MAX(F58,1))</f>
      </c>
    </row>
    <row r="60" spans="5:6" x14ac:dyDescent="0.25">
      <c r="E60" s="12" t="s">
        <v>122</v>
      </c>
      <c r="F60" s="22">
        <f>MIN('Tablas oficiales'!$C$37,F59)</f>
      </c>
    </row>
    <row r="61" spans="5:6" x14ac:dyDescent="0.25">
      <c r="E61" s="12" t="s">
        <v>64</v>
      </c>
      <c r="F61" s="22">
        <f>'Tablas oficiales'!$C$35+IF(F58&gt;=5,INT(F58/4),0)</f>
      </c>
    </row>
    <row r="62" spans="5:6" x14ac:dyDescent="0.25">
      <c r="E62" s="12" t="s">
        <v>123</v>
      </c>
      <c r="F62" s="13">
        <f>IF(B28="Sí",ROUND(B27/12,2),0)</f>
      </c>
    </row>
    <row r="63" spans="5:6" x14ac:dyDescent="0.25">
      <c r="E63" s="12" t="s">
        <v>124</v>
      </c>
      <c r="F63" s="13">
        <f>IF(B28="Sí",ROUND(B27/30*F61/12,2),0)</f>
      </c>
    </row>
    <row r="64" spans="5:6" x14ac:dyDescent="0.25">
      <c r="E64" s="12" t="s">
        <v>116</v>
      </c>
      <c r="F64" s="13">
        <f>ROUND(B27+F62+F63,2)</f>
      </c>
    </row>
    <row r="65" spans="5:6" x14ac:dyDescent="0.25">
      <c r="E65" s="12" t="s">
        <v>99</v>
      </c>
      <c r="F65" s="13">
        <f>ROUND(F64*F60,2)</f>
      </c>
    </row>
    <row r="67" spans="5:5" x14ac:dyDescent="0.25">
      <c r="E67" s="10" t="s">
        <v>127</v>
      </c>
    </row>
    <row r="68" spans="5:6" x14ac:dyDescent="0.25">
      <c r="E68" s="12" t="s">
        <v>128</v>
      </c>
      <c r="F68" s="23">
        <f>B29*'Tablas oficiales'!$C$38+B30*2/25</f>
      </c>
    </row>
    <row r="69" spans="5:6" x14ac:dyDescent="0.25">
      <c r="E69" s="12" t="s">
        <v>129</v>
      </c>
      <c r="F69" s="29">
        <f>IF(B29*240+B30&gt;=100,"Sí","No")</f>
      </c>
    </row>
    <row r="70" spans="5:6" x14ac:dyDescent="0.25">
      <c r="E70" s="12" t="s">
        <v>117</v>
      </c>
      <c r="F70" s="23">
        <f>IF(F69="Sí",ROUND(MIN('Tablas oficiales'!$C$39,F68),2),0)</f>
      </c>
    </row>
  </sheetData>
  <mergeCells count="8">
    <mergeCell ref="A1:C1"/>
    <mergeCell ref="E3:F3"/>
    <mergeCell ref="A4:C4"/>
    <mergeCell ref="A13:C13"/>
    <mergeCell ref="A14:C14"/>
    <mergeCell ref="A23:C23"/>
    <mergeCell ref="A25:C25"/>
    <mergeCell ref="A37:C37"/>
  </mergeCells>
  <dataValidations count="11">
    <dataValidation type="whole" allowBlank="1" showErrorMessage="1" error="Escribe un número entre 0 y 15." sqref="B10">
      <formula1>0</formula1>
      <formula2>15</formula2>
    </dataValidation>
    <dataValidation type="list" showErrorMessage="1" error="Elige una opción de la lista." sqref="B11">
      <formula1>"Sí,No"</formula1>
    </dataValidation>
    <dataValidation type="list" showErrorMessage="1" error="Elige una opción de la lista." sqref="B26">
      <formula1>"Mensual,Jornalero o destajista"</formula1>
    </dataValidation>
    <dataValidation type="decimal" allowBlank="1" showErrorMessage="1" error="Escribe un número mayor o igual a 0." sqref="B27">
      <formula1>0</formula1>
      <formula2>1000000000000</formula2>
    </dataValidation>
    <dataValidation type="list" showErrorMessage="1" error="Elige una opción de la lista." sqref="B28">
      <formula1>"Sí,No"</formula1>
    </dataValidation>
    <dataValidation type="whole" allowBlank="1" showErrorMessage="1" error="Escribe un número entre 0 y 60." sqref="B29">
      <formula1>0</formula1>
      <formula2>60</formula2>
    </dataValidation>
    <dataValidation type="whole" allowBlank="1" showErrorMessage="1" error="Escribe un número entre 0 y 20000." sqref="B30">
      <formula1>0</formula1>
      <formula2>20000</formula2>
    </dataValidation>
    <dataValidation type="date" operator="greaterThan" allowBlank="1" showErrorMessage="1" error="Escribe una fecha como dd/mm/aaaa." sqref="B5:B6">
      <formula1>18264</formula1>
    </dataValidation>
    <dataValidation type="list" showErrorMessage="1" error="Elige una opción de la lista." sqref="B7">
      <formula1>"Renuncia,Despido"</formula1>
    </dataValidation>
    <dataValidation type="decimal" allowBlank="1" showErrorMessage="1" error="Escribe un número mayor o igual a 0." sqref="B8">
      <formula1>0</formula1>
      <formula2>1000000000000</formula2>
    </dataValidation>
    <dataValidation type="whole" allowBlank="1" showErrorMessage="1" error="Escribe un número entre 0 y 120." sqref="B9">
      <formula1>0</formula1>
      <formula2>120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30" t="s">
        <v>130</v>
      </c>
      <c r="B1" s="30"/>
      <c r="C1" s="30"/>
      <c r="D1" s="30"/>
      <c r="E1" s="30"/>
      <c r="F1" s="30"/>
      <c r="G1" s="30"/>
    </row>
    <row r="2" ht="30" customHeight="1" spans="1:7" x14ac:dyDescent="0.25">
      <c r="A2" s="4" t="s">
        <v>131</v>
      </c>
      <c r="B2" s="4"/>
      <c r="C2" s="4"/>
      <c r="D2" s="4"/>
      <c r="E2" s="4"/>
      <c r="F2" s="4"/>
      <c r="G2" s="4"/>
    </row>
    <row r="3" spans="1:7" x14ac:dyDescent="0.25">
      <c r="A3" s="31" t="s">
        <v>132</v>
      </c>
      <c r="B3" s="31" t="s">
        <v>133</v>
      </c>
      <c r="C3" s="31" t="s">
        <v>134</v>
      </c>
      <c r="D3" s="31" t="s">
        <v>135</v>
      </c>
      <c r="E3" s="31" t="s">
        <v>136</v>
      </c>
      <c r="F3" s="31" t="s">
        <v>137</v>
      </c>
      <c r="G3" s="31" t="s">
        <v>138</v>
      </c>
    </row>
    <row r="4" spans="1:7" x14ac:dyDescent="0.25">
      <c r="A4" s="32" t="s">
        <v>139</v>
      </c>
      <c r="B4" s="32" t="s">
        <v>140</v>
      </c>
      <c r="C4" s="33">
        <v>6864</v>
      </c>
      <c r="D4" s="32" t="s">
        <v>141</v>
      </c>
      <c r="E4" s="32" t="s">
        <v>142</v>
      </c>
      <c r="F4" s="34" t="s">
        <v>143</v>
      </c>
      <c r="G4" s="32" t="s">
        <v>144</v>
      </c>
    </row>
    <row r="5" spans="1:7" x14ac:dyDescent="0.25">
      <c r="A5" s="35" t="s">
        <v>145</v>
      </c>
      <c r="B5" s="35" t="s">
        <v>140</v>
      </c>
      <c r="C5" s="36">
        <v>288836</v>
      </c>
      <c r="D5" s="35" t="s">
        <v>141</v>
      </c>
      <c r="E5" s="35" t="s">
        <v>146</v>
      </c>
      <c r="F5" s="37" t="s">
        <v>147</v>
      </c>
      <c r="G5" s="35" t="s">
        <v>144</v>
      </c>
    </row>
    <row r="6" spans="1:7" x14ac:dyDescent="0.25">
      <c r="A6" s="32" t="s">
        <v>148</v>
      </c>
      <c r="B6" s="32" t="s">
        <v>140</v>
      </c>
      <c r="C6" s="38">
        <v>15</v>
      </c>
      <c r="D6" s="32" t="s">
        <v>149</v>
      </c>
      <c r="E6" s="32" t="s">
        <v>142</v>
      </c>
      <c r="F6" s="34" t="s">
        <v>150</v>
      </c>
      <c r="G6" s="32" t="s">
        <v>144</v>
      </c>
    </row>
    <row r="7" spans="1:7" x14ac:dyDescent="0.25">
      <c r="A7" s="35" t="s">
        <v>151</v>
      </c>
      <c r="B7" s="35" t="s">
        <v>140</v>
      </c>
      <c r="C7" s="39">
        <v>2.5</v>
      </c>
      <c r="D7" s="35" t="s">
        <v>152</v>
      </c>
      <c r="E7" s="35" t="s">
        <v>142</v>
      </c>
      <c r="F7" s="37" t="s">
        <v>153</v>
      </c>
      <c r="G7" s="35" t="s">
        <v>144</v>
      </c>
    </row>
    <row r="8" spans="1:7" x14ac:dyDescent="0.25">
      <c r="A8" s="32" t="s">
        <v>154</v>
      </c>
      <c r="B8" s="32" t="s">
        <v>155</v>
      </c>
      <c r="C8" s="38">
        <v>4.5</v>
      </c>
      <c r="D8" s="32" t="s">
        <v>149</v>
      </c>
      <c r="E8" s="32" t="s">
        <v>142</v>
      </c>
      <c r="F8" s="34" t="s">
        <v>153</v>
      </c>
      <c r="G8" s="32" t="s">
        <v>144</v>
      </c>
    </row>
    <row r="9" spans="1:7" x14ac:dyDescent="0.25">
      <c r="A9" s="35" t="s">
        <v>154</v>
      </c>
      <c r="B9" s="35" t="s">
        <v>156</v>
      </c>
      <c r="C9" s="39">
        <v>6</v>
      </c>
      <c r="D9" s="35" t="s">
        <v>149</v>
      </c>
      <c r="E9" s="35" t="s">
        <v>142</v>
      </c>
      <c r="F9" s="37" t="s">
        <v>153</v>
      </c>
      <c r="G9" s="35" t="s">
        <v>144</v>
      </c>
    </row>
    <row r="10" spans="1:7" x14ac:dyDescent="0.25">
      <c r="A10" s="32" t="s">
        <v>154</v>
      </c>
      <c r="B10" s="32" t="s">
        <v>157</v>
      </c>
      <c r="C10" s="38">
        <v>6.5</v>
      </c>
      <c r="D10" s="32" t="s">
        <v>149</v>
      </c>
      <c r="E10" s="32" t="s">
        <v>142</v>
      </c>
      <c r="F10" s="34" t="s">
        <v>153</v>
      </c>
      <c r="G10" s="32" t="s">
        <v>144</v>
      </c>
    </row>
    <row r="11" spans="1:7" x14ac:dyDescent="0.25">
      <c r="A11" s="35" t="s">
        <v>154</v>
      </c>
      <c r="B11" s="35" t="s">
        <v>158</v>
      </c>
      <c r="C11" s="39">
        <v>8</v>
      </c>
      <c r="D11" s="35" t="s">
        <v>149</v>
      </c>
      <c r="E11" s="35" t="s">
        <v>142</v>
      </c>
      <c r="F11" s="37" t="s">
        <v>153</v>
      </c>
      <c r="G11" s="35" t="s">
        <v>144</v>
      </c>
    </row>
    <row r="12" spans="1:7" x14ac:dyDescent="0.25">
      <c r="A12" s="32" t="s">
        <v>159</v>
      </c>
      <c r="B12" s="32" t="s">
        <v>155</v>
      </c>
      <c r="C12" s="38">
        <v>3</v>
      </c>
      <c r="D12" s="32" t="s">
        <v>149</v>
      </c>
      <c r="E12" s="32" t="s">
        <v>142</v>
      </c>
      <c r="F12" s="34" t="s">
        <v>153</v>
      </c>
      <c r="G12" s="32" t="s">
        <v>144</v>
      </c>
    </row>
    <row r="13" spans="1:7" x14ac:dyDescent="0.25">
      <c r="A13" s="35" t="s">
        <v>159</v>
      </c>
      <c r="B13" s="35" t="s">
        <v>156</v>
      </c>
      <c r="C13" s="39">
        <v>3</v>
      </c>
      <c r="D13" s="35" t="s">
        <v>149</v>
      </c>
      <c r="E13" s="35" t="s">
        <v>142</v>
      </c>
      <c r="F13" s="37" t="s">
        <v>153</v>
      </c>
      <c r="G13" s="35" t="s">
        <v>144</v>
      </c>
    </row>
    <row r="14" spans="1:7" x14ac:dyDescent="0.25">
      <c r="A14" s="32" t="s">
        <v>159</v>
      </c>
      <c r="B14" s="32" t="s">
        <v>157</v>
      </c>
      <c r="C14" s="38">
        <v>5</v>
      </c>
      <c r="D14" s="32" t="s">
        <v>149</v>
      </c>
      <c r="E14" s="32" t="s">
        <v>142</v>
      </c>
      <c r="F14" s="34" t="s">
        <v>153</v>
      </c>
      <c r="G14" s="32" t="s">
        <v>144</v>
      </c>
    </row>
    <row r="15" spans="1:7" x14ac:dyDescent="0.25">
      <c r="A15" s="35" t="s">
        <v>159</v>
      </c>
      <c r="B15" s="35" t="s">
        <v>158</v>
      </c>
      <c r="C15" s="39">
        <v>5</v>
      </c>
      <c r="D15" s="35" t="s">
        <v>149</v>
      </c>
      <c r="E15" s="35" t="s">
        <v>142</v>
      </c>
      <c r="F15" s="37" t="s">
        <v>153</v>
      </c>
      <c r="G15" s="35" t="s">
        <v>144</v>
      </c>
    </row>
    <row r="16" spans="1:7" x14ac:dyDescent="0.25">
      <c r="A16" s="32" t="s">
        <v>160</v>
      </c>
      <c r="B16" s="32" t="s">
        <v>140</v>
      </c>
      <c r="C16" s="38">
        <v>0.1</v>
      </c>
      <c r="D16" s="32" t="s">
        <v>149</v>
      </c>
      <c r="E16" s="32" t="s">
        <v>142</v>
      </c>
      <c r="F16" s="34" t="s">
        <v>161</v>
      </c>
      <c r="G16" s="32" t="s">
        <v>144</v>
      </c>
    </row>
    <row r="17" spans="1:7" x14ac:dyDescent="0.25">
      <c r="A17" s="35" t="s">
        <v>162</v>
      </c>
      <c r="B17" s="35" t="s">
        <v>140</v>
      </c>
      <c r="C17" s="39">
        <v>10</v>
      </c>
      <c r="D17" s="35" t="s">
        <v>152</v>
      </c>
      <c r="E17" s="35" t="s">
        <v>142</v>
      </c>
      <c r="F17" s="37" t="s">
        <v>163</v>
      </c>
      <c r="G17" s="35" t="s">
        <v>144</v>
      </c>
    </row>
    <row r="18" spans="1:7" x14ac:dyDescent="0.25">
      <c r="A18" s="32" t="s">
        <v>164</v>
      </c>
      <c r="B18" s="32" t="s">
        <v>140</v>
      </c>
      <c r="C18" s="38">
        <v>6</v>
      </c>
      <c r="D18" s="32" t="s">
        <v>149</v>
      </c>
      <c r="E18" s="32" t="s">
        <v>142</v>
      </c>
      <c r="F18" s="34" t="s">
        <v>163</v>
      </c>
      <c r="G18" s="32" t="s">
        <v>144</v>
      </c>
    </row>
    <row r="19" spans="1:7" x14ac:dyDescent="0.25">
      <c r="A19" s="40" t="s">
        <v>165</v>
      </c>
      <c r="B19" s="41"/>
      <c r="C19" s="41"/>
      <c r="D19" s="41" t="s">
        <v>152</v>
      </c>
      <c r="E19" s="41" t="s">
        <v>142</v>
      </c>
      <c r="F19" s="42" t="s">
        <v>163</v>
      </c>
      <c r="G19" s="41" t="s">
        <v>144</v>
      </c>
    </row>
    <row r="20" spans="2:5" x14ac:dyDescent="0.25">
      <c r="B20" s="43" t="s">
        <v>166</v>
      </c>
      <c r="C20" s="43" t="s">
        <v>167</v>
      </c>
      <c r="D20" s="43" t="s">
        <v>168</v>
      </c>
      <c r="E20" s="43" t="s">
        <v>169</v>
      </c>
    </row>
    <row r="21" spans="2:5" x14ac:dyDescent="0.25">
      <c r="B21" s="44">
        <v>0</v>
      </c>
      <c r="C21" s="45">
        <v>7</v>
      </c>
      <c r="D21" s="46">
        <v>0</v>
      </c>
      <c r="E21" s="44">
        <v>0</v>
      </c>
    </row>
    <row r="22" spans="2:5" x14ac:dyDescent="0.25">
      <c r="B22" s="44">
        <v>7</v>
      </c>
      <c r="C22" s="45">
        <v>10</v>
      </c>
      <c r="D22" s="46">
        <v>10</v>
      </c>
      <c r="E22" s="44">
        <v>0</v>
      </c>
    </row>
    <row r="23" spans="2:5" x14ac:dyDescent="0.25">
      <c r="B23" s="44">
        <v>10</v>
      </c>
      <c r="C23" s="45">
        <v>15</v>
      </c>
      <c r="D23" s="46">
        <v>15</v>
      </c>
      <c r="E23" s="44">
        <v>0</v>
      </c>
    </row>
    <row r="24" spans="2:5" x14ac:dyDescent="0.25">
      <c r="B24" s="44">
        <v>15</v>
      </c>
      <c r="C24" s="45">
        <v>30</v>
      </c>
      <c r="D24" s="46">
        <v>24</v>
      </c>
      <c r="E24" s="44">
        <v>0</v>
      </c>
    </row>
    <row r="25" spans="2:5" x14ac:dyDescent="0.25">
      <c r="B25" s="44">
        <v>30</v>
      </c>
      <c r="C25" s="45">
        <v>50</v>
      </c>
      <c r="D25" s="46">
        <v>25</v>
      </c>
      <c r="E25" s="44">
        <v>0</v>
      </c>
    </row>
    <row r="26" spans="2:5" x14ac:dyDescent="0.25">
      <c r="B26" s="44">
        <v>50</v>
      </c>
      <c r="C26" s="45">
        <v>75</v>
      </c>
      <c r="D26" s="46">
        <v>27</v>
      </c>
      <c r="E26" s="44">
        <v>0</v>
      </c>
    </row>
    <row r="27" spans="2:5" x14ac:dyDescent="0.25">
      <c r="B27" s="44">
        <v>75</v>
      </c>
      <c r="C27" s="45">
        <v>115</v>
      </c>
      <c r="D27" s="46">
        <v>31</v>
      </c>
      <c r="E27" s="44">
        <v>0</v>
      </c>
    </row>
    <row r="28" spans="2:5" x14ac:dyDescent="0.25">
      <c r="B28" s="44">
        <v>115</v>
      </c>
      <c r="C28" s="45">
        <v>1000000000000000</v>
      </c>
      <c r="D28" s="46">
        <v>36</v>
      </c>
      <c r="E28" s="44">
        <v>0</v>
      </c>
    </row>
    <row r="30" spans="1:7" x14ac:dyDescent="0.25">
      <c r="A30" s="35" t="s">
        <v>170</v>
      </c>
      <c r="B30" s="35" t="s">
        <v>140</v>
      </c>
      <c r="C30" s="39">
        <v>20</v>
      </c>
      <c r="D30" s="35" t="s">
        <v>152</v>
      </c>
      <c r="E30" s="35" t="s">
        <v>142</v>
      </c>
      <c r="F30" s="37" t="s">
        <v>171</v>
      </c>
      <c r="G30" s="35" t="s">
        <v>144</v>
      </c>
    </row>
    <row r="31" spans="1:7" x14ac:dyDescent="0.25">
      <c r="A31" s="32" t="s">
        <v>172</v>
      </c>
      <c r="B31" s="32" t="s">
        <v>140</v>
      </c>
      <c r="C31" s="38">
        <v>40</v>
      </c>
      <c r="D31" s="32" t="s">
        <v>152</v>
      </c>
      <c r="E31" s="32" t="s">
        <v>142</v>
      </c>
      <c r="F31" s="34" t="s">
        <v>171</v>
      </c>
      <c r="G31" s="32" t="s">
        <v>144</v>
      </c>
    </row>
    <row r="32" spans="1:7" x14ac:dyDescent="0.25">
      <c r="A32" s="35" t="s">
        <v>173</v>
      </c>
      <c r="B32" s="35" t="s">
        <v>140</v>
      </c>
      <c r="C32" s="39">
        <v>15</v>
      </c>
      <c r="D32" s="35" t="s">
        <v>152</v>
      </c>
      <c r="E32" s="35" t="s">
        <v>142</v>
      </c>
      <c r="F32" s="37" t="s">
        <v>163</v>
      </c>
      <c r="G32" s="35" t="s">
        <v>144</v>
      </c>
    </row>
    <row r="33" spans="1:7" x14ac:dyDescent="0.25">
      <c r="A33" s="32" t="s">
        <v>174</v>
      </c>
      <c r="B33" s="32" t="s">
        <v>140</v>
      </c>
      <c r="C33" s="38">
        <v>14</v>
      </c>
      <c r="D33" s="32" t="s">
        <v>149</v>
      </c>
      <c r="E33" s="32" t="s">
        <v>142</v>
      </c>
      <c r="F33" s="34" t="s">
        <v>163</v>
      </c>
      <c r="G33" s="32" t="s">
        <v>144</v>
      </c>
    </row>
    <row r="34" spans="1:7" x14ac:dyDescent="0.25">
      <c r="A34" s="35" t="s">
        <v>175</v>
      </c>
      <c r="B34" s="35" t="s">
        <v>140</v>
      </c>
      <c r="C34" s="39">
        <v>8</v>
      </c>
      <c r="D34" s="35" t="s">
        <v>149</v>
      </c>
      <c r="E34" s="35" t="s">
        <v>142</v>
      </c>
      <c r="F34" s="37" t="s">
        <v>163</v>
      </c>
      <c r="G34" s="35" t="s">
        <v>144</v>
      </c>
    </row>
    <row r="35" spans="1:7" x14ac:dyDescent="0.25">
      <c r="A35" s="32" t="s">
        <v>176</v>
      </c>
      <c r="B35" s="32" t="s">
        <v>140</v>
      </c>
      <c r="C35" s="38">
        <v>20</v>
      </c>
      <c r="D35" s="32" t="s">
        <v>177</v>
      </c>
      <c r="E35" s="32" t="s">
        <v>142</v>
      </c>
      <c r="F35" s="34" t="s">
        <v>178</v>
      </c>
      <c r="G35" s="32" t="s">
        <v>144</v>
      </c>
    </row>
    <row r="36" spans="1:7" x14ac:dyDescent="0.25">
      <c r="A36" s="35" t="s">
        <v>179</v>
      </c>
      <c r="B36" s="35" t="s">
        <v>140</v>
      </c>
      <c r="C36" s="39">
        <v>100</v>
      </c>
      <c r="D36" s="35" t="s">
        <v>149</v>
      </c>
      <c r="E36" s="35" t="s">
        <v>142</v>
      </c>
      <c r="F36" s="37" t="s">
        <v>180</v>
      </c>
      <c r="G36" s="35" t="s">
        <v>144</v>
      </c>
    </row>
    <row r="37" spans="1:7" x14ac:dyDescent="0.25">
      <c r="A37" s="32" t="s">
        <v>181</v>
      </c>
      <c r="B37" s="32" t="s">
        <v>140</v>
      </c>
      <c r="C37" s="38">
        <v>6</v>
      </c>
      <c r="D37" s="32" t="s">
        <v>182</v>
      </c>
      <c r="E37" s="32" t="s">
        <v>142</v>
      </c>
      <c r="F37" s="34" t="s">
        <v>183</v>
      </c>
      <c r="G37" s="32" t="s">
        <v>144</v>
      </c>
    </row>
    <row r="38" spans="1:7" x14ac:dyDescent="0.25">
      <c r="A38" s="35" t="s">
        <v>184</v>
      </c>
      <c r="B38" s="35" t="s">
        <v>140</v>
      </c>
      <c r="C38" s="39">
        <v>25</v>
      </c>
      <c r="D38" s="35" t="s">
        <v>177</v>
      </c>
      <c r="E38" s="35" t="s">
        <v>142</v>
      </c>
      <c r="F38" s="37" t="s">
        <v>185</v>
      </c>
      <c r="G38" s="35" t="s">
        <v>144</v>
      </c>
    </row>
    <row r="39" spans="1:7" x14ac:dyDescent="0.25">
      <c r="A39" s="32" t="s">
        <v>186</v>
      </c>
      <c r="B39" s="32" t="s">
        <v>140</v>
      </c>
      <c r="C39" s="38">
        <v>150</v>
      </c>
      <c r="D39" s="32" t="s">
        <v>177</v>
      </c>
      <c r="E39" s="32" t="s">
        <v>142</v>
      </c>
      <c r="F39" s="34" t="s">
        <v>187</v>
      </c>
      <c r="G39" s="32" t="s">
        <v>144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30" r:id="rId17"/>
    <hyperlink ref="F31" r:id="rId18"/>
    <hyperlink ref="F32" r:id="rId19"/>
    <hyperlink ref="F33" r:id="rId20"/>
    <hyperlink ref="F34" r:id="rId21"/>
    <hyperlink ref="F35" r:id="rId22"/>
    <hyperlink ref="F36" r:id="rId23"/>
    <hyperlink ref="F37" r:id="rId24"/>
    <hyperlink ref="F38" r:id="rId25"/>
    <hyperlink ref="F39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Sueldo líquido</vt:lpstr>
      <vt:lpstr>Aguinaldo y vacacional</vt:lpstr>
      <vt:lpstr>Liquidación por egreso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sueldo y liquidación Uruguay 2026</dc:title>
  <dc:subject/>
  <dc:description/>
  <cp:keywords/>
  <cp:category/>
  <cp:lastModifiedBy>Unknown</cp:lastModifiedBy>
  <dcterms:created xsi:type="dcterms:W3CDTF">2026-10-09T12:00:00Z</dcterms:created>
  <dcterms:modified xsi:type="dcterms:W3CDTF">2026-10-09T12:00:00Z</dcterms:modified>
</cp:coreProperties>
</file>