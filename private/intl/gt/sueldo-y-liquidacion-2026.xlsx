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ISR de su salario" state="visible" r:id="rId5"/>
    <sheet sheetId="3" name="Aguinaldo y Bono 14" state="visible" r:id="rId6"/>
    <sheet sheetId="4" name="Indemnización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<sst xmlns="http://schemas.openxmlformats.org/spreadsheetml/2006/main" count="162" uniqueCount="115">
  <si>
    <t>Planilla de salario y prestaciones Guatemala 2026</t>
  </si>
  <si>
    <t>Las celdas amarillas son para sus datos. Las verdes se calculan solas, con las fórmulas de la ley. A la derecha de cada hoja está el paso a paso de la cuenta.</t>
  </si>
  <si>
    <t>«ISR de su salario»: pone su salario, bonificaciones e IGSS, y le dice el ISR del año y la retención de cada mes.</t>
  </si>
  <si>
    <t>«Aguinaldo y Bono 14»: calcula el aguinaldo de diciembre y enero y el Bono 14 de julio, completos o proporcionales si dejó de trabajar.</t>
  </si>
  <si>
    <t>«Indemnización»: pone sus fechas, su salario promedio y cómo terminó la relación, y le dice la indemnización, el aguinaldo, el Bono 14 y las vacaciones.</t>
  </si>
  <si>
    <t>«Tablas oficiales» tiene cada valor oficial que usan las fórmulas, con el enlace a su fuente y la fecha en que lo verificamos. Los valores son los vigentes al 8/10/2026.</t>
  </si>
  <si>
    <t>Cuando cambia un valor oficial, actualizamos la planilla y el mismo enlace de descarga le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</si>
  <si>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</si>
  <si>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asesoría legal. Su contrato o su empresa pueden darle más que el mínimo de ley.</t>
  </si>
  <si>
    <t>Las fechas van como dd/mm/aaaa. Si su Excel está en inglés y las lee al revés, escríbalas como aaaa-mm-dd.</t>
  </si>
  <si>
    <t>ISR de rentas del trabajo</t>
  </si>
  <si>
    <t>Paso a paso</t>
  </si>
  <si>
    <t>SUS DATOS</t>
  </si>
  <si>
    <t>Renta del año</t>
  </si>
  <si>
    <t>Salario mensual</t>
  </si>
  <si>
    <t>Su salario ordinario más horas extra, comisiones y otros pagos fijos del mes.</t>
  </si>
  <si>
    <t>Deducciones del año</t>
  </si>
  <si>
    <t>Bonificaciones mensuales</t>
  </si>
  <si>
    <t>La bonificación incentivo y otras bonificaciones. Pagan ISR aunque no paguen IGSS.</t>
  </si>
  <si>
    <t>Renta imponible</t>
  </si>
  <si>
    <t>Descuento mensual del IGSS</t>
  </si>
  <si>
    <t>Cópielo de su recibo de pago o boleta.</t>
  </si>
  <si>
    <t>ISR del año</t>
  </si>
  <si>
    <t>Meses que va a trabajar este año</t>
  </si>
  <si>
    <t>IVA de sus facturas del año (planilla del IVA)</t>
  </si>
  <si>
    <t>El IVA de sus compras personales con factura a su NIT. Déjelo en cero si no presenta la planilla.</t>
  </si>
  <si>
    <t>SU ISR</t>
  </si>
  <si>
    <t>Retención de cada mes</t>
  </si>
  <si>
    <t>El aguinaldo y el Bono 14 no pagan ISR (hasta un salario cada uno), por eso no se suman. La planilla del IVA tiene un tope.</t>
  </si>
  <si>
    <t>Aguinaldo y Bono 14</t>
  </si>
  <si>
    <t>Aguinaldo: cierre del período</t>
  </si>
  <si>
    <t>Salario ordinario mensual</t>
  </si>
  <si>
    <t>Sin la bonificación incentivo ni horas extra.</t>
  </si>
  <si>
    <t>Aguinaldo: días del período</t>
  </si>
  <si>
    <t>Fecha en que empezó a trabajar</t>
  </si>
  <si>
    <t>Aguinaldo</t>
  </si>
  <si>
    <t>Último día de trabajo (opcional)</t>
  </si>
  <si>
    <t>Solo si dejó de trabajar.</t>
  </si>
  <si>
    <t>Aguinaldo en diciembre</t>
  </si>
  <si>
    <t>Fecha de hoy</t>
  </si>
  <si>
    <t>Se llena sola. Sirve para saber qué período se paga.</t>
  </si>
  <si>
    <t>Bono 14: cierre del período</t>
  </si>
  <si>
    <t>Bono 14: días del período</t>
  </si>
  <si>
    <t>AGUINALDO</t>
  </si>
  <si>
    <t>Qué quiere calcular</t>
  </si>
  <si>
    <t>El aguinaldo de diciembre y enero</t>
  </si>
  <si>
    <t>Días que cuentan</t>
  </si>
  <si>
    <t>Se paga en diciembre</t>
  </si>
  <si>
    <t>Se paga en enero</t>
  </si>
  <si>
    <t>El aguinaldo es un salario por año, del 1 de diciembre al 30 de noviembre. La mitad se paga en la primera quincena de diciembre y el resto en la segunda de enero.</t>
  </si>
  <si>
    <t>BONO 14</t>
  </si>
  <si>
    <t>El Bono 14 que se paga en julio</t>
  </si>
  <si>
    <t>Bono 14</t>
  </si>
  <si>
    <t>El Bono 14 es un salario por año, del 1 de julio al 30 de junio, y se paga en la primera quincena de julio.</t>
  </si>
  <si>
    <t>Indemnización y prestaciones al terminar</t>
  </si>
  <si>
    <t>Indemnización</t>
  </si>
  <si>
    <t>Último día de trabajo</t>
  </si>
  <si>
    <t>Días de servicio</t>
  </si>
  <si>
    <t>Cómo terminó la relación laboral</t>
  </si>
  <si>
    <t>Lo despidieron sin causa justa</t>
  </si>
  <si>
    <t>Salario indemnizable (con un sexto de aguinaldo y Bono 14)</t>
  </si>
  <si>
    <t>Promedio de su salario de los últimos seis meses</t>
  </si>
  <si>
    <t>Con horas extra y sin la bonificación incentivo. Sume los seis meses y divida entre seis.</t>
  </si>
  <si>
    <t>Días de vacaciones de años anteriores que no gozó</t>
  </si>
  <si>
    <t>Prestaciones proporcionales</t>
  </si>
  <si>
    <t>SU LIQUIDACIÓN</t>
  </si>
  <si>
    <t>Aguinaldo proporcional</t>
  </si>
  <si>
    <t>Salario indemnizable</t>
  </si>
  <si>
    <t>Bono 14 proporcional</t>
  </si>
  <si>
    <t>Indemnización por tiempo servido</t>
  </si>
  <si>
    <t>Años cumplidos</t>
  </si>
  <si>
    <t>Días desde el último aniversario</t>
  </si>
  <si>
    <t>Días de vacaciones</t>
  </si>
  <si>
    <t>Días de vacaciones a pagar</t>
  </si>
  <si>
    <t>Vacaciones</t>
  </si>
  <si>
    <t>Total</t>
  </si>
  <si>
    <t>La indemnización se calcula con su promedio más la sexta parte del aguinaldo y del Bono 14, como se aplica en la práctica. Si renunció o lo despidieron con causa justa, no hay indemnización, pero sí las prestaciones.</t>
  </si>
  <si>
    <t>Tablas oficiales de Guatemala</t>
  </si>
  <si>
    <t>Son los valores que usan las fórmulas de esta planilla, vigentes al 8/10/2026.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</si>
  <si>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</si>
  <si>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</si>
  <si>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</si>
  <si>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</si>
  <si>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</si>
  <si>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</si>
  <si>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</si>
  <si>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Deducción anual por gastos personales sin comprobar</t>
  </si>
  <si>
    <t/>
  </si>
  <si>
    <t>GTQ</t>
  </si>
  <si>
    <t>1/1/2013</t>
  </si>
  <si>
    <t>https://www.congreso.gob.gt/assets/uploads/info_legislativo/decretos/2012/010-2012.pdf</t>
  </si>
  <si>
    <t>7/10/2026</t>
  </si>
  <si>
    <t>Deducción extraordinaria del ISR de 2026</t>
  </si>
  <si>
    <t>23/5/2026</t>
  </si>
  <si>
    <t>https://www.congreso.gob.gt/assets/uploads/info_legislativo/decretos/3bcf4-13-2026.pdf</t>
  </si>
  <si>
    <t>Crédito máximo por la planilla del IVA</t>
  </si>
  <si>
    <t>ISR de rentas del trabajo: escala anual</t>
  </si>
  <si>
    <t>Desde</t>
  </si>
  <si>
    <t>Hasta</t>
  </si>
  <si>
    <t>Tasa %</t>
  </si>
  <si>
    <t>Cuota fija</t>
  </si>
  <si>
    <t>Aguinaldo por año de servicios</t>
  </si>
  <si>
    <t>%</t>
  </si>
  <si>
    <t>30/11/1978</t>
  </si>
  <si>
    <t>https://mintrabajo.gob.gt/wp-content/uploads/2026/06/Ley-Reguladora-del-Aguinaldo-Decreto-76-78.pdf</t>
  </si>
  <si>
    <t>Parte del aguinaldo que se paga en diciembre</t>
  </si>
  <si>
    <t>Bono 14 por año de servicios</t>
  </si>
  <si>
    <t>2/7/1992</t>
  </si>
  <si>
    <t>https://mintrabajo.gob.gt/wp-content/uploads/2026/06/Ley-de-Bonificacion-Anual-para-Trabajadores-del-Sector-Privado-y-Publico-Decreto-42-92.pdf</t>
  </si>
  <si>
    <t>Indemnización por tiempo servido, meses de salario por año</t>
  </si>
  <si>
    <t>meses</t>
  </si>
  <si>
    <t>1/10/2024</t>
  </si>
  <si>
    <t>https://mintrabajo.gob.gt/wp-content/uploads/2026/06/Codigo-de-Trabajo.pdf</t>
  </si>
  <si>
    <t>Vacaciones mínimas por año de trabajo</t>
  </si>
  <si>
    <t>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</si>
</sst>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Q &quot;#,##0.00"/>
    <numFmt numFmtId="165" formatCode="#,##0.##"/>
    <numFmt numFmtId="166" formatCode="dd/mm/yyyy"/>
    <numFmt numFmtId="167" formatCode="#,##0.00##"/>
    <numFmt numFmtId="168" formatCode="[&gt;=100000000000000]&quot;en adelante&quot;;&quot;Q &quot;#,##0.00"/>
    <numFmt numFmtId="169" formatCode="0.00##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sz val="10"/>
    </font>
    <font>
      <b/>
    </font>
    <font>
      <b/>
      <color rgb="FFB71C1C"/>
    </font>
    <font>
      <b/>
      <color rgb="FF1B5E20"/>
      <sz val="10"/>
    </font>
    <font>
      <u/>
      <color rgb="FF1565C0"/>
    </font>
    <font>
      <b/>
      <sz val="9"/>
    </font>
  </fonts>
  <fills count="12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3F8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5" fillId="4" borderId="1" xfId="0" applyFont="1" applyFill="1" applyBorder="1" applyAlignment="1">
      <alignment horizontal="left" wrapText="1" indent="1"/>
    </xf>
    <xf numFmtId="164" fontId="5" fillId="5" borderId="1" xfId="0" applyNumberFormat="1" applyFont="1" applyFill="1" applyBorder="1" applyAlignment="1">
      <alignment horizontal="right"/>
    </xf>
    <xf numFmtId="0" fontId="0" fillId="4" borderId="1" xfId="0" applyFill="1" applyBorder="1" applyAlignment="1">
      <alignment horizontal="left" vertical="center" wrapText="1" indent="1"/>
    </xf>
    <xf numFmtId="164" fontId="6" fillId="6" borderId="1" xfId="0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165" fontId="6" fillId="6" borderId="1" xfId="0" applyNumberFormat="1" applyFont="1" applyFill="1" applyBorder="1" applyAlignment="1">
      <alignment horizontal="right"/>
    </xf>
    <xf numFmtId="0" fontId="7" fillId="0" borderId="0" xfId="0" applyFont="1" applyAlignment="1">
      <alignment wrapText="1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0" fontId="6" fillId="8" borderId="1" xfId="0" applyFont="1" applyFill="1" applyBorder="1" applyAlignment="1">
      <alignment horizontal="left" wrapText="1" indent="1"/>
    </xf>
    <xf numFmtId="164" fontId="6" fillId="8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 indent="1"/>
    </xf>
    <xf numFmtId="165" fontId="0" fillId="7" borderId="1" xfId="0" applyNumberFormat="1" applyFill="1" applyBorder="1" applyAlignment="1">
      <alignment horizontal="right"/>
    </xf>
    <xf numFmtId="0" fontId="8" fillId="0" borderId="0" xfId="0" applyFont="1"/>
    <xf numFmtId="167" fontId="6" fillId="6" borderId="1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167" fontId="0" fillId="7" borderId="1" xfId="0" applyNumberFormat="1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/>
    </xf>
    <xf numFmtId="0" fontId="9" fillId="5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0" fontId="10" fillId="4" borderId="1" xfId="0" applyFont="1" applyFill="1" applyBorder="1"/>
    <xf numFmtId="164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67" fontId="0" fillId="4" borderId="1" xfId="0" applyNumberFormat="1" applyFill="1" applyBorder="1" applyAlignment="1">
      <alignment vertical="top"/>
    </xf>
    <xf numFmtId="167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greso.gob.gt/assets/uploads/info_legislativo/decretos/2012/010-2012.pdf" TargetMode="External"/><Relationship Id="rId2" Type="http://schemas.openxmlformats.org/officeDocument/2006/relationships/hyperlink" Target="https://www.congreso.gob.gt/assets/uploads/info_legislativo/decretos/3bcf4-13-2026.pdf" TargetMode="External"/><Relationship Id="rId3" Type="http://schemas.openxmlformats.org/officeDocument/2006/relationships/hyperlink" Target="https://www.congreso.gob.gt/assets/uploads/info_legislativo/decretos/2012/010-2012.pdf" TargetMode="External"/><Relationship Id="rId4" Type="http://schemas.openxmlformats.org/officeDocument/2006/relationships/hyperlink" Target="https://www.congreso.gob.gt/assets/uploads/info_legislativo/decretos/2012/010-2012.pdf" TargetMode="External"/><Relationship Id="rId5" Type="http://schemas.openxmlformats.org/officeDocument/2006/relationships/hyperlink" Target="https://mintrabajo.gob.gt/wp-content/uploads/2026/06/Ley-Reguladora-del-Aguinaldo-Decreto-76-78.pdf" TargetMode="External"/><Relationship Id="rId6" Type="http://schemas.openxmlformats.org/officeDocument/2006/relationships/hyperlink" Target="https://mintrabajo.gob.gt/wp-content/uploads/2026/06/Ley-Reguladora-del-Aguinaldo-Decreto-76-78.pdf" TargetMode="External"/><Relationship Id="rId7" Type="http://schemas.openxmlformats.org/officeDocument/2006/relationships/hyperlink" Target="https://mintrabajo.gob.gt/wp-content/uploads/2026/06/Ley-de-Bonificacion-Anual-para-Trabajadores-del-Sector-Privado-y-Publico-Decreto-42-92.pdf" TargetMode="External"/><Relationship Id="rId8" Type="http://schemas.openxmlformats.org/officeDocument/2006/relationships/hyperlink" Target="https://mintrabajo.gob.gt/wp-content/uploads/2026/06/Codigo-de-Trabajo.pdf" TargetMode="External"/><Relationship Id="rId9" Type="http://schemas.openxmlformats.org/officeDocument/2006/relationships/hyperlink" Target="https://mintrabajo.gob.gt/wp-content/uploads/2026/06/Codigo-de-Trabaj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34" customHeight="1" spans="1:2" x14ac:dyDescent="0.25">
      <c r="A4" s="2">
        <v>2</v>
      </c>
      <c r="B4" s="3" t="s">
        <v>2</v>
      </c>
    </row>
    <row r="5" ht="34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9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10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13</v>
      </c>
      <c r="F4" s="8">
        <f>(B5+B6)*B8</f>
      </c>
    </row>
    <row r="5" ht="30" customHeight="1" spans="1:6" x14ac:dyDescent="0.25">
      <c r="A5" s="9" t="s">
        <v>14</v>
      </c>
      <c r="B5" s="10">
        <v>12000</v>
      </c>
      <c r="C5" s="11" t="s">
        <v>15</v>
      </c>
      <c r="E5" s="7" t="s">
        <v>16</v>
      </c>
      <c r="F5" s="8">
        <f>'Tablas oficiales'!$C$4+'Tablas oficiales'!$C$5+B7*B8+MIN(B9,'Tablas oficiales'!$C$6)</f>
      </c>
    </row>
    <row r="6" ht="30" customHeight="1" spans="1:6" x14ac:dyDescent="0.25">
      <c r="A6" s="9" t="s">
        <v>17</v>
      </c>
      <c r="B6" s="10">
        <v>250</v>
      </c>
      <c r="C6" s="11" t="s">
        <v>18</v>
      </c>
      <c r="E6" s="7" t="s">
        <v>19</v>
      </c>
      <c r="F6" s="8">
        <f>ROUND(MAX(0,F4-F5),2)</f>
      </c>
    </row>
    <row r="7" spans="1:6" x14ac:dyDescent="0.25">
      <c r="A7" s="9" t="s">
        <v>20</v>
      </c>
      <c r="B7" s="10">
        <v>580</v>
      </c>
      <c r="C7" s="11" t="s">
        <v>21</v>
      </c>
      <c r="E7" s="7" t="s">
        <v>22</v>
      </c>
      <c r="F7" s="8">
        <f>ROUND(IF(F6&lt;=0,0,INDEX('Tablas oficiales'!$E$9:$E$10,IFERROR(MATCH(F6,'Tablas oficiales'!$B$9:$B$10,1),1))+(F6-INDEX('Tablas oficiales'!$B$9:$B$10,IFERROR(MATCH(F6,'Tablas oficiales'!$B$9:$B$10,1),1)))*INDEX('Tablas oficiales'!$D$9:$D$10,IFERROR(MATCH(F6,'Tablas oficiales'!$B$9:$B$10,1),1))/100),2)</f>
      </c>
    </row>
    <row r="8" spans="1:2" x14ac:dyDescent="0.25">
      <c r="A8" s="9" t="s">
        <v>23</v>
      </c>
      <c r="B8" s="12">
        <v>12</v>
      </c>
    </row>
    <row r="9" ht="30" customHeight="1" spans="1:3" x14ac:dyDescent="0.25">
      <c r="A9" s="9" t="s">
        <v>24</v>
      </c>
      <c r="B9" s="10">
        <v>0</v>
      </c>
      <c r="C9" s="11" t="s">
        <v>25</v>
      </c>
    </row>
    <row r="11" spans="1:3" x14ac:dyDescent="0.25">
      <c r="A11" s="6" t="s">
        <v>26</v>
      </c>
      <c r="B11" s="6"/>
      <c r="C11" s="6"/>
    </row>
    <row r="12" spans="1:3" x14ac:dyDescent="0.25">
      <c r="A12" s="13">
        <f>IF(B7&gt;B5,"El descuento del IGSS no puede ser mayor que el salario.","")</f>
      </c>
      <c r="B12" s="13"/>
      <c r="C12" s="13"/>
    </row>
    <row r="13" spans="1:2" x14ac:dyDescent="0.25">
      <c r="A13" s="14" t="s">
        <v>13</v>
      </c>
      <c r="B13" s="15">
        <f>ROUND(F4,2)</f>
      </c>
    </row>
    <row r="14" spans="1:2" x14ac:dyDescent="0.25">
      <c r="A14" s="14" t="s">
        <v>16</v>
      </c>
      <c r="B14" s="15">
        <f>ROUND(F5,2)</f>
      </c>
    </row>
    <row r="15" spans="1:2" x14ac:dyDescent="0.25">
      <c r="A15" s="14" t="s">
        <v>19</v>
      </c>
      <c r="B15" s="15">
        <f>F6</f>
      </c>
    </row>
    <row r="16" spans="1:2" x14ac:dyDescent="0.25">
      <c r="A16" s="14" t="s">
        <v>22</v>
      </c>
      <c r="B16" s="15">
        <f>F7</f>
      </c>
    </row>
    <row r="17" spans="1:2" x14ac:dyDescent="0.25">
      <c r="A17" s="16" t="s">
        <v>27</v>
      </c>
      <c r="B17" s="17">
        <f>ROUND(F7/B8,2)</f>
      </c>
    </row>
    <row r="19" ht="36" customHeight="1" spans="1:3" x14ac:dyDescent="0.25">
      <c r="A19" s="4" t="s">
        <v>28</v>
      </c>
      <c r="B19" s="4"/>
      <c r="C19" s="4"/>
    </row>
  </sheetData>
  <mergeCells count="6">
    <mergeCell ref="A1:C1"/>
    <mergeCell ref="E3:F3"/>
    <mergeCell ref="A4:C4"/>
    <mergeCell ref="A11:C11"/>
    <mergeCell ref="A12:C12"/>
    <mergeCell ref="A19:C19"/>
  </mergeCells>
  <dataValidations count="3">
    <dataValidation type="decimal" allowBlank="1" showErrorMessage="1" error="Escribe un número mayor o igual a 0." sqref="B5:B7">
      <formula1>0</formula1>
      <formula2>1000000000000</formula2>
    </dataValidation>
    <dataValidation type="whole" allowBlank="1" showErrorMessage="1" error="Escribe un número entre 1 y 12." sqref="B8">
      <formula1>1</formula1>
      <formula2>12</formula2>
    </dataValidation>
    <dataValidation type="decimal" allowBlank="1" showErrorMessage="1" error="Escribe un número mayor o igual a 0." sqref="B9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6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29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30</v>
      </c>
      <c r="F4" s="18">
        <f>IF(B11="Lo que le toca porque dejó de trabajar",B7,DATE(IF(MONTH(B8)=1,YEAR(B8)-1,YEAR(B8)),11,30))</f>
      </c>
    </row>
    <row r="5" spans="1:6" x14ac:dyDescent="0.25">
      <c r="A5" s="9" t="s">
        <v>31</v>
      </c>
      <c r="B5" s="10">
        <v>4500</v>
      </c>
      <c r="C5" s="11" t="s">
        <v>32</v>
      </c>
      <c r="E5" s="7" t="s">
        <v>33</v>
      </c>
      <c r="F5" s="19">
        <f>MIN(365,F4-MAX(B6,DATE(IF(MONTH(F4)&gt;=12,YEAR(F4),YEAR(F4)-1),12,1))+1)</f>
      </c>
    </row>
    <row r="6" spans="1:6" x14ac:dyDescent="0.25">
      <c r="A6" s="9" t="s">
        <v>34</v>
      </c>
      <c r="B6" s="20">
        <v>45352</v>
      </c>
      <c r="E6" s="7" t="s">
        <v>35</v>
      </c>
      <c r="F6" s="8">
        <f>ROUND(B5*'Tablas oficiales'!$C$12/100*F5/365,2)</f>
      </c>
    </row>
    <row r="7" spans="1:6" x14ac:dyDescent="0.25">
      <c r="A7" s="9" t="s">
        <v>36</v>
      </c>
      <c r="B7" s="20"/>
      <c r="C7" s="11" t="s">
        <v>37</v>
      </c>
      <c r="E7" s="7" t="s">
        <v>38</v>
      </c>
      <c r="F7" s="8">
        <f>IF(B11="Lo que le toca porque dejó de trabajar","",ROUND(F6*'Tablas oficiales'!$C$13/100,2))</f>
      </c>
    </row>
    <row r="8" spans="1:6" x14ac:dyDescent="0.25">
      <c r="A8" s="9" t="s">
        <v>39</v>
      </c>
      <c r="B8" s="20">
        <f>TODAY()</f>
      </c>
      <c r="C8" s="11" t="s">
        <v>40</v>
      </c>
      <c r="E8" s="7" t="s">
        <v>41</v>
      </c>
      <c r="F8" s="18">
        <f>IF(B21="Lo que le toca porque dejó de trabajar",B7,DATE(IF(MONTH(B8)&lt;=7,YEAR(B8),YEAR(B8)+1),6,30))</f>
      </c>
    </row>
    <row r="9" spans="5:6" x14ac:dyDescent="0.25">
      <c r="E9" s="7" t="s">
        <v>42</v>
      </c>
      <c r="F9" s="19">
        <f>MIN(365,F8-MAX(B6,DATE(IF(MONTH(F8)&gt;=7,YEAR(F8),YEAR(F8)-1),7,1))+1)</f>
      </c>
    </row>
    <row r="10" spans="1:3" x14ac:dyDescent="0.25">
      <c r="A10" s="6" t="s">
        <v>43</v>
      </c>
      <c r="B10" s="6"/>
      <c r="C10" s="6"/>
    </row>
    <row r="11" spans="1:2" x14ac:dyDescent="0.25">
      <c r="A11" s="9" t="s">
        <v>44</v>
      </c>
      <c r="B11" s="21" t="s">
        <v>45</v>
      </c>
    </row>
    <row r="12" spans="1:3" x14ac:dyDescent="0.25">
      <c r="A12" s="13">
        <f>IF(AND(B11="Lo que le toca porque dejó de trabajar",NOT(ISNUMBER(B7))),"Indique su último día de trabajo.",IF(B6&gt;F4,"La fecha de ingreso no puede ser posterior al cierre del período.",""))</f>
      </c>
      <c r="B12" s="13"/>
      <c r="C12" s="13"/>
    </row>
    <row r="13" spans="1:2" x14ac:dyDescent="0.25">
      <c r="A13" s="14" t="s">
        <v>46</v>
      </c>
      <c r="B13" s="22">
        <f>F5</f>
      </c>
    </row>
    <row r="14" spans="1:2" x14ac:dyDescent="0.25">
      <c r="A14" s="16" t="s">
        <v>35</v>
      </c>
      <c r="B14" s="17">
        <f>F6</f>
      </c>
    </row>
    <row r="15" spans="1:2" x14ac:dyDescent="0.25">
      <c r="A15" s="14" t="s">
        <v>47</v>
      </c>
      <c r="B15" s="15">
        <f>F7</f>
      </c>
    </row>
    <row r="16" spans="1:2" x14ac:dyDescent="0.25">
      <c r="A16" s="14" t="s">
        <v>48</v>
      </c>
      <c r="B16" s="15">
        <f>IF(B11="Lo que le toca porque dejó de trabajar","",ROUND(F6-F7,2))</f>
      </c>
    </row>
    <row r="18" ht="36" customHeight="1" spans="1:3" x14ac:dyDescent="0.25">
      <c r="A18" s="4" t="s">
        <v>49</v>
      </c>
      <c r="B18" s="4"/>
      <c r="C18" s="4"/>
    </row>
    <row r="20" spans="1:3" x14ac:dyDescent="0.25">
      <c r="A20" s="6" t="s">
        <v>50</v>
      </c>
      <c r="B20" s="6"/>
      <c r="C20" s="6"/>
    </row>
    <row r="21" spans="1:2" x14ac:dyDescent="0.25">
      <c r="A21" s="9" t="s">
        <v>44</v>
      </c>
      <c r="B21" s="21" t="s">
        <v>51</v>
      </c>
    </row>
    <row r="22" spans="1:3" x14ac:dyDescent="0.25">
      <c r="A22" s="13">
        <f>IF(AND(B21="Lo que le toca porque dejó de trabajar",NOT(ISNUMBER(B7))),"Indique su último día de trabajo.",IF(B6&gt;F8,"La fecha de ingreso no puede ser posterior al cierre del período.",""))</f>
      </c>
      <c r="B22" s="13"/>
      <c r="C22" s="13"/>
    </row>
    <row r="23" spans="1:2" x14ac:dyDescent="0.25">
      <c r="A23" s="14" t="s">
        <v>46</v>
      </c>
      <c r="B23" s="22">
        <f>F9</f>
      </c>
    </row>
    <row r="24" spans="1:2" x14ac:dyDescent="0.25">
      <c r="A24" s="16" t="s">
        <v>52</v>
      </c>
      <c r="B24" s="17">
        <f>ROUND(B5*'Tablas oficiales'!$C$14/100*F9/365,2)</f>
      </c>
    </row>
    <row r="26" ht="21" customHeight="1" spans="1:3" x14ac:dyDescent="0.25">
      <c r="A26" s="4" t="s">
        <v>53</v>
      </c>
      <c r="B26" s="4"/>
      <c r="C26" s="4"/>
    </row>
  </sheetData>
  <mergeCells count="9">
    <mergeCell ref="A1:C1"/>
    <mergeCell ref="E3:F3"/>
    <mergeCell ref="A4:C4"/>
    <mergeCell ref="A10:C10"/>
    <mergeCell ref="A12:C12"/>
    <mergeCell ref="A18:C18"/>
    <mergeCell ref="A20:C20"/>
    <mergeCell ref="A22:C22"/>
    <mergeCell ref="A26:C26"/>
  </mergeCells>
  <dataValidations count="4">
    <dataValidation type="list" showErrorMessage="1" error="Elige una opción de la lista." sqref="B11">
      <formula1>"El aguinaldo de diciembre y enero,Lo que le toca porque dejó de trabajar"</formula1>
    </dataValidation>
    <dataValidation type="list" showErrorMessage="1" error="Elige una opción de la lista." sqref="B21">
      <formula1>"El Bono 14 que se paga en julio,Lo que le toca porque dejó de trabajar"</formula1>
    </dataValidation>
    <dataValidation type="decimal" allowBlank="1" showErrorMessage="1" error="Escribe un número mayor o igual a 0." sqref="B5">
      <formula1>0</formula1>
      <formula2>1000000000000</formula2>
    </dataValidation>
    <dataValidation type="date" operator="greaterThan" allowBlank="1" showErrorMessage="1" error="Escribe una fecha como dd/mm/aaaa." sqref="B6:B7">
      <formula1>18264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2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54</v>
      </c>
      <c r="B1" s="5"/>
      <c r="C1" s="5"/>
    </row>
    <row r="3" spans="5:6" x14ac:dyDescent="0.25">
      <c r="E3" s="6" t="s">
        <v>11</v>
      </c>
      <c r="F3" s="6"/>
    </row>
    <row r="4" spans="1:3" x14ac:dyDescent="0.25">
      <c r="A4" s="6" t="s">
        <v>12</v>
      </c>
      <c r="B4" s="6"/>
      <c r="C4" s="6"/>
    </row>
    <row r="5" spans="1:5" x14ac:dyDescent="0.25">
      <c r="A5" s="9" t="s">
        <v>34</v>
      </c>
      <c r="B5" s="20">
        <v>44317</v>
      </c>
      <c r="E5" s="23" t="s">
        <v>55</v>
      </c>
    </row>
    <row r="6" spans="1:6" x14ac:dyDescent="0.25">
      <c r="A6" s="9" t="s">
        <v>56</v>
      </c>
      <c r="B6" s="20">
        <v>46303</v>
      </c>
      <c r="E6" s="7" t="s">
        <v>57</v>
      </c>
      <c r="F6" s="19">
        <f>B6-B5+1</f>
      </c>
    </row>
    <row r="7" spans="1:6" x14ac:dyDescent="0.25">
      <c r="A7" s="9" t="s">
        <v>58</v>
      </c>
      <c r="B7" s="21" t="s">
        <v>59</v>
      </c>
      <c r="E7" s="7" t="s">
        <v>60</v>
      </c>
      <c r="F7" s="8">
        <f>ROUND(B8+B8*'Tablas oficiales'!$C$12/100/12+B8*'Tablas oficiales'!$C$14/100/12,2)</f>
      </c>
    </row>
    <row r="8" ht="30" customHeight="1" spans="1:6" x14ac:dyDescent="0.25">
      <c r="A8" s="9" t="s">
        <v>61</v>
      </c>
      <c r="B8" s="10">
        <v>5000</v>
      </c>
      <c r="C8" s="11" t="s">
        <v>62</v>
      </c>
      <c r="E8" s="7" t="s">
        <v>55</v>
      </c>
      <c r="F8" s="8">
        <f>IF(OR(B7="Lo despidieron sin causa justa",B7="Renunció por una falta grave del patrono"),ROUND(F7*'Tablas oficiales'!$C$15*F6/365,2),0)</f>
      </c>
    </row>
    <row r="9" spans="1:2" x14ac:dyDescent="0.25">
      <c r="A9" s="9" t="s">
        <v>63</v>
      </c>
      <c r="B9" s="24">
        <v>0</v>
      </c>
    </row>
    <row r="10" spans="5:5" x14ac:dyDescent="0.25">
      <c r="E10" s="23" t="s">
        <v>64</v>
      </c>
    </row>
    <row r="11" spans="1:6" x14ac:dyDescent="0.25">
      <c r="A11" s="6" t="s">
        <v>65</v>
      </c>
      <c r="B11" s="6"/>
      <c r="C11" s="6"/>
      <c r="E11" s="7" t="s">
        <v>33</v>
      </c>
      <c r="F11" s="19">
        <f>MIN(365,B6-MAX(B5,DATE(IF(MONTH(B6)&gt;=12,YEAR(B6),YEAR(B6)-1),12,1))+1)</f>
      </c>
    </row>
    <row r="12" spans="1:6" x14ac:dyDescent="0.25">
      <c r="A12" s="13">
        <f>IF(B5&gt;B6,"La fecha de ingreso no puede ser posterior a la de salida.","")</f>
      </c>
      <c r="B12" s="13"/>
      <c r="C12" s="13"/>
      <c r="E12" s="7" t="s">
        <v>42</v>
      </c>
      <c r="F12" s="19">
        <f>MIN(365,B6-MAX(B5,DATE(IF(MONTH(B6)&gt;=7,YEAR(B6),YEAR(B6)-1),7,1))+1)</f>
      </c>
    </row>
    <row r="13" spans="1:6" x14ac:dyDescent="0.25">
      <c r="A13" s="14" t="s">
        <v>57</v>
      </c>
      <c r="B13" s="22">
        <f>F6</f>
      </c>
      <c r="E13" s="7" t="s">
        <v>66</v>
      </c>
      <c r="F13" s="8">
        <f>ROUND(B8*'Tablas oficiales'!$C$12/100*F11/365,2)</f>
      </c>
    </row>
    <row r="14" spans="1:6" x14ac:dyDescent="0.25">
      <c r="A14" s="14" t="s">
        <v>67</v>
      </c>
      <c r="B14" s="15">
        <f>F7</f>
      </c>
      <c r="E14" s="7" t="s">
        <v>68</v>
      </c>
      <c r="F14" s="8">
        <f>ROUND(B8*'Tablas oficiales'!$C$14/100*F12/365,2)</f>
      </c>
    </row>
    <row r="15" spans="1:6" x14ac:dyDescent="0.25">
      <c r="A15" s="14" t="s">
        <v>69</v>
      </c>
      <c r="B15" s="15">
        <f>F8</f>
      </c>
      <c r="E15" s="7" t="s">
        <v>70</v>
      </c>
      <c r="F15" s="19">
        <f>IF(AND((YEAR(B6)-YEAR(B5))&gt;0,DATE(YEAR(B5)+(YEAR(B6)-YEAR(B5)),MONTH(B5),MIN(DAY(B5),DAY(EOMONTH(DATE(YEAR(B5)+(YEAR(B6)-YEAR(B5)),MONTH(B5),1),0))))&gt;B6),(YEAR(B6)-YEAR(B5))-1,(YEAR(B6)-YEAR(B5)))</f>
      </c>
    </row>
    <row r="16" spans="1:6" x14ac:dyDescent="0.25">
      <c r="A16" s="14" t="s">
        <v>66</v>
      </c>
      <c r="B16" s="15">
        <f>F13</f>
      </c>
      <c r="E16" s="7" t="s">
        <v>71</v>
      </c>
      <c r="F16" s="19">
        <f>MIN(365,B6-DATE(YEAR(B5)+F15,MONTH(B5),MIN(DAY(B5),DAY(EOMONTH(DATE(YEAR(B5)+F15,MONTH(B5),1),0))))+1)</f>
      </c>
    </row>
    <row r="17" spans="1:6" x14ac:dyDescent="0.25">
      <c r="A17" s="14" t="s">
        <v>68</v>
      </c>
      <c r="B17" s="15">
        <f>F14</f>
      </c>
      <c r="E17" s="7" t="s">
        <v>72</v>
      </c>
      <c r="F17" s="25">
        <f>ROUND('Tablas oficiales'!$C$16*F16/365+B9,2)</f>
      </c>
    </row>
    <row r="18" spans="1:6" x14ac:dyDescent="0.25">
      <c r="A18" s="14" t="s">
        <v>73</v>
      </c>
      <c r="B18" s="26">
        <f>F17</f>
      </c>
      <c r="E18" s="7" t="s">
        <v>74</v>
      </c>
      <c r="F18" s="8">
        <f>ROUND(B8/30*F17,2)</f>
      </c>
    </row>
    <row r="19" spans="1:2" x14ac:dyDescent="0.25">
      <c r="A19" s="14" t="s">
        <v>74</v>
      </c>
      <c r="B19" s="15">
        <f>F18</f>
      </c>
    </row>
    <row r="20" spans="1:2" x14ac:dyDescent="0.25">
      <c r="A20" s="16" t="s">
        <v>75</v>
      </c>
      <c r="B20" s="17">
        <f>ROUND(F8+F13+F14+F18,2)</f>
      </c>
    </row>
    <row r="22" ht="36" customHeight="1" spans="1:3" x14ac:dyDescent="0.25">
      <c r="A22" s="4" t="s">
        <v>76</v>
      </c>
      <c r="B22" s="4"/>
      <c r="C22" s="4"/>
    </row>
  </sheetData>
  <mergeCells count="6">
    <mergeCell ref="A1:C1"/>
    <mergeCell ref="E3:F3"/>
    <mergeCell ref="A4:C4"/>
    <mergeCell ref="A11:C11"/>
    <mergeCell ref="A12:C12"/>
    <mergeCell ref="A22:C22"/>
  </mergeCells>
  <dataValidations count="3">
    <dataValidation type="date" operator="greaterThan" allowBlank="1" showErrorMessage="1" error="Escribe una fecha como dd/mm/aaaa." sqref="B5:B6">
      <formula1>18264</formula1>
    </dataValidation>
    <dataValidation type="list" showErrorMessage="1" error="Elige una opción de la lista." sqref="B7">
      <formula1>"Lo despidieron sin causa justa,Renunció por una falta grave del patrono,Renunció,Lo despidieron con causa justa"</formula1>
    </dataValidation>
    <dataValidation type="decimal" allowBlank="1" showErrorMessage="1" error="Escribe un número mayor o igual a 0." sqref="B8:B9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27" t="s">
        <v>77</v>
      </c>
      <c r="B1" s="27"/>
      <c r="C1" s="27"/>
      <c r="D1" s="27"/>
      <c r="E1" s="27"/>
      <c r="F1" s="27"/>
      <c r="G1" s="27"/>
    </row>
    <row r="2" ht="30" customHeight="1" spans="1:7" x14ac:dyDescent="0.25">
      <c r="A2" s="4" t="s">
        <v>78</v>
      </c>
      <c r="B2" s="4"/>
      <c r="C2" s="4"/>
      <c r="D2" s="4"/>
      <c r="E2" s="4"/>
      <c r="F2" s="4"/>
      <c r="G2" s="4"/>
    </row>
    <row r="3" spans="1:7" x14ac:dyDescent="0.25">
      <c r="A3" s="28" t="s">
        <v>79</v>
      </c>
      <c r="B3" s="28" t="s">
        <v>80</v>
      </c>
      <c r="C3" s="28" t="s">
        <v>81</v>
      </c>
      <c r="D3" s="28" t="s">
        <v>82</v>
      </c>
      <c r="E3" s="28" t="s">
        <v>83</v>
      </c>
      <c r="F3" s="28" t="s">
        <v>84</v>
      </c>
      <c r="G3" s="28" t="s">
        <v>85</v>
      </c>
    </row>
    <row r="4" spans="1:7" x14ac:dyDescent="0.25">
      <c r="A4" s="29" t="s">
        <v>86</v>
      </c>
      <c r="B4" s="29" t="s">
        <v>87</v>
      </c>
      <c r="C4" s="30">
        <v>48000</v>
      </c>
      <c r="D4" s="29" t="s">
        <v>88</v>
      </c>
      <c r="E4" s="29" t="s">
        <v>89</v>
      </c>
      <c r="F4" s="31" t="s">
        <v>90</v>
      </c>
      <c r="G4" s="29" t="s">
        <v>91</v>
      </c>
    </row>
    <row r="5" spans="1:7" x14ac:dyDescent="0.25">
      <c r="A5" s="32" t="s">
        <v>92</v>
      </c>
      <c r="B5" s="32" t="s">
        <v>87</v>
      </c>
      <c r="C5" s="33">
        <v>3024</v>
      </c>
      <c r="D5" s="32" t="s">
        <v>88</v>
      </c>
      <c r="E5" s="32" t="s">
        <v>93</v>
      </c>
      <c r="F5" s="34" t="s">
        <v>94</v>
      </c>
      <c r="G5" s="32" t="s">
        <v>91</v>
      </c>
    </row>
    <row r="6" spans="1:7" x14ac:dyDescent="0.25">
      <c r="A6" s="29" t="s">
        <v>95</v>
      </c>
      <c r="B6" s="29" t="s">
        <v>87</v>
      </c>
      <c r="C6" s="30">
        <v>12000</v>
      </c>
      <c r="D6" s="29" t="s">
        <v>88</v>
      </c>
      <c r="E6" s="29" t="s">
        <v>89</v>
      </c>
      <c r="F6" s="31" t="s">
        <v>90</v>
      </c>
      <c r="G6" s="29" t="s">
        <v>91</v>
      </c>
    </row>
    <row r="7" spans="1:7" x14ac:dyDescent="0.25">
      <c r="A7" s="35" t="s">
        <v>96</v>
      </c>
      <c r="B7" s="36"/>
      <c r="C7" s="36"/>
      <c r="D7" s="36" t="s">
        <v>88</v>
      </c>
      <c r="E7" s="36" t="s">
        <v>89</v>
      </c>
      <c r="F7" s="37" t="s">
        <v>90</v>
      </c>
      <c r="G7" s="36" t="s">
        <v>91</v>
      </c>
    </row>
    <row r="8" spans="2:5" x14ac:dyDescent="0.25">
      <c r="B8" s="38" t="s">
        <v>97</v>
      </c>
      <c r="C8" s="38" t="s">
        <v>98</v>
      </c>
      <c r="D8" s="38" t="s">
        <v>99</v>
      </c>
      <c r="E8" s="38" t="s">
        <v>100</v>
      </c>
    </row>
    <row r="9" spans="2:5" x14ac:dyDescent="0.25">
      <c r="B9" s="39">
        <v>0</v>
      </c>
      <c r="C9" s="40">
        <v>300000</v>
      </c>
      <c r="D9" s="41">
        <v>5</v>
      </c>
      <c r="E9" s="39">
        <v>0</v>
      </c>
    </row>
    <row r="10" spans="2:5" x14ac:dyDescent="0.25">
      <c r="B10" s="39">
        <v>300000</v>
      </c>
      <c r="C10" s="40">
        <v>1000000000000000</v>
      </c>
      <c r="D10" s="41">
        <v>7</v>
      </c>
      <c r="E10" s="39">
        <v>15000</v>
      </c>
    </row>
    <row r="12" spans="1:7" x14ac:dyDescent="0.25">
      <c r="A12" s="32" t="s">
        <v>101</v>
      </c>
      <c r="B12" s="32" t="s">
        <v>87</v>
      </c>
      <c r="C12" s="42">
        <v>100</v>
      </c>
      <c r="D12" s="32" t="s">
        <v>102</v>
      </c>
      <c r="E12" s="32" t="s">
        <v>103</v>
      </c>
      <c r="F12" s="34" t="s">
        <v>104</v>
      </c>
      <c r="G12" s="32" t="s">
        <v>91</v>
      </c>
    </row>
    <row r="13" spans="1:7" x14ac:dyDescent="0.25">
      <c r="A13" s="29" t="s">
        <v>105</v>
      </c>
      <c r="B13" s="29" t="s">
        <v>87</v>
      </c>
      <c r="C13" s="43">
        <v>50</v>
      </c>
      <c r="D13" s="29" t="s">
        <v>102</v>
      </c>
      <c r="E13" s="29" t="s">
        <v>103</v>
      </c>
      <c r="F13" s="31" t="s">
        <v>104</v>
      </c>
      <c r="G13" s="29" t="s">
        <v>91</v>
      </c>
    </row>
    <row r="14" spans="1:7" x14ac:dyDescent="0.25">
      <c r="A14" s="32" t="s">
        <v>106</v>
      </c>
      <c r="B14" s="32" t="s">
        <v>87</v>
      </c>
      <c r="C14" s="42">
        <v>100</v>
      </c>
      <c r="D14" s="32" t="s">
        <v>102</v>
      </c>
      <c r="E14" s="32" t="s">
        <v>107</v>
      </c>
      <c r="F14" s="34" t="s">
        <v>108</v>
      </c>
      <c r="G14" s="32" t="s">
        <v>91</v>
      </c>
    </row>
    <row r="15" spans="1:7" x14ac:dyDescent="0.25">
      <c r="A15" s="29" t="s">
        <v>109</v>
      </c>
      <c r="B15" s="29" t="s">
        <v>87</v>
      </c>
      <c r="C15" s="43">
        <v>1</v>
      </c>
      <c r="D15" s="29" t="s">
        <v>110</v>
      </c>
      <c r="E15" s="29" t="s">
        <v>111</v>
      </c>
      <c r="F15" s="31" t="s">
        <v>112</v>
      </c>
      <c r="G15" s="29" t="s">
        <v>91</v>
      </c>
    </row>
    <row r="16" spans="1:7" x14ac:dyDescent="0.25">
      <c r="A16" s="32" t="s">
        <v>113</v>
      </c>
      <c r="B16" s="32" t="s">
        <v>87</v>
      </c>
      <c r="C16" s="42">
        <v>15</v>
      </c>
      <c r="D16" s="32" t="s">
        <v>114</v>
      </c>
      <c r="E16" s="32" t="s">
        <v>111</v>
      </c>
      <c r="F16" s="34" t="s">
        <v>112</v>
      </c>
      <c r="G16" s="32" t="s">
        <v>91</v>
      </c>
    </row>
  </sheetData>
  <mergeCells count="2">
    <mergeCell ref="A1:G1"/>
    <mergeCell ref="A2:G2"/>
  </mergeCells>
  <hyperlinks>
    <hyperlink ref="F4" r:id="rId1"/>
    <hyperlink ref="F5" r:id="rId2"/>
    <hyperlink ref="F6" r:id="rId3"/>
    <hyperlink ref="F7" r:id="rId4"/>
    <hyperlink ref="F12" r:id="rId5"/>
    <hyperlink ref="F13" r:id="rId6"/>
    <hyperlink ref="F14" r:id="rId7"/>
    <hyperlink ref="F15" r:id="rId8"/>
    <hyperlink ref="F16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ISR de su salario</vt:lpstr>
      <vt:lpstr>Aguinaldo y Bono 14</vt:lpstr>
      <vt:lpstr>Indemnización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salario y prestaciones Guatemala 2026</dc:title>
  <dc:subject/>
  <dc:description/>
  <cp:keywords/>
  <cp:category/>
  <cp:lastModifiedBy>Unknown</cp:lastModifiedBy>
  <dcterms:created xsi:type="dcterms:W3CDTF">2026-10-08T12:00:00Z</dcterms:created>
  <dcterms:modified xsi:type="dcterms:W3CDTF">2026-10-08T12:00:00Z</dcterms:modified>
</cp:coreProperties>
</file>