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alario neto" state="visible" r:id="rId5"/>
    <sheet sheetId="3" name="Regalía pascual" state="visible" r:id="rId6"/>
    <sheet sheetId="4" name="Prestaciones laborales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<sst xmlns="http://schemas.openxmlformats.org/spreadsheetml/2006/main" count="274" uniqueCount="142">
  <si>
    <t>Planilla de salario y prestaciones República Dominicana 2026</t>
  </si>
  <si>
    <t>Las celdas amarillas son para tus datos. Las verdes se calculan solas, con las fórmulas de la ley. A la derecha de cada hoja está el paso a paso de la cuenta.</t>
  </si>
  <si>
    <t>«Salario neto»: pones tu salario bruto y te dice los descuentos de la TSS (SFS y AFP), el ISR que te retienen y tu salario neto.</t>
  </si>
  <si>
    <t>«Regalía pascual»: calcula tu regalía pascual del año, completa o proporcional, con el tope legal.</t>
  </si>
  <si>
    <t>«Prestaciones laborales»: pones tus fechas, tu salario promedio y cómo terminó el contrato, y te dice el preaviso, la cesantía, las vacaciones y la regalía.</t>
  </si>
  <si>
    <t>«Tablas oficiales» tiene cada valor oficial que usan las fórmulas, con el enlace a su fuente y la fecha en que lo verificamos. Los valores son los vigentes al 22/10/2026.</t>
  </si>
  <si>
    <t>Cuando cambia un valor oficial, actualizamos la planilla y el mismo enlace de descarga te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</si>
  <si>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</si>
  <si>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Tu contrato o tu empresa pueden darte más que el mínimo de ley.</t>
  </si>
  <si>
    <t>Las fechas van como dd/mm/aaaa. Si tu Excel está en inglés y las lee al revés, escríbelas como aaaa-mm-dd.</t>
  </si>
  <si>
    <t>Salario neto: SFS, AFP e ISR</t>
  </si>
  <si>
    <t>Paso a paso</t>
  </si>
  <si>
    <t>TUS DATOS</t>
  </si>
  <si>
    <t>Seguro Familiar de Salud (SFS)</t>
  </si>
  <si>
    <t>Salario bruto mensual</t>
  </si>
  <si>
    <t>Lo que dice tu contrato antes de los descuentos.</t>
  </si>
  <si>
    <t>Pensión (AFP)</t>
  </si>
  <si>
    <t>Salario sujeto a ISR</t>
  </si>
  <si>
    <t>TU SALARIO NETO</t>
  </si>
  <si>
    <t>Base del año (por 12)</t>
  </si>
  <si>
    <t>Salario bruto</t>
  </si>
  <si>
    <t>ISR del mes (impuesto anual entre 12)</t>
  </si>
  <si>
    <t>Total de descuentos</t>
  </si>
  <si>
    <t>ISR</t>
  </si>
  <si>
    <t>Salario neto</t>
  </si>
  <si>
    <t>El SFS y la AFP se descuentan hasta sus topes. El ISR es la doceava parte del impuesto del año, como la tabla de retención de la DGII.</t>
  </si>
  <si>
    <t>Regalía pascual (salario de Navidad)</t>
  </si>
  <si>
    <t>Empresa grande</t>
  </si>
  <si>
    <t>Empresa mediana</t>
  </si>
  <si>
    <t>Empresa pequeña</t>
  </si>
  <si>
    <t>Año: desde</t>
  </si>
  <si>
    <t>Microempresa</t>
  </si>
  <si>
    <t>Salario mensual</t>
  </si>
  <si>
    <t>Tu salario ordinario, sin horas extra ni bonificación.</t>
  </si>
  <si>
    <t>Año: hasta</t>
  </si>
  <si>
    <t>Fecha en que empezaste, si fue este año (opcional)</t>
  </si>
  <si>
    <t>Déjala vacía si trabajas en la empresa desde antes del 1 de enero.</t>
  </si>
  <si>
    <t>Año: meses completos</t>
  </si>
  <si>
    <t>Último día de trabajo, si ya saliste este año (opcional)</t>
  </si>
  <si>
    <t>Déjala vacía si sigues trabajando.</t>
  </si>
  <si>
    <t>Año: meses trabajados</t>
  </si>
  <si>
    <t>Tamaño de la empresa</t>
  </si>
  <si>
    <t>Salario ganado en el año</t>
  </si>
  <si>
    <t>Fecha de hoy</t>
  </si>
  <si>
    <t>Se llena sola. Define el año de la regalía.</t>
  </si>
  <si>
    <t>Doceava parte</t>
  </si>
  <si>
    <t>Tope (5 salarios mínimos)</t>
  </si>
  <si>
    <t>TU REGALÍA</t>
  </si>
  <si>
    <t>Meses que cuentan</t>
  </si>
  <si>
    <t>Regalía según tu salario</t>
  </si>
  <si>
    <t>Tope legal</t>
  </si>
  <si>
    <t>Regalía pascual</t>
  </si>
  <si>
    <t>Se paga a más tardar el 20 de diciembre y no paga ISR. Para el tope se usa el salario mínimo del tamaño de tu empresa: el Código de Trabajo no aclara cuál se toma.</t>
  </si>
  <si>
    <t>Prestaciones laborales: preaviso, cesantía, vacaciones y regalía</t>
  </si>
  <si>
    <t>Antigüedad: años completos</t>
  </si>
  <si>
    <t>Fecha en que empezaste a trabajar</t>
  </si>
  <si>
    <t>Antigüedad: último aniversario</t>
  </si>
  <si>
    <t>Último día de trabajo</t>
  </si>
  <si>
    <t>Antigüedad: meses</t>
  </si>
  <si>
    <t>Salario promedio mensual del último año</t>
  </si>
  <si>
    <t>Lo ganado en los últimos 12 meses (sin horas extra ni regalía) dividido entre los meses trabajados.</t>
  </si>
  <si>
    <t>Antigüedad: días</t>
  </si>
  <si>
    <t>Cómo terminó el contrato</t>
  </si>
  <si>
    <t>Me desahuciaron (despido sin alegar causa)</t>
  </si>
  <si>
    <t>Salario diario (entre 23.83)</t>
  </si>
  <si>
    <t>Te dieron el preaviso a tiempo</t>
  </si>
  <si>
    <t>No</t>
  </si>
  <si>
    <t>Solo cuenta en el desahucio. Si te avisaron con los días de ley, el preaviso no se paga.</t>
  </si>
  <si>
    <t>Días de vacaciones de años anteriores que no tomaste</t>
  </si>
  <si>
    <t>Preaviso y cesantía</t>
  </si>
  <si>
    <t>Días de preaviso</t>
  </si>
  <si>
    <t>Días de cesantía</t>
  </si>
  <si>
    <t>TUS PRESTACIONES</t>
  </si>
  <si>
    <t>Vacaciones y regalía</t>
  </si>
  <si>
    <t>Antigüedad</t>
  </si>
  <si>
    <t>Meses que pasaron del último aniversario</t>
  </si>
  <si>
    <t>Salario diario</t>
  </si>
  <si>
    <t>Días de vacaciones</t>
  </si>
  <si>
    <t>Regalía: desde</t>
  </si>
  <si>
    <t>Preaviso</t>
  </si>
  <si>
    <t>Regalía: hasta</t>
  </si>
  <si>
    <t>Regalía: meses completos</t>
  </si>
  <si>
    <t>Auxilio de cesantía</t>
  </si>
  <si>
    <t>Regalía: meses trabajados</t>
  </si>
  <si>
    <t>Tope de la regalía</t>
  </si>
  <si>
    <t>Vacaciones</t>
  </si>
  <si>
    <t>Regalía proporcional</t>
  </si>
  <si>
    <t>Regalía pascual proporcional</t>
  </si>
  <si>
    <t>Total</t>
  </si>
  <si>
    <t>Cesantía</t>
  </si>
  <si>
    <t>Al renunciar no cobras preaviso ni cesantía. Preaviso y cesantía no pagan ISR, y el empleador tiene 10 días para pagarlos (art. 86). Los años anteriores al 29 de mayo de 1992 se pagan con otra escala.</t>
  </si>
  <si>
    <t>Tablas oficiales de República Dominicana</t>
  </si>
  <si>
    <t>Son los valores que usan las fórmulas de esta planilla, vigentes al 22/10/2026.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</si>
  <si>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</si>
  <si>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</si>
  <si>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</si>
  <si>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</si>
  <si>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</si>
  <si>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</si>
  <si>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</si>
  <si>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Tope de cotización del Seguro Familiar de Salud (10 salarios mínimos nacionales)</t>
  </si>
  <si>
    <t/>
  </si>
  <si>
    <t>DOP</t>
  </si>
  <si>
    <t>1/2/2026</t>
  </si>
  <si>
    <t>https://tss.gob.do/preguntas-frecuentes/</t>
  </si>
  <si>
    <t>7/10/2026</t>
  </si>
  <si>
    <t>Seguro Familiar de Salud a cargo del trabajador</t>
  </si>
  <si>
    <t>%</t>
  </si>
  <si>
    <t>Tope de cotización del seguro de pensiones (20 salarios mínimos nacionales)</t>
  </si>
  <si>
    <t>Seguro de pensiones (AFP) a cargo del trabajador</t>
  </si>
  <si>
    <t>Escala anual del impuesto sobre la renta de las personas físicas</t>
  </si>
  <si>
    <t>1/1/2026</t>
  </si>
  <si>
    <t>https://dgii.gov.do/cicloContribuyente/obligacionesTributarias/principalesImpuestos/Paginas/impuestoSobreRenta.aspx</t>
  </si>
  <si>
    <t>Desde</t>
  </si>
  <si>
    <t>Hasta</t>
  </si>
  <si>
    <t>Tasa %</t>
  </si>
  <si>
    <t>Cuota fija</t>
  </si>
  <si>
    <t>Salario mínimo mensual del sector privado no sectorizado, por tamaño de empresa</t>
  </si>
  <si>
    <t>https://mt.gob.do/ministerio-de-trabajo-llama-a-empresarios-a-cumplir-con-el-pago-del-aumento-del-8-del-salario-minimo/</t>
  </si>
  <si>
    <t>Tope del salario de Navidad en salarios mínimos</t>
  </si>
  <si>
    <t>29/5/1992</t>
  </si>
  <si>
    <t>https://transparencia.mt.gob.do/images/docs/publicaciones/codigo-de-trabajo.pdf</t>
  </si>
  <si>
    <t>Divisor para pasar el salario mensual a diario</t>
  </si>
  <si>
    <t>veces</t>
  </si>
  <si>
    <t>30/12/1999</t>
  </si>
  <si>
    <t>Días de preaviso según la antigüedad</t>
  </si>
  <si>
    <t>De 3 a 6 meses</t>
  </si>
  <si>
    <t>días</t>
  </si>
  <si>
    <t>Más de 6 meses y hasta 1 año</t>
  </si>
  <si>
    <t>Más de 1 año</t>
  </si>
  <si>
    <t>Días de auxilio de cesantía según la antigüedad</t>
  </si>
  <si>
    <t>De 6 meses a 1 año</t>
  </si>
  <si>
    <t>De 1 a 5 años, por año</t>
  </si>
  <si>
    <t>5 años o más, por año</t>
  </si>
  <si>
    <t>Días de vacaciones proporcionales por meses trabajados</t>
  </si>
  <si>
    <t>5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</si>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</sst>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RD$ &quot;#,##0.00"/>
    <numFmt numFmtId="165" formatCode="dd/mm/yyyy"/>
    <numFmt numFmtId="166" formatCode="#,##0.##"/>
    <numFmt numFmtId="167" formatCode="#,##0.00##"/>
    <numFmt numFmtId="168" formatCode="[&gt;=100000000000000]&quot;en adelante&quot;;&quot;RD$ &quot;#,##0.00"/>
    <numFmt numFmtId="169" formatCode="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sz val="10"/>
    </font>
    <font>
      <b/>
    </font>
    <font>
      <b/>
      <color rgb="FFB71C1C"/>
    </font>
    <font>
      <b/>
      <color rgb="FF1B5E20"/>
      <sz val="10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5" fillId="4" borderId="1" xfId="0" applyFont="1" applyFill="1" applyBorder="1" applyAlignment="1">
      <alignment horizontal="left" wrapText="1" indent="1"/>
    </xf>
    <xf numFmtId="164" fontId="5" fillId="5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 vertical="center" wrapText="1" indent="1"/>
    </xf>
    <xf numFmtId="164" fontId="6" fillId="6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6" fillId="8" borderId="1" xfId="0" applyFont="1" applyFill="1" applyBorder="1" applyAlignment="1">
      <alignment horizontal="left" wrapText="1" indent="1"/>
    </xf>
    <xf numFmtId="164" fontId="6" fillId="8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indent="1"/>
    </xf>
    <xf numFmtId="0" fontId="7" fillId="0" borderId="0" xfId="0" applyFont="1" applyAlignment="1">
      <alignment wrapText="1"/>
    </xf>
    <xf numFmtId="167" fontId="0" fillId="7" borderId="1" xfId="0" applyNumberFormat="1" applyFill="1" applyBorder="1" applyAlignment="1">
      <alignment horizontal="right"/>
    </xf>
    <xf numFmtId="167" fontId="6" fillId="6" borderId="1" xfId="0" applyNumberFormat="1" applyFont="1" applyFill="1" applyBorder="1" applyAlignment="1">
      <alignment horizontal="right"/>
    </xf>
    <xf numFmtId="0" fontId="8" fillId="0" borderId="0" xfId="0" applyFont="1"/>
    <xf numFmtId="0" fontId="0" fillId="7" borderId="1" xfId="0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7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4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64" fontId="0" fillId="4" borderId="1" xfId="0" applyNumberFormat="1" applyFill="1" applyBorder="1" applyAlignment="1">
      <alignment vertical="top"/>
    </xf>
    <xf numFmtId="167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tss.gob.do/preguntas-frecuentes/" TargetMode="External"/><Relationship Id="rId2" Type="http://schemas.openxmlformats.org/officeDocument/2006/relationships/hyperlink" Target="https://tss.gob.do/preguntas-frecuentes/" TargetMode="External"/><Relationship Id="rId3" Type="http://schemas.openxmlformats.org/officeDocument/2006/relationships/hyperlink" Target="https://tss.gob.do/preguntas-frecuentes/" TargetMode="External"/><Relationship Id="rId4" Type="http://schemas.openxmlformats.org/officeDocument/2006/relationships/hyperlink" Target="https://tss.gob.do/preguntas-frecuentes/" TargetMode="External"/><Relationship Id="rId5" Type="http://schemas.openxmlformats.org/officeDocument/2006/relationships/hyperlink" Target="https://dgii.gov.do/cicloContribuyente/obligacionesTributarias/principalesImpuestos/Paginas/impuestoSobreRenta.aspx" TargetMode="External"/><Relationship Id="rId6" Type="http://schemas.openxmlformats.org/officeDocument/2006/relationships/hyperlink" Target="https://mt.gob.do/ministerio-de-trabajo-llama-a-empresarios-a-cumplir-con-el-pago-del-aumento-del-8-del-salario-minimo/" TargetMode="External"/><Relationship Id="rId7" Type="http://schemas.openxmlformats.org/officeDocument/2006/relationships/hyperlink" Target="https://mt.gob.do/ministerio-de-trabajo-llama-a-empresarios-a-cumplir-con-el-pago-del-aumento-del-8-del-salario-minimo/" TargetMode="External"/><Relationship Id="rId8" Type="http://schemas.openxmlformats.org/officeDocument/2006/relationships/hyperlink" Target="https://mt.gob.do/ministerio-de-trabajo-llama-a-empresarios-a-cumplir-con-el-pago-del-aumento-del-8-del-salario-minimo/" TargetMode="External"/><Relationship Id="rId9" Type="http://schemas.openxmlformats.org/officeDocument/2006/relationships/hyperlink" Target="https://mt.gob.do/ministerio-de-trabajo-llama-a-empresarios-a-cumplir-con-el-pago-del-aumento-del-8-del-salario-minimo/" TargetMode="External"/><Relationship Id="rId10" Type="http://schemas.openxmlformats.org/officeDocument/2006/relationships/hyperlink" Target="https://transparencia.mt.gob.do/images/docs/publicaciones/codigo-de-trabajo.pdf" TargetMode="External"/><Relationship Id="rId11" Type="http://schemas.openxmlformats.org/officeDocument/2006/relationships/hyperlink" Target="https://transparencia.mt.gob.do/images/docs/publicaciones/codigo-de-trabajo.pdf" TargetMode="External"/><Relationship Id="rId12" Type="http://schemas.openxmlformats.org/officeDocument/2006/relationships/hyperlink" Target="https://transparencia.mt.gob.do/images/docs/publicaciones/codigo-de-trabajo.pdf" TargetMode="External"/><Relationship Id="rId13" Type="http://schemas.openxmlformats.org/officeDocument/2006/relationships/hyperlink" Target="https://transparencia.mt.gob.do/images/docs/publicaciones/codigo-de-trabajo.pdf" TargetMode="External"/><Relationship Id="rId14" Type="http://schemas.openxmlformats.org/officeDocument/2006/relationships/hyperlink" Target="https://transparencia.mt.gob.do/images/docs/publicaciones/codigo-de-trabajo.pdf" TargetMode="External"/><Relationship Id="rId15" Type="http://schemas.openxmlformats.org/officeDocument/2006/relationships/hyperlink" Target="https://transparencia.mt.gob.do/images/docs/publicaciones/codigo-de-trabajo.pdf" TargetMode="External"/><Relationship Id="rId16" Type="http://schemas.openxmlformats.org/officeDocument/2006/relationships/hyperlink" Target="https://transparencia.mt.gob.do/images/docs/publicaciones/codigo-de-trabajo.pdf" TargetMode="External"/><Relationship Id="rId17" Type="http://schemas.openxmlformats.org/officeDocument/2006/relationships/hyperlink" Target="https://transparencia.mt.gob.do/images/docs/publicaciones/codigo-de-trabajo.pdf" TargetMode="External"/><Relationship Id="rId18" Type="http://schemas.openxmlformats.org/officeDocument/2006/relationships/hyperlink" Target="https://transparencia.mt.gob.do/images/docs/publicaciones/codigo-de-trabajo.pdf" TargetMode="External"/><Relationship Id="rId19" Type="http://schemas.openxmlformats.org/officeDocument/2006/relationships/hyperlink" Target="https://transparencia.mt.gob.do/images/docs/publicaciones/codigo-de-trabajo.pdf" TargetMode="External"/><Relationship Id="rId20" Type="http://schemas.openxmlformats.org/officeDocument/2006/relationships/hyperlink" Target="https://transparencia.mt.gob.do/images/docs/publicaciones/codigo-de-trabajo.pdf" TargetMode="External"/><Relationship Id="rId21" Type="http://schemas.openxmlformats.org/officeDocument/2006/relationships/hyperlink" Target="https://transparencia.mt.gob.do/images/docs/publicaciones/codigo-de-trabajo.pdf" TargetMode="External"/><Relationship Id="rId22" Type="http://schemas.openxmlformats.org/officeDocument/2006/relationships/hyperlink" Target="https://transparencia.mt.gob.do/images/docs/publicaciones/codigo-de-trabajo.pdf" TargetMode="External"/><Relationship Id="rId23" Type="http://schemas.openxmlformats.org/officeDocument/2006/relationships/hyperlink" Target="https://transparencia.mt.gob.do/images/docs/publicaciones/codigo-de-trabajo.pdf" TargetMode="External"/><Relationship Id="rId24" Type="http://schemas.openxmlformats.org/officeDocument/2006/relationships/hyperlink" Target="https://transparencia.mt.gob.do/images/docs/publicaciones/codigo-de-trabajo.pdf" TargetMode="External"/><Relationship Id="rId25" Type="http://schemas.openxmlformats.org/officeDocument/2006/relationships/hyperlink" Target="https://transparencia.mt.gob.do/images/docs/publicaciones/codigo-de-trabaj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20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6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13</v>
      </c>
      <c r="F4" s="8">
        <f>ROUND(MIN(B5,'Tablas oficiales'!$C$4)*'Tablas oficiales'!$C$5/100,2)</f>
      </c>
    </row>
    <row r="5" spans="1:6" x14ac:dyDescent="0.25">
      <c r="A5" s="9" t="s">
        <v>14</v>
      </c>
      <c r="B5" s="10">
        <v>60000</v>
      </c>
      <c r="C5" s="11" t="s">
        <v>15</v>
      </c>
      <c r="E5" s="7" t="s">
        <v>16</v>
      </c>
      <c r="F5" s="8">
        <f>ROUND(MIN(B5,'Tablas oficiales'!$C$6)*'Tablas oficiales'!$C$7/100,2)</f>
      </c>
    </row>
    <row r="6" spans="5:6" x14ac:dyDescent="0.25">
      <c r="E6" s="7" t="s">
        <v>17</v>
      </c>
      <c r="F6" s="8">
        <f>ROUND(B5-F4-F5,2)</f>
      </c>
    </row>
    <row r="7" spans="1:6" x14ac:dyDescent="0.25">
      <c r="A7" s="6" t="s">
        <v>18</v>
      </c>
      <c r="B7" s="6"/>
      <c r="C7" s="6"/>
      <c r="E7" s="7" t="s">
        <v>19</v>
      </c>
      <c r="F7" s="8">
        <f>F6*12</f>
      </c>
    </row>
    <row r="8" spans="1:6" x14ac:dyDescent="0.25">
      <c r="A8" s="12" t="s">
        <v>20</v>
      </c>
      <c r="B8" s="13">
        <f>B5</f>
      </c>
      <c r="E8" s="7" t="s">
        <v>21</v>
      </c>
      <c r="F8" s="8">
        <f>ROUND(IF(F7&lt;=0,0,INDEX('Tablas oficiales'!$E$10:$E$13,IFERROR(MATCH(F7,'Tablas oficiales'!$B$10:$B$13,1),1))+(F7-INDEX('Tablas oficiales'!$B$10:$B$13,IFERROR(MATCH(F7,'Tablas oficiales'!$B$10:$B$13,1),1)))*INDEX('Tablas oficiales'!$D$10:$D$13,IFERROR(MATCH(F7,'Tablas oficiales'!$B$10:$B$13,1),1))/100)/12,2)</f>
      </c>
    </row>
    <row r="9" spans="1:6" x14ac:dyDescent="0.25">
      <c r="A9" s="12" t="s">
        <v>13</v>
      </c>
      <c r="B9" s="13">
        <f>F4</f>
      </c>
      <c r="E9" s="7" t="s">
        <v>22</v>
      </c>
      <c r="F9" s="8">
        <f>ROUND(F4+F5+F8,2)</f>
      </c>
    </row>
    <row r="10" spans="1:2" x14ac:dyDescent="0.25">
      <c r="A10" s="12" t="s">
        <v>16</v>
      </c>
      <c r="B10" s="13">
        <f>F5</f>
      </c>
    </row>
    <row r="11" spans="1:2" x14ac:dyDescent="0.25">
      <c r="A11" s="12" t="s">
        <v>17</v>
      </c>
      <c r="B11" s="13">
        <f>F6</f>
      </c>
    </row>
    <row r="12" spans="1:2" x14ac:dyDescent="0.25">
      <c r="A12" s="12" t="s">
        <v>23</v>
      </c>
      <c r="B12" s="13">
        <f>F8</f>
      </c>
    </row>
    <row r="13" spans="1:2" x14ac:dyDescent="0.25">
      <c r="A13" s="12" t="s">
        <v>22</v>
      </c>
      <c r="B13" s="13">
        <f>F9</f>
      </c>
    </row>
    <row r="14" spans="1:2" x14ac:dyDescent="0.25">
      <c r="A14" s="14" t="s">
        <v>24</v>
      </c>
      <c r="B14" s="15">
        <f>ROUND(B5-F9,2)</f>
      </c>
    </row>
    <row r="16" ht="36" customHeight="1" spans="1:3" x14ac:dyDescent="0.25">
      <c r="A16" s="4" t="s">
        <v>25</v>
      </c>
      <c r="B16" s="4"/>
      <c r="C16" s="4"/>
    </row>
  </sheetData>
  <mergeCells count="5">
    <mergeCell ref="A1:C1"/>
    <mergeCell ref="E3:F3"/>
    <mergeCell ref="A4:C4"/>
    <mergeCell ref="A7:C7"/>
    <mergeCell ref="A16:C16"/>
  </mergeCells>
  <dataValidations count="1">
    <dataValidation type="decimal" allowBlank="1" showErrorMessage="1" error="Escribe un número mayor o igual a 0." sqref="B5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Z19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  <col min="26" max="26" width="9" hidden="1" customWidth="1"/>
  </cols>
  <sheetData>
    <row r="1" ht="28" customHeight="1" spans="1:26" x14ac:dyDescent="0.25">
      <c r="A1" s="5" t="s">
        <v>26</v>
      </c>
      <c r="B1" s="5"/>
      <c r="C1" s="5"/>
      <c r="Z1" t="s">
        <v>27</v>
      </c>
    </row>
    <row r="2" spans="26:26" x14ac:dyDescent="0.25">
      <c r="Z2" t="s">
        <v>28</v>
      </c>
    </row>
    <row r="3" spans="5:26" x14ac:dyDescent="0.25">
      <c r="E3" s="6" t="s">
        <v>11</v>
      </c>
      <c r="F3" s="6"/>
      <c r="Z3" t="s">
        <v>29</v>
      </c>
    </row>
    <row r="4" spans="1:26" x14ac:dyDescent="0.25">
      <c r="A4" s="6" t="s">
        <v>12</v>
      </c>
      <c r="B4" s="6"/>
      <c r="C4" s="6"/>
      <c r="E4" s="7" t="s">
        <v>30</v>
      </c>
      <c r="F4" s="16">
        <f>IF(AND(ISNUMBER(B6),B6&gt;DATE(YEAR(B9),1,1)),B6,DATE(YEAR(B9),1,1))</f>
      </c>
      <c r="Z4" t="s">
        <v>31</v>
      </c>
    </row>
    <row r="5" spans="1:6" x14ac:dyDescent="0.25">
      <c r="A5" s="9" t="s">
        <v>32</v>
      </c>
      <c r="B5" s="10">
        <v>40000</v>
      </c>
      <c r="C5" s="11" t="s">
        <v>33</v>
      </c>
      <c r="E5" s="7" t="s">
        <v>34</v>
      </c>
      <c r="F5" s="16">
        <f>IF(AND(ISNUMBER(B7),B7&lt;DATE(YEAR(B9),12,31)),B7,DATE(YEAR(B9),12,31))</f>
      </c>
    </row>
    <row r="6" spans="1:6" x14ac:dyDescent="0.25">
      <c r="A6" s="9" t="s">
        <v>35</v>
      </c>
      <c r="B6" s="17"/>
      <c r="C6" s="11" t="s">
        <v>36</v>
      </c>
      <c r="E6" s="7" t="s">
        <v>37</v>
      </c>
      <c r="F6" s="18">
        <f>MIN(12,IF(EDATE(F4,((YEAR((F5+1))-YEAR(F4))*12+MONTH((F5+1))-MONTH(F4)))&gt;(F5+1),((YEAR((F5+1))-YEAR(F4))*12+MONTH((F5+1))-MONTH(F4))-1,((YEAR((F5+1))-YEAR(F4))*12+MONTH((F5+1))-MONTH(F4))))</f>
      </c>
    </row>
    <row r="7" spans="1:6" x14ac:dyDescent="0.25">
      <c r="A7" s="9" t="s">
        <v>38</v>
      </c>
      <c r="B7" s="17"/>
      <c r="C7" s="11" t="s">
        <v>39</v>
      </c>
      <c r="E7" s="7" t="s">
        <v>40</v>
      </c>
      <c r="F7" s="19">
        <f>IF(F5&lt;F4,0,MIN(12,F6+((F5+1)-EDATE(F4,F6))/30))</f>
      </c>
    </row>
    <row r="8" spans="1:6" x14ac:dyDescent="0.25">
      <c r="A8" s="9" t="s">
        <v>41</v>
      </c>
      <c r="B8" s="20" t="s">
        <v>27</v>
      </c>
      <c r="E8" s="7" t="s">
        <v>42</v>
      </c>
      <c r="F8" s="8">
        <f>ROUND(B5*F7,2)</f>
      </c>
    </row>
    <row r="9" spans="1:6" x14ac:dyDescent="0.25">
      <c r="A9" s="9" t="s">
        <v>43</v>
      </c>
      <c r="B9" s="17">
        <f>TODAY()</f>
      </c>
      <c r="C9" s="11" t="s">
        <v>44</v>
      </c>
      <c r="E9" s="7" t="s">
        <v>45</v>
      </c>
      <c r="F9" s="8">
        <f>ROUND(F8/12,2)</f>
      </c>
    </row>
    <row r="10" spans="5:6" x14ac:dyDescent="0.25">
      <c r="E10" s="7" t="s">
        <v>46</v>
      </c>
      <c r="F10" s="8">
        <f>ROUND(INDEX('Tablas oficiales'!$C$15:$C$18,MATCH(B8,'Tablas oficiales'!$B$15:$B$18,0))*'Tablas oficiales'!$C$19,2)</f>
      </c>
    </row>
    <row r="11" spans="1:3" x14ac:dyDescent="0.25">
      <c r="A11" s="6" t="s">
        <v>47</v>
      </c>
      <c r="B11" s="6"/>
      <c r="C11" s="6"/>
    </row>
    <row r="12" spans="1:3" x14ac:dyDescent="0.25">
      <c r="A12" s="21">
        <f>IF(AND(ISNUMBER(B6),ISNUMBER(B7),B7&lt;B6),"El último día tiene que ser posterior a la fecha en que empezaste.","")</f>
      </c>
      <c r="B12" s="21"/>
      <c r="C12" s="21"/>
    </row>
    <row r="13" spans="1:2" x14ac:dyDescent="0.25">
      <c r="A13" s="12" t="s">
        <v>48</v>
      </c>
      <c r="B13" s="22">
        <f>ROUND(F7,2)</f>
      </c>
    </row>
    <row r="14" spans="1:2" x14ac:dyDescent="0.25">
      <c r="A14" s="12" t="s">
        <v>42</v>
      </c>
      <c r="B14" s="13">
        <f>F8</f>
      </c>
    </row>
    <row r="15" spans="1:2" x14ac:dyDescent="0.25">
      <c r="A15" s="12" t="s">
        <v>49</v>
      </c>
      <c r="B15" s="13">
        <f>F9</f>
      </c>
    </row>
    <row r="16" spans="1:2" x14ac:dyDescent="0.25">
      <c r="A16" s="12" t="s">
        <v>50</v>
      </c>
      <c r="B16" s="13">
        <f>F10</f>
      </c>
    </row>
    <row r="17" spans="1:2" x14ac:dyDescent="0.25">
      <c r="A17" s="14" t="s">
        <v>51</v>
      </c>
      <c r="B17" s="15">
        <f>MIN(F9,F10)</f>
      </c>
    </row>
    <row r="19" ht="36" customHeight="1" spans="1:3" x14ac:dyDescent="0.25">
      <c r="A19" s="4" t="s">
        <v>52</v>
      </c>
      <c r="B19" s="4"/>
      <c r="C19" s="4"/>
    </row>
  </sheetData>
  <mergeCells count="6">
    <mergeCell ref="A1:C1"/>
    <mergeCell ref="E3:F3"/>
    <mergeCell ref="A4:C4"/>
    <mergeCell ref="A11:C11"/>
    <mergeCell ref="A12:C12"/>
    <mergeCell ref="A19:C19"/>
  </mergeCells>
  <dataValidations count="3">
    <dataValidation type="decimal" allowBlank="1" showErrorMessage="1" error="Escribe un número mayor o igual a 0." sqref="B5">
      <formula1>0</formula1>
      <formula2>1000000000000</formula2>
    </dataValidation>
    <dataValidation type="date" operator="greaterThan" allowBlank="1" showErrorMessage="1" error="Escribe una fecha como dd/mm/aaaa." sqref="B6:B7">
      <formula1>18264</formula1>
    </dataValidation>
    <dataValidation type="list" showErrorMessage="1" error="Elige una opción de la lista (Tamaño de la empresa)." sqref="B8">
      <formula1>'Regalía pascual'!$Z$1:$Z$4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Z26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  <col min="26" max="26" width="9" hidden="1" customWidth="1"/>
  </cols>
  <sheetData>
    <row r="1" ht="28" customHeight="1" spans="1:26" x14ac:dyDescent="0.25">
      <c r="A1" s="5" t="s">
        <v>53</v>
      </c>
      <c r="B1" s="5"/>
      <c r="C1" s="5"/>
      <c r="Z1" t="s">
        <v>27</v>
      </c>
    </row>
    <row r="2" spans="26:26" x14ac:dyDescent="0.25">
      <c r="Z2" t="s">
        <v>28</v>
      </c>
    </row>
    <row r="3" spans="5:26" x14ac:dyDescent="0.25">
      <c r="E3" s="6" t="s">
        <v>11</v>
      </c>
      <c r="F3" s="6"/>
      <c r="Z3" t="s">
        <v>29</v>
      </c>
    </row>
    <row r="4" spans="1:26" x14ac:dyDescent="0.25">
      <c r="A4" s="6" t="s">
        <v>12</v>
      </c>
      <c r="B4" s="6"/>
      <c r="C4" s="6"/>
      <c r="E4" s="7" t="s">
        <v>54</v>
      </c>
      <c r="F4" s="18">
        <f>IF(EDATE(B5,12*(YEAR(B6)-YEAR(B5)))&gt;B6,(YEAR(B6)-YEAR(B5))-1,(YEAR(B6)-YEAR(B5)))</f>
      </c>
      <c r="Z4" t="s">
        <v>31</v>
      </c>
    </row>
    <row r="5" spans="1:6" x14ac:dyDescent="0.25">
      <c r="A5" s="9" t="s">
        <v>55</v>
      </c>
      <c r="B5" s="17">
        <v>44635</v>
      </c>
      <c r="E5" s="7" t="s">
        <v>56</v>
      </c>
      <c r="F5" s="16">
        <f>EDATE(B5,12*F4)</f>
      </c>
    </row>
    <row r="6" spans="1:6" x14ac:dyDescent="0.25">
      <c r="A6" s="9" t="s">
        <v>57</v>
      </c>
      <c r="B6" s="17">
        <v>46317</v>
      </c>
      <c r="E6" s="7" t="s">
        <v>58</v>
      </c>
      <c r="F6" s="18">
        <f>MIN(12,IF(EDATE(F5,((YEAR(B6)-YEAR(F5))*12+MONTH(B6)-MONTH(F5)))&gt;B6,((YEAR(B6)-YEAR(F5))*12+MONTH(B6)-MONTH(F5))-1,((YEAR(B6)-YEAR(F5))*12+MONTH(B6)-MONTH(F5))))</f>
      </c>
    </row>
    <row r="7" ht="30" customHeight="1" spans="1:6" x14ac:dyDescent="0.25">
      <c r="A7" s="9" t="s">
        <v>59</v>
      </c>
      <c r="B7" s="10">
        <v>40000</v>
      </c>
      <c r="C7" s="11" t="s">
        <v>60</v>
      </c>
      <c r="E7" s="7" t="s">
        <v>61</v>
      </c>
      <c r="F7" s="18">
        <f>B6-EDATE(F5,F6)</f>
      </c>
    </row>
    <row r="8" spans="1:6" x14ac:dyDescent="0.25">
      <c r="A8" s="9" t="s">
        <v>62</v>
      </c>
      <c r="B8" s="20" t="s">
        <v>63</v>
      </c>
      <c r="E8" s="7" t="s">
        <v>64</v>
      </c>
      <c r="F8" s="8">
        <f>ROUND(B7/'Tablas oficiales'!$C$20,2)</f>
      </c>
    </row>
    <row r="9" ht="30" customHeight="1" spans="1:3" x14ac:dyDescent="0.25">
      <c r="A9" s="9" t="s">
        <v>65</v>
      </c>
      <c r="B9" s="20" t="s">
        <v>66</v>
      </c>
      <c r="C9" s="11" t="s">
        <v>67</v>
      </c>
    </row>
    <row r="10" spans="1:5" x14ac:dyDescent="0.25">
      <c r="A10" s="9" t="s">
        <v>68</v>
      </c>
      <c r="B10" s="23">
        <v>0</v>
      </c>
      <c r="E10" s="24" t="s">
        <v>69</v>
      </c>
    </row>
    <row r="11" spans="1:6" x14ac:dyDescent="0.25">
      <c r="A11" s="9" t="s">
        <v>41</v>
      </c>
      <c r="B11" s="20" t="s">
        <v>27</v>
      </c>
      <c r="E11" s="7" t="s">
        <v>70</v>
      </c>
      <c r="F11" s="19">
        <f>IF(AND(OR(B8="Me desahuciaron (despido sin alegar causa)",B8="Despido injustificado o dimisión justificada"),OR(B8="Despido injustificado o dimisión justificada",AND(B8="Me desahuciaron (despido sin alegar causa)",B9="No"))),IF(F4&gt;=1,'Tablas oficiales'!$C$23,IF(F6&lt;3,0,IF(OR(F6&lt;6,AND(F6=6,F7=0)),'Tablas oficiales'!$C$21,'Tablas oficiales'!$C$22))),0)</f>
      </c>
    </row>
    <row r="12" spans="5:6" x14ac:dyDescent="0.25">
      <c r="E12" s="7" t="s">
        <v>71</v>
      </c>
      <c r="F12" s="19">
        <f>IF(OR(B8="Me desahuciaron (despido sin alegar causa)",B8="Despido injustificado o dimisión justificada"),IF(F4=0,IF(OR(F6&lt;3),0,IF(OR(F6&lt;6,AND(F6=6,F7=0)),'Tablas oficiales'!$C$24,'Tablas oficiales'!$C$25)),F4*IF(F4&gt;=5,'Tablas oficiales'!$C$27,'Tablas oficiales'!$C$26)+IF(OR(F6&lt;3,AND(F6=3,F7=0)),0,IF(OR(F6&lt;6,AND(F6=6,F7=0)),'Tablas oficiales'!$C$24,'Tablas oficiales'!$C$25))),0)</f>
      </c>
    </row>
    <row r="13" spans="1:3" x14ac:dyDescent="0.25">
      <c r="A13" s="6" t="s">
        <v>72</v>
      </c>
      <c r="B13" s="6"/>
      <c r="C13" s="6"/>
    </row>
    <row r="14" spans="1:5" x14ac:dyDescent="0.25">
      <c r="A14" s="21">
        <f>IF(B6&lt;B5,"El último día tiene que ser posterior a la fecha en que empezaste.","")</f>
      </c>
      <c r="B14" s="21"/>
      <c r="C14" s="21"/>
      <c r="E14" s="24" t="s">
        <v>73</v>
      </c>
    </row>
    <row r="15" spans="1:6" x14ac:dyDescent="0.25">
      <c r="A15" s="12" t="s">
        <v>74</v>
      </c>
      <c r="B15" s="25">
        <f>F4&amp;" años, "&amp;F6&amp;" meses y "&amp;F7&amp;" días"</f>
      </c>
      <c r="E15" s="7" t="s">
        <v>75</v>
      </c>
      <c r="F15" s="18">
        <f>IF(F7&gt;0,F6,F6-1)</f>
      </c>
    </row>
    <row r="16" spans="1:6" x14ac:dyDescent="0.25">
      <c r="A16" s="12" t="s">
        <v>76</v>
      </c>
      <c r="B16" s="13">
        <f>F8</f>
      </c>
      <c r="E16" s="7" t="s">
        <v>77</v>
      </c>
      <c r="F16" s="19">
        <f>IF(F15&lt;5,0,CHOOSE(MIN(F15,11)-4,'Tablas oficiales'!$C$28,'Tablas oficiales'!$C$29,'Tablas oficiales'!$C$30,'Tablas oficiales'!$C$31,'Tablas oficiales'!$C$32,'Tablas oficiales'!$C$33,'Tablas oficiales'!$C$34))+B10</f>
      </c>
    </row>
    <row r="17" spans="1:6" x14ac:dyDescent="0.25">
      <c r="A17" s="12" t="s">
        <v>70</v>
      </c>
      <c r="B17" s="22">
        <f>F11</f>
      </c>
      <c r="E17" s="7" t="s">
        <v>78</v>
      </c>
      <c r="F17" s="16">
        <f>IF(AND(ISNUMBER(B5),B5&gt;DATE(YEAR(B6),1,1)),B5,DATE(YEAR(B6),1,1))</f>
      </c>
    </row>
    <row r="18" spans="1:6" x14ac:dyDescent="0.25">
      <c r="A18" s="12" t="s">
        <v>79</v>
      </c>
      <c r="B18" s="13">
        <f>F23</f>
      </c>
      <c r="E18" s="7" t="s">
        <v>80</v>
      </c>
      <c r="F18" s="16">
        <f>IF(AND(ISNUMBER(B6),B6&lt;DATE(YEAR(B6),12,31)),B6,DATE(YEAR(B6),12,31))</f>
      </c>
    </row>
    <row r="19" spans="1:6" x14ac:dyDescent="0.25">
      <c r="A19" s="12" t="s">
        <v>71</v>
      </c>
      <c r="B19" s="22">
        <f>F12</f>
      </c>
      <c r="E19" s="7" t="s">
        <v>81</v>
      </c>
      <c r="F19" s="18">
        <f>MIN(12,IF(EDATE(F17,((YEAR((F18+1))-YEAR(F17))*12+MONTH((F18+1))-MONTH(F17)))&gt;(F18+1),((YEAR((F18+1))-YEAR(F17))*12+MONTH((F18+1))-MONTH(F17))-1,((YEAR((F18+1))-YEAR(F17))*12+MONTH((F18+1))-MONTH(F17))))</f>
      </c>
    </row>
    <row r="20" spans="1:6" x14ac:dyDescent="0.25">
      <c r="A20" s="12" t="s">
        <v>82</v>
      </c>
      <c r="B20" s="13">
        <f>F24</f>
      </c>
      <c r="E20" s="7" t="s">
        <v>83</v>
      </c>
      <c r="F20" s="19">
        <f>IF(F18&lt;F17,0,MIN(12,F19+((F18+1)-EDATE(F17,F19))/30))</f>
      </c>
    </row>
    <row r="21" spans="1:6" x14ac:dyDescent="0.25">
      <c r="A21" s="12" t="s">
        <v>77</v>
      </c>
      <c r="B21" s="22">
        <f>F16</f>
      </c>
      <c r="E21" s="7" t="s">
        <v>84</v>
      </c>
      <c r="F21" s="8">
        <f>ROUND(INDEX('Tablas oficiales'!$C$15:$C$18,MATCH(B11,'Tablas oficiales'!$B$15:$B$18,0))*'Tablas oficiales'!$C$19,2)</f>
      </c>
    </row>
    <row r="22" spans="1:6" x14ac:dyDescent="0.25">
      <c r="A22" s="12" t="s">
        <v>85</v>
      </c>
      <c r="B22" s="13">
        <f>F25</f>
      </c>
      <c r="E22" s="7" t="s">
        <v>86</v>
      </c>
      <c r="F22" s="8">
        <f>MIN(ROUND(B7*F20/12,2),F21)</f>
      </c>
    </row>
    <row r="23" spans="1:6" x14ac:dyDescent="0.25">
      <c r="A23" s="12" t="s">
        <v>87</v>
      </c>
      <c r="B23" s="13">
        <f>F22</f>
      </c>
      <c r="E23" s="7" t="s">
        <v>79</v>
      </c>
      <c r="F23" s="8">
        <f>ROUND(F8*F11,2)</f>
      </c>
    </row>
    <row r="24" spans="1:6" x14ac:dyDescent="0.25">
      <c r="A24" s="14" t="s">
        <v>88</v>
      </c>
      <c r="B24" s="15">
        <f>ROUND(F23+F24+F25+F22,2)</f>
      </c>
      <c r="E24" s="7" t="s">
        <v>89</v>
      </c>
      <c r="F24" s="8">
        <f>ROUND(F8*F12,2)</f>
      </c>
    </row>
    <row r="25" spans="5:6" x14ac:dyDescent="0.25">
      <c r="E25" s="7" t="s">
        <v>85</v>
      </c>
      <c r="F25" s="8">
        <f>ROUND(F8*F16,2)</f>
      </c>
    </row>
    <row r="26" ht="36" customHeight="1" spans="1:3" x14ac:dyDescent="0.25">
      <c r="A26" s="4" t="s">
        <v>90</v>
      </c>
      <c r="B26" s="4"/>
      <c r="C26" s="4"/>
    </row>
  </sheetData>
  <mergeCells count="6">
    <mergeCell ref="A1:C1"/>
    <mergeCell ref="E3:F3"/>
    <mergeCell ref="A4:C4"/>
    <mergeCell ref="A13:C13"/>
    <mergeCell ref="A14:C14"/>
    <mergeCell ref="A26:C26"/>
  </mergeCells>
  <dataValidations count="6">
    <dataValidation type="decimal" allowBlank="1" showErrorMessage="1" error="Escribe un número mayor o igual a 0." sqref="B10">
      <formula1>0</formula1>
      <formula2>1000000000000</formula2>
    </dataValidation>
    <dataValidation type="list" showErrorMessage="1" error="Elige una opción de la lista (Tamaño de la empresa)." sqref="B11">
      <formula1>'Prestaciones laborales'!$Z$1:$Z$4</formula1>
    </dataValidation>
    <dataValidation type="date" operator="greaterThan" allowBlank="1" showErrorMessage="1" error="Escribe una fecha como dd/mm/aaaa." sqref="B5:B6">
      <formula1>18264</formula1>
    </dataValidation>
    <dataValidation type="decimal" allowBlank="1" showErrorMessage="1" error="Escribe un número mayor o igual a 0." sqref="B7">
      <formula1>0</formula1>
      <formula2>1000000000000</formula2>
    </dataValidation>
    <dataValidation type="list" showErrorMessage="1" error="Elige una opción de la lista." sqref="B8">
      <formula1>"Me desahuciaron (despido sin alegar causa),Despido injustificado o dimisión justificada,Renuncié,Despido justificado"</formula1>
    </dataValidation>
    <dataValidation type="list" showErrorMessage="1" error="Elige una opción de la lista." sqref="B9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6" t="s">
        <v>91</v>
      </c>
      <c r="B1" s="26"/>
      <c r="C1" s="26"/>
      <c r="D1" s="26"/>
      <c r="E1" s="26"/>
      <c r="F1" s="26"/>
      <c r="G1" s="26"/>
    </row>
    <row r="2" ht="30" customHeight="1" spans="1:7" x14ac:dyDescent="0.25">
      <c r="A2" s="4" t="s">
        <v>92</v>
      </c>
      <c r="B2" s="4"/>
      <c r="C2" s="4"/>
      <c r="D2" s="4"/>
      <c r="E2" s="4"/>
      <c r="F2" s="4"/>
      <c r="G2" s="4"/>
    </row>
    <row r="3" spans="1:7" x14ac:dyDescent="0.25">
      <c r="A3" s="27" t="s">
        <v>93</v>
      </c>
      <c r="B3" s="27" t="s">
        <v>94</v>
      </c>
      <c r="C3" s="27" t="s">
        <v>95</v>
      </c>
      <c r="D3" s="27" t="s">
        <v>96</v>
      </c>
      <c r="E3" s="27" t="s">
        <v>97</v>
      </c>
      <c r="F3" s="27" t="s">
        <v>98</v>
      </c>
      <c r="G3" s="27" t="s">
        <v>99</v>
      </c>
    </row>
    <row r="4" spans="1:7" x14ac:dyDescent="0.25">
      <c r="A4" s="28" t="s">
        <v>100</v>
      </c>
      <c r="B4" s="28" t="s">
        <v>101</v>
      </c>
      <c r="C4" s="29">
        <v>232230</v>
      </c>
      <c r="D4" s="28" t="s">
        <v>102</v>
      </c>
      <c r="E4" s="28" t="s">
        <v>103</v>
      </c>
      <c r="F4" s="30" t="s">
        <v>104</v>
      </c>
      <c r="G4" s="28" t="s">
        <v>105</v>
      </c>
    </row>
    <row r="5" spans="1:7" x14ac:dyDescent="0.25">
      <c r="A5" s="31" t="s">
        <v>106</v>
      </c>
      <c r="B5" s="31" t="s">
        <v>101</v>
      </c>
      <c r="C5" s="32">
        <v>3.04</v>
      </c>
      <c r="D5" s="31" t="s">
        <v>107</v>
      </c>
      <c r="E5" s="31" t="s">
        <v>103</v>
      </c>
      <c r="F5" s="33" t="s">
        <v>104</v>
      </c>
      <c r="G5" s="31" t="s">
        <v>105</v>
      </c>
    </row>
    <row r="6" spans="1:7" x14ac:dyDescent="0.25">
      <c r="A6" s="28" t="s">
        <v>108</v>
      </c>
      <c r="B6" s="28" t="s">
        <v>101</v>
      </c>
      <c r="C6" s="29">
        <v>464460</v>
      </c>
      <c r="D6" s="28" t="s">
        <v>102</v>
      </c>
      <c r="E6" s="28" t="s">
        <v>103</v>
      </c>
      <c r="F6" s="30" t="s">
        <v>104</v>
      </c>
      <c r="G6" s="28" t="s">
        <v>105</v>
      </c>
    </row>
    <row r="7" spans="1:7" x14ac:dyDescent="0.25">
      <c r="A7" s="31" t="s">
        <v>109</v>
      </c>
      <c r="B7" s="31" t="s">
        <v>101</v>
      </c>
      <c r="C7" s="32">
        <v>2.87</v>
      </c>
      <c r="D7" s="31" t="s">
        <v>107</v>
      </c>
      <c r="E7" s="31" t="s">
        <v>103</v>
      </c>
      <c r="F7" s="33" t="s">
        <v>104</v>
      </c>
      <c r="G7" s="31" t="s">
        <v>105</v>
      </c>
    </row>
    <row r="8" spans="1:7" x14ac:dyDescent="0.25">
      <c r="A8" s="34" t="s">
        <v>110</v>
      </c>
      <c r="B8" s="35"/>
      <c r="C8" s="35"/>
      <c r="D8" s="35" t="s">
        <v>102</v>
      </c>
      <c r="E8" s="35" t="s">
        <v>111</v>
      </c>
      <c r="F8" s="36" t="s">
        <v>112</v>
      </c>
      <c r="G8" s="35" t="s">
        <v>105</v>
      </c>
    </row>
    <row r="9" spans="2:5" x14ac:dyDescent="0.25">
      <c r="B9" s="37" t="s">
        <v>113</v>
      </c>
      <c r="C9" s="37" t="s">
        <v>114</v>
      </c>
      <c r="D9" s="37" t="s">
        <v>115</v>
      </c>
      <c r="E9" s="37" t="s">
        <v>116</v>
      </c>
    </row>
    <row r="10" spans="2:5" x14ac:dyDescent="0.25">
      <c r="B10" s="38">
        <v>0</v>
      </c>
      <c r="C10" s="39">
        <v>416220</v>
      </c>
      <c r="D10" s="40">
        <v>0</v>
      </c>
      <c r="E10" s="38">
        <v>0</v>
      </c>
    </row>
    <row r="11" spans="2:5" x14ac:dyDescent="0.25">
      <c r="B11" s="38">
        <v>416220.01</v>
      </c>
      <c r="C11" s="39">
        <v>624329</v>
      </c>
      <c r="D11" s="40">
        <v>15</v>
      </c>
      <c r="E11" s="38">
        <v>0</v>
      </c>
    </row>
    <row r="12" spans="2:5" x14ac:dyDescent="0.25">
      <c r="B12" s="38">
        <v>624329.01</v>
      </c>
      <c r="C12" s="39">
        <v>867123</v>
      </c>
      <c r="D12" s="40">
        <v>20</v>
      </c>
      <c r="E12" s="38">
        <v>31216</v>
      </c>
    </row>
    <row r="13" spans="2:5" x14ac:dyDescent="0.25">
      <c r="B13" s="38">
        <v>867123.01</v>
      </c>
      <c r="C13" s="39">
        <v>1000000000000000</v>
      </c>
      <c r="D13" s="40">
        <v>25</v>
      </c>
      <c r="E13" s="38">
        <v>79776</v>
      </c>
    </row>
    <row r="15" spans="1:7" x14ac:dyDescent="0.25">
      <c r="A15" s="28" t="s">
        <v>117</v>
      </c>
      <c r="B15" s="28" t="s">
        <v>27</v>
      </c>
      <c r="C15" s="29">
        <v>29988</v>
      </c>
      <c r="D15" s="28" t="s">
        <v>102</v>
      </c>
      <c r="E15" s="28" t="s">
        <v>103</v>
      </c>
      <c r="F15" s="30" t="s">
        <v>118</v>
      </c>
      <c r="G15" s="28" t="s">
        <v>105</v>
      </c>
    </row>
    <row r="16" spans="1:7" x14ac:dyDescent="0.25">
      <c r="A16" s="31" t="s">
        <v>117</v>
      </c>
      <c r="B16" s="31" t="s">
        <v>28</v>
      </c>
      <c r="C16" s="41">
        <v>27489.6</v>
      </c>
      <c r="D16" s="31" t="s">
        <v>102</v>
      </c>
      <c r="E16" s="31" t="s">
        <v>103</v>
      </c>
      <c r="F16" s="33" t="s">
        <v>118</v>
      </c>
      <c r="G16" s="31" t="s">
        <v>105</v>
      </c>
    </row>
    <row r="17" spans="1:7" x14ac:dyDescent="0.25">
      <c r="A17" s="28" t="s">
        <v>117</v>
      </c>
      <c r="B17" s="28" t="s">
        <v>29</v>
      </c>
      <c r="C17" s="29">
        <v>18421.2</v>
      </c>
      <c r="D17" s="28" t="s">
        <v>102</v>
      </c>
      <c r="E17" s="28" t="s">
        <v>103</v>
      </c>
      <c r="F17" s="30" t="s">
        <v>118</v>
      </c>
      <c r="G17" s="28" t="s">
        <v>105</v>
      </c>
    </row>
    <row r="18" spans="1:7" x14ac:dyDescent="0.25">
      <c r="A18" s="31" t="s">
        <v>117</v>
      </c>
      <c r="B18" s="31" t="s">
        <v>31</v>
      </c>
      <c r="C18" s="41">
        <v>16993.2</v>
      </c>
      <c r="D18" s="31" t="s">
        <v>102</v>
      </c>
      <c r="E18" s="31" t="s">
        <v>103</v>
      </c>
      <c r="F18" s="33" t="s">
        <v>118</v>
      </c>
      <c r="G18" s="31" t="s">
        <v>105</v>
      </c>
    </row>
    <row r="19" spans="1:7" x14ac:dyDescent="0.25">
      <c r="A19" s="28" t="s">
        <v>119</v>
      </c>
      <c r="B19" s="28" t="s">
        <v>101</v>
      </c>
      <c r="C19" s="42">
        <v>5</v>
      </c>
      <c r="D19" s="28" t="s">
        <v>101</v>
      </c>
      <c r="E19" s="28" t="s">
        <v>120</v>
      </c>
      <c r="F19" s="30" t="s">
        <v>121</v>
      </c>
      <c r="G19" s="28" t="s">
        <v>105</v>
      </c>
    </row>
    <row r="20" spans="1:7" x14ac:dyDescent="0.25">
      <c r="A20" s="31" t="s">
        <v>122</v>
      </c>
      <c r="B20" s="31" t="s">
        <v>101</v>
      </c>
      <c r="C20" s="32">
        <v>23.83</v>
      </c>
      <c r="D20" s="31" t="s">
        <v>123</v>
      </c>
      <c r="E20" s="31" t="s">
        <v>124</v>
      </c>
      <c r="F20" s="33" t="s">
        <v>121</v>
      </c>
      <c r="G20" s="31" t="s">
        <v>105</v>
      </c>
    </row>
    <row r="21" spans="1:7" x14ac:dyDescent="0.25">
      <c r="A21" s="28" t="s">
        <v>125</v>
      </c>
      <c r="B21" s="28" t="s">
        <v>126</v>
      </c>
      <c r="C21" s="42">
        <v>7</v>
      </c>
      <c r="D21" s="28" t="s">
        <v>127</v>
      </c>
      <c r="E21" s="28" t="s">
        <v>120</v>
      </c>
      <c r="F21" s="30" t="s">
        <v>121</v>
      </c>
      <c r="G21" s="28" t="s">
        <v>105</v>
      </c>
    </row>
    <row r="22" spans="1:7" x14ac:dyDescent="0.25">
      <c r="A22" s="31" t="s">
        <v>125</v>
      </c>
      <c r="B22" s="31" t="s">
        <v>128</v>
      </c>
      <c r="C22" s="32">
        <v>14</v>
      </c>
      <c r="D22" s="31" t="s">
        <v>127</v>
      </c>
      <c r="E22" s="31" t="s">
        <v>120</v>
      </c>
      <c r="F22" s="33" t="s">
        <v>121</v>
      </c>
      <c r="G22" s="31" t="s">
        <v>105</v>
      </c>
    </row>
    <row r="23" spans="1:7" x14ac:dyDescent="0.25">
      <c r="A23" s="28" t="s">
        <v>125</v>
      </c>
      <c r="B23" s="28" t="s">
        <v>129</v>
      </c>
      <c r="C23" s="42">
        <v>28</v>
      </c>
      <c r="D23" s="28" t="s">
        <v>127</v>
      </c>
      <c r="E23" s="28" t="s">
        <v>120</v>
      </c>
      <c r="F23" s="30" t="s">
        <v>121</v>
      </c>
      <c r="G23" s="28" t="s">
        <v>105</v>
      </c>
    </row>
    <row r="24" spans="1:7" x14ac:dyDescent="0.25">
      <c r="A24" s="31" t="s">
        <v>130</v>
      </c>
      <c r="B24" s="31" t="s">
        <v>126</v>
      </c>
      <c r="C24" s="32">
        <v>6</v>
      </c>
      <c r="D24" s="31" t="s">
        <v>127</v>
      </c>
      <c r="E24" s="31" t="s">
        <v>120</v>
      </c>
      <c r="F24" s="33" t="s">
        <v>121</v>
      </c>
      <c r="G24" s="31" t="s">
        <v>105</v>
      </c>
    </row>
    <row r="25" spans="1:7" x14ac:dyDescent="0.25">
      <c r="A25" s="28" t="s">
        <v>130</v>
      </c>
      <c r="B25" s="28" t="s">
        <v>131</v>
      </c>
      <c r="C25" s="42">
        <v>13</v>
      </c>
      <c r="D25" s="28" t="s">
        <v>127</v>
      </c>
      <c r="E25" s="28" t="s">
        <v>120</v>
      </c>
      <c r="F25" s="30" t="s">
        <v>121</v>
      </c>
      <c r="G25" s="28" t="s">
        <v>105</v>
      </c>
    </row>
    <row r="26" spans="1:7" x14ac:dyDescent="0.25">
      <c r="A26" s="31" t="s">
        <v>130</v>
      </c>
      <c r="B26" s="31" t="s">
        <v>132</v>
      </c>
      <c r="C26" s="32">
        <v>21</v>
      </c>
      <c r="D26" s="31" t="s">
        <v>127</v>
      </c>
      <c r="E26" s="31" t="s">
        <v>120</v>
      </c>
      <c r="F26" s="33" t="s">
        <v>121</v>
      </c>
      <c r="G26" s="31" t="s">
        <v>105</v>
      </c>
    </row>
    <row r="27" spans="1:7" x14ac:dyDescent="0.25">
      <c r="A27" s="28" t="s">
        <v>130</v>
      </c>
      <c r="B27" s="28" t="s">
        <v>133</v>
      </c>
      <c r="C27" s="42">
        <v>23</v>
      </c>
      <c r="D27" s="28" t="s">
        <v>127</v>
      </c>
      <c r="E27" s="28" t="s">
        <v>120</v>
      </c>
      <c r="F27" s="30" t="s">
        <v>121</v>
      </c>
      <c r="G27" s="28" t="s">
        <v>105</v>
      </c>
    </row>
    <row r="28" spans="1:7" x14ac:dyDescent="0.25">
      <c r="A28" s="31" t="s">
        <v>134</v>
      </c>
      <c r="B28" s="31" t="s">
        <v>135</v>
      </c>
      <c r="C28" s="32">
        <v>6</v>
      </c>
      <c r="D28" s="31" t="s">
        <v>127</v>
      </c>
      <c r="E28" s="31" t="s">
        <v>120</v>
      </c>
      <c r="F28" s="33" t="s">
        <v>121</v>
      </c>
      <c r="G28" s="31" t="s">
        <v>105</v>
      </c>
    </row>
    <row r="29" spans="1:7" x14ac:dyDescent="0.25">
      <c r="A29" s="28" t="s">
        <v>134</v>
      </c>
      <c r="B29" s="28" t="s">
        <v>136</v>
      </c>
      <c r="C29" s="42">
        <v>7</v>
      </c>
      <c r="D29" s="28" t="s">
        <v>127</v>
      </c>
      <c r="E29" s="28" t="s">
        <v>120</v>
      </c>
      <c r="F29" s="30" t="s">
        <v>121</v>
      </c>
      <c r="G29" s="28" t="s">
        <v>105</v>
      </c>
    </row>
    <row r="30" spans="1:7" x14ac:dyDescent="0.25">
      <c r="A30" s="31" t="s">
        <v>134</v>
      </c>
      <c r="B30" s="31" t="s">
        <v>137</v>
      </c>
      <c r="C30" s="32">
        <v>8</v>
      </c>
      <c r="D30" s="31" t="s">
        <v>127</v>
      </c>
      <c r="E30" s="31" t="s">
        <v>120</v>
      </c>
      <c r="F30" s="33" t="s">
        <v>121</v>
      </c>
      <c r="G30" s="31" t="s">
        <v>105</v>
      </c>
    </row>
    <row r="31" spans="1:7" x14ac:dyDescent="0.25">
      <c r="A31" s="28" t="s">
        <v>134</v>
      </c>
      <c r="B31" s="28" t="s">
        <v>138</v>
      </c>
      <c r="C31" s="42">
        <v>9</v>
      </c>
      <c r="D31" s="28" t="s">
        <v>127</v>
      </c>
      <c r="E31" s="28" t="s">
        <v>120</v>
      </c>
      <c r="F31" s="30" t="s">
        <v>121</v>
      </c>
      <c r="G31" s="28" t="s">
        <v>105</v>
      </c>
    </row>
    <row r="32" spans="1:7" x14ac:dyDescent="0.25">
      <c r="A32" s="31" t="s">
        <v>134</v>
      </c>
      <c r="B32" s="31" t="s">
        <v>139</v>
      </c>
      <c r="C32" s="32">
        <v>10</v>
      </c>
      <c r="D32" s="31" t="s">
        <v>127</v>
      </c>
      <c r="E32" s="31" t="s">
        <v>120</v>
      </c>
      <c r="F32" s="33" t="s">
        <v>121</v>
      </c>
      <c r="G32" s="31" t="s">
        <v>105</v>
      </c>
    </row>
    <row r="33" spans="1:7" x14ac:dyDescent="0.25">
      <c r="A33" s="28" t="s">
        <v>134</v>
      </c>
      <c r="B33" s="28" t="s">
        <v>140</v>
      </c>
      <c r="C33" s="42">
        <v>11</v>
      </c>
      <c r="D33" s="28" t="s">
        <v>127</v>
      </c>
      <c r="E33" s="28" t="s">
        <v>120</v>
      </c>
      <c r="F33" s="30" t="s">
        <v>121</v>
      </c>
      <c r="G33" s="28" t="s">
        <v>105</v>
      </c>
    </row>
    <row r="34" spans="1:7" x14ac:dyDescent="0.25">
      <c r="A34" s="31" t="s">
        <v>134</v>
      </c>
      <c r="B34" s="31" t="s">
        <v>141</v>
      </c>
      <c r="C34" s="32">
        <v>12</v>
      </c>
      <c r="D34" s="31" t="s">
        <v>127</v>
      </c>
      <c r="E34" s="31" t="s">
        <v>120</v>
      </c>
      <c r="F34" s="33" t="s">
        <v>121</v>
      </c>
      <c r="G34" s="31" t="s">
        <v>105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7" r:id="rId4"/>
    <hyperlink ref="F8" r:id="rId5"/>
    <hyperlink ref="F15" r:id="rId6"/>
    <hyperlink ref="F16" r:id="rId7"/>
    <hyperlink ref="F17" r:id="rId8"/>
    <hyperlink ref="F18" r:id="rId9"/>
    <hyperlink ref="F19" r:id="rId10"/>
    <hyperlink ref="F20" r:id="rId11"/>
    <hyperlink ref="F21" r:id="rId12"/>
    <hyperlink ref="F22" r:id="rId13"/>
    <hyperlink ref="F23" r:id="rId14"/>
    <hyperlink ref="F24" r:id="rId15"/>
    <hyperlink ref="F25" r:id="rId16"/>
    <hyperlink ref="F26" r:id="rId17"/>
    <hyperlink ref="F27" r:id="rId18"/>
    <hyperlink ref="F28" r:id="rId19"/>
    <hyperlink ref="F29" r:id="rId20"/>
    <hyperlink ref="F30" r:id="rId21"/>
    <hyperlink ref="F31" r:id="rId22"/>
    <hyperlink ref="F32" r:id="rId23"/>
    <hyperlink ref="F33" r:id="rId24"/>
    <hyperlink ref="F34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Salario neto</vt:lpstr>
      <vt:lpstr>Regalía pascual</vt:lpstr>
      <vt:lpstr>Prestaciones laborales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salario y prestaciones República Dominicana 2026</dc:title>
  <dc:subject/>
  <dc:description/>
  <cp:keywords/>
  <cp:category/>
  <cp:lastModifiedBy>Unknown</cp:lastModifiedBy>
  <dcterms:created xsi:type="dcterms:W3CDTF">2026-10-22T12:00:00Z</dcterms:created>
  <dcterms:modified xsi:type="dcterms:W3CDTF">2026-10-22T12:00:00Z</dcterms:modified>
</cp:coreProperties>
</file>