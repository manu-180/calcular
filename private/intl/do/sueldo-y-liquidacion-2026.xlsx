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<sst xmlns="http://schemas.openxmlformats.org/spreadsheetml/2006/main" count="274" uniqueCount="142">
  <si>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</si>
  <si>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</si>
  <si>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</si>
  <si>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</si>
  <si>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</si>
  <si>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</si>
  <si>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</si>
  <si>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</si>
  <si>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</si>
  <si>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</si>
  <si>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</si>
  <si>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</si>
  <si>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</si>
  <si>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</si>
  <si>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</si>
  <si>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</si>
  <si>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</si>
  <si>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</si>
  <si>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</si>
  <si>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</si>
  <si>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</si>
  <si>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</si>
  <si>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</si>
  <si>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</si>
  <si>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</si>
  <si>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</si>
  <si>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</si>
  <si>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Empresa grande</t>
  </si>
  <si>
    <t>Empresa mediana</t>
  </si>
  <si>
    <t>Empresa pequeña</t>
  </si>
  <si>
    <t>Año: desde</t>
  </si>
  <si>
    <t>Microempresa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</si>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</sst>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26</v>
      </c>
      <c r="B1" s="5"/>
      <c r="C1" s="5"/>
      <c r="Z1" t="s">
        <v>27</v>
      </c>
    </row>
    <row r="2" spans="26:26" x14ac:dyDescent="0.25">
      <c r="Z2" t="s">
        <v>28</v>
      </c>
    </row>
    <row r="3" spans="5:26" x14ac:dyDescent="0.25">
      <c r="E3" s="6" t="s">
        <v>11</v>
      </c>
      <c r="F3" s="6"/>
      <c r="Z3" t="s">
        <v>29</v>
      </c>
    </row>
    <row r="4" spans="1:26" x14ac:dyDescent="0.25">
      <c r="A4" s="6" t="s">
        <v>12</v>
      </c>
      <c r="B4" s="6"/>
      <c r="C4" s="6"/>
      <c r="E4" s="7" t="s">
        <v>30</v>
      </c>
      <c r="F4" s="16">
        <f>IF(AND(ISNUMBER(B6),B6&gt;DATE(YEAR(B9),1,1)),B6,DATE(YEAR(B9),1,1))</f>
      </c>
      <c r="Z4" t="s">
        <v>31</v>
      </c>
    </row>
    <row r="5" spans="1:6" x14ac:dyDescent="0.25">
      <c r="A5" s="9" t="s">
        <v>32</v>
      </c>
      <c r="B5" s="10">
        <v>40000</v>
      </c>
      <c r="C5" s="11" t="s">
        <v>33</v>
      </c>
      <c r="E5" s="7" t="s">
        <v>34</v>
      </c>
      <c r="F5" s="16">
        <f>IF(AND(ISNUMBER(B7),B7&lt;DATE(YEAR(B9),12,31)),B7,DATE(YEAR(B9),12,31))</f>
      </c>
    </row>
    <row r="6" spans="1:6" x14ac:dyDescent="0.25">
      <c r="A6" s="9" t="s">
        <v>35</v>
      </c>
      <c r="B6" s="17"/>
      <c r="C6" s="11" t="s">
        <v>36</v>
      </c>
      <c r="E6" s="7" t="s">
        <v>37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38</v>
      </c>
      <c r="B7" s="17"/>
      <c r="C7" s="11" t="s">
        <v>39</v>
      </c>
      <c r="E7" s="7" t="s">
        <v>40</v>
      </c>
      <c r="F7" s="19">
        <f>IF(F5&lt;F4,0,MIN(12,F6+((F5+1)-EDATE(F4,F6))/30))</f>
      </c>
    </row>
    <row r="8" spans="1:6" x14ac:dyDescent="0.25">
      <c r="A8" s="9" t="s">
        <v>41</v>
      </c>
      <c r="B8" s="20" t="s">
        <v>27</v>
      </c>
      <c r="E8" s="7" t="s">
        <v>42</v>
      </c>
      <c r="F8" s="8">
        <f>ROUND(B5*F7,2)</f>
      </c>
    </row>
    <row r="9" spans="1:6" x14ac:dyDescent="0.25">
      <c r="A9" s="9" t="s">
        <v>43</v>
      </c>
      <c r="B9" s="17">
        <f>TODAY()</f>
      </c>
      <c r="C9" s="11" t="s">
        <v>44</v>
      </c>
      <c r="E9" s="7" t="s">
        <v>45</v>
      </c>
      <c r="F9" s="8">
        <f>ROUND(F8/12,2)</f>
      </c>
    </row>
    <row r="10" spans="5:6" x14ac:dyDescent="0.25">
      <c r="E10" s="7" t="s">
        <v>46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47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48</v>
      </c>
      <c r="B13" s="22">
        <f>ROUND(F7,2)</f>
      </c>
    </row>
    <row r="14" spans="1:2" x14ac:dyDescent="0.25">
      <c r="A14" s="12" t="s">
        <v>42</v>
      </c>
      <c r="B14" s="13">
        <f>F8</f>
      </c>
    </row>
    <row r="15" spans="1:2" x14ac:dyDescent="0.25">
      <c r="A15" s="12" t="s">
        <v>49</v>
      </c>
      <c r="B15" s="13">
        <f>F9</f>
      </c>
    </row>
    <row r="16" spans="1:2" x14ac:dyDescent="0.25">
      <c r="A16" s="12" t="s">
        <v>50</v>
      </c>
      <c r="B16" s="13">
        <f>F10</f>
      </c>
    </row>
    <row r="17" spans="1:2" x14ac:dyDescent="0.25">
      <c r="A17" s="14" t="s">
        <v>51</v>
      </c>
      <c r="B17" s="15">
        <f>MIN(F9,F10)</f>
      </c>
    </row>
    <row r="19" ht="36" customHeight="1" spans="1:3" x14ac:dyDescent="0.25">
      <c r="A19" s="4" t="s">
        <v>52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 (Tamaño de la empresa)." sqref="B8">
      <formula1>'Regalía pascual'!$Z$1:$Z$4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53</v>
      </c>
      <c r="B1" s="5"/>
      <c r="C1" s="5"/>
      <c r="Z1" t="s">
        <v>27</v>
      </c>
    </row>
    <row r="2" spans="26:26" x14ac:dyDescent="0.25">
      <c r="Z2" t="s">
        <v>28</v>
      </c>
    </row>
    <row r="3" spans="5:26" x14ac:dyDescent="0.25">
      <c r="E3" s="6" t="s">
        <v>11</v>
      </c>
      <c r="F3" s="6"/>
      <c r="Z3" t="s">
        <v>29</v>
      </c>
    </row>
    <row r="4" spans="1:26" x14ac:dyDescent="0.25">
      <c r="A4" s="6" t="s">
        <v>12</v>
      </c>
      <c r="B4" s="6"/>
      <c r="C4" s="6"/>
      <c r="E4" s="7" t="s">
        <v>54</v>
      </c>
      <c r="F4" s="18">
        <f>IF(EDATE(B5,12*(YEAR(B6)-YEAR(B5)))&gt;B6,(YEAR(B6)-YEAR(B5))-1,(YEAR(B6)-YEAR(B5)))</f>
      </c>
      <c r="Z4" t="s">
        <v>31</v>
      </c>
    </row>
    <row r="5" spans="1:6" x14ac:dyDescent="0.25">
      <c r="A5" s="9" t="s">
        <v>55</v>
      </c>
      <c r="B5" s="17">
        <v>44635</v>
      </c>
      <c r="E5" s="7" t="s">
        <v>56</v>
      </c>
      <c r="F5" s="16">
        <f>EDATE(B5,12*F4)</f>
      </c>
    </row>
    <row r="6" spans="1:6" x14ac:dyDescent="0.25">
      <c r="A6" s="9" t="s">
        <v>57</v>
      </c>
      <c r="B6" s="17">
        <v>46315</v>
      </c>
      <c r="E6" s="7" t="s">
        <v>58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59</v>
      </c>
      <c r="B7" s="10">
        <v>40000</v>
      </c>
      <c r="C7" s="11" t="s">
        <v>60</v>
      </c>
      <c r="E7" s="7" t="s">
        <v>61</v>
      </c>
      <c r="F7" s="18">
        <f>B6-EDATE(F5,F6)</f>
      </c>
    </row>
    <row r="8" spans="1:6" x14ac:dyDescent="0.25">
      <c r="A8" s="9" t="s">
        <v>62</v>
      </c>
      <c r="B8" s="20" t="s">
        <v>63</v>
      </c>
      <c r="E8" s="7" t="s">
        <v>64</v>
      </c>
      <c r="F8" s="8">
        <f>ROUND(B7/'Tablas oficiales'!$C$20,2)</f>
      </c>
    </row>
    <row r="9" ht="30" customHeight="1" spans="1:3" x14ac:dyDescent="0.25">
      <c r="A9" s="9" t="s">
        <v>65</v>
      </c>
      <c r="B9" s="20" t="s">
        <v>66</v>
      </c>
      <c r="C9" s="11" t="s">
        <v>67</v>
      </c>
    </row>
    <row r="10" spans="1:5" x14ac:dyDescent="0.25">
      <c r="A10" s="9" t="s">
        <v>68</v>
      </c>
      <c r="B10" s="23">
        <v>0</v>
      </c>
      <c r="E10" s="24" t="s">
        <v>69</v>
      </c>
    </row>
    <row r="11" spans="1:6" x14ac:dyDescent="0.25">
      <c r="A11" s="9" t="s">
        <v>41</v>
      </c>
      <c r="B11" s="20" t="s">
        <v>27</v>
      </c>
      <c r="E11" s="7" t="s">
        <v>70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71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72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73</v>
      </c>
    </row>
    <row r="15" spans="1:6" x14ac:dyDescent="0.25">
      <c r="A15" s="12" t="s">
        <v>74</v>
      </c>
      <c r="B15" s="25">
        <f>F4&amp;" años, "&amp;F6&amp;" meses y "&amp;F7&amp;" días"</f>
      </c>
      <c r="E15" s="7" t="s">
        <v>75</v>
      </c>
      <c r="F15" s="18">
        <f>IF(F7&gt;0,F6,F6-1)</f>
      </c>
    </row>
    <row r="16" spans="1:6" x14ac:dyDescent="0.25">
      <c r="A16" s="12" t="s">
        <v>76</v>
      </c>
      <c r="B16" s="13">
        <f>F8</f>
      </c>
      <c r="E16" s="7" t="s">
        <v>77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70</v>
      </c>
      <c r="B17" s="22">
        <f>F11</f>
      </c>
      <c r="E17" s="7" t="s">
        <v>78</v>
      </c>
      <c r="F17" s="16">
        <f>IF(AND(ISNUMBER(B5),B5&gt;DATE(YEAR(B6),1,1)),B5,DATE(YEAR(B6),1,1))</f>
      </c>
    </row>
    <row r="18" spans="1:6" x14ac:dyDescent="0.25">
      <c r="A18" s="12" t="s">
        <v>79</v>
      </c>
      <c r="B18" s="13">
        <f>F23</f>
      </c>
      <c r="E18" s="7" t="s">
        <v>80</v>
      </c>
      <c r="F18" s="16">
        <f>IF(AND(ISNUMBER(B6),B6&lt;DATE(YEAR(B6),12,31)),B6,DATE(YEAR(B6),12,31))</f>
      </c>
    </row>
    <row r="19" spans="1:6" x14ac:dyDescent="0.25">
      <c r="A19" s="12" t="s">
        <v>71</v>
      </c>
      <c r="B19" s="22">
        <f>F12</f>
      </c>
      <c r="E19" s="7" t="s">
        <v>81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82</v>
      </c>
      <c r="B20" s="13">
        <f>F24</f>
      </c>
      <c r="E20" s="7" t="s">
        <v>83</v>
      </c>
      <c r="F20" s="19">
        <f>IF(F18&lt;F17,0,MIN(12,F19+((F18+1)-EDATE(F17,F19))/30))</f>
      </c>
    </row>
    <row r="21" spans="1:6" x14ac:dyDescent="0.25">
      <c r="A21" s="12" t="s">
        <v>77</v>
      </c>
      <c r="B21" s="22">
        <f>F16</f>
      </c>
      <c r="E21" s="7" t="s">
        <v>84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85</v>
      </c>
      <c r="B22" s="13">
        <f>F25</f>
      </c>
      <c r="E22" s="7" t="s">
        <v>86</v>
      </c>
      <c r="F22" s="8">
        <f>MIN(ROUND(B7*F20/12,2),F21)</f>
      </c>
    </row>
    <row r="23" spans="1:6" x14ac:dyDescent="0.25">
      <c r="A23" s="12" t="s">
        <v>87</v>
      </c>
      <c r="B23" s="13">
        <f>F22</f>
      </c>
      <c r="E23" s="7" t="s">
        <v>79</v>
      </c>
      <c r="F23" s="8">
        <f>ROUND(F8*F11,2)</f>
      </c>
    </row>
    <row r="24" spans="1:6" x14ac:dyDescent="0.25">
      <c r="A24" s="14" t="s">
        <v>88</v>
      </c>
      <c r="B24" s="15">
        <f>ROUND(F23+F24+F25+F22,2)</f>
      </c>
      <c r="E24" s="7" t="s">
        <v>89</v>
      </c>
      <c r="F24" s="8">
        <f>ROUND(F8*F12,2)</f>
      </c>
    </row>
    <row r="25" spans="5:6" x14ac:dyDescent="0.25">
      <c r="E25" s="7" t="s">
        <v>85</v>
      </c>
      <c r="F25" s="8">
        <f>ROUND(F8*F16,2)</f>
      </c>
    </row>
    <row r="26" ht="36" customHeight="1" spans="1:3" x14ac:dyDescent="0.25">
      <c r="A26" s="4" t="s">
        <v>90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 (Tamaño de la empresa)." sqref="B11">
      <formula1>'Prestaciones laborales'!$Z$1:$Z$4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91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92</v>
      </c>
      <c r="B2" s="4"/>
      <c r="C2" s="4"/>
      <c r="D2" s="4"/>
      <c r="E2" s="4"/>
      <c r="F2" s="4"/>
      <c r="G2" s="4"/>
    </row>
    <row r="3" spans="1:7" x14ac:dyDescent="0.25">
      <c r="A3" s="27" t="s">
        <v>93</v>
      </c>
      <c r="B3" s="27" t="s">
        <v>94</v>
      </c>
      <c r="C3" s="27" t="s">
        <v>95</v>
      </c>
      <c r="D3" s="27" t="s">
        <v>96</v>
      </c>
      <c r="E3" s="27" t="s">
        <v>97</v>
      </c>
      <c r="F3" s="27" t="s">
        <v>98</v>
      </c>
      <c r="G3" s="27" t="s">
        <v>99</v>
      </c>
    </row>
    <row r="4" spans="1:7" x14ac:dyDescent="0.25">
      <c r="A4" s="28" t="s">
        <v>100</v>
      </c>
      <c r="B4" s="28" t="s">
        <v>101</v>
      </c>
      <c r="C4" s="29">
        <v>232230</v>
      </c>
      <c r="D4" s="28" t="s">
        <v>102</v>
      </c>
      <c r="E4" s="28" t="s">
        <v>103</v>
      </c>
      <c r="F4" s="30" t="s">
        <v>104</v>
      </c>
      <c r="G4" s="28" t="s">
        <v>105</v>
      </c>
    </row>
    <row r="5" spans="1:7" x14ac:dyDescent="0.25">
      <c r="A5" s="31" t="s">
        <v>106</v>
      </c>
      <c r="B5" s="31" t="s">
        <v>101</v>
      </c>
      <c r="C5" s="32">
        <v>3.04</v>
      </c>
      <c r="D5" s="31" t="s">
        <v>107</v>
      </c>
      <c r="E5" s="31" t="s">
        <v>103</v>
      </c>
      <c r="F5" s="33" t="s">
        <v>104</v>
      </c>
      <c r="G5" s="31" t="s">
        <v>105</v>
      </c>
    </row>
    <row r="6" spans="1:7" x14ac:dyDescent="0.25">
      <c r="A6" s="28" t="s">
        <v>108</v>
      </c>
      <c r="B6" s="28" t="s">
        <v>101</v>
      </c>
      <c r="C6" s="29">
        <v>464460</v>
      </c>
      <c r="D6" s="28" t="s">
        <v>102</v>
      </c>
      <c r="E6" s="28" t="s">
        <v>103</v>
      </c>
      <c r="F6" s="30" t="s">
        <v>104</v>
      </c>
      <c r="G6" s="28" t="s">
        <v>105</v>
      </c>
    </row>
    <row r="7" spans="1:7" x14ac:dyDescent="0.25">
      <c r="A7" s="31" t="s">
        <v>109</v>
      </c>
      <c r="B7" s="31" t="s">
        <v>101</v>
      </c>
      <c r="C7" s="32">
        <v>2.87</v>
      </c>
      <c r="D7" s="31" t="s">
        <v>107</v>
      </c>
      <c r="E7" s="31" t="s">
        <v>103</v>
      </c>
      <c r="F7" s="33" t="s">
        <v>104</v>
      </c>
      <c r="G7" s="31" t="s">
        <v>105</v>
      </c>
    </row>
    <row r="8" spans="1:7" x14ac:dyDescent="0.25">
      <c r="A8" s="34" t="s">
        <v>110</v>
      </c>
      <c r="B8" s="35"/>
      <c r="C8" s="35"/>
      <c r="D8" s="35" t="s">
        <v>102</v>
      </c>
      <c r="E8" s="35" t="s">
        <v>111</v>
      </c>
      <c r="F8" s="36" t="s">
        <v>112</v>
      </c>
      <c r="G8" s="35" t="s">
        <v>105</v>
      </c>
    </row>
    <row r="9" spans="2:5" x14ac:dyDescent="0.25">
      <c r="B9" s="37" t="s">
        <v>113</v>
      </c>
      <c r="C9" s="37" t="s">
        <v>114</v>
      </c>
      <c r="D9" s="37" t="s">
        <v>115</v>
      </c>
      <c r="E9" s="37" t="s">
        <v>116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117</v>
      </c>
      <c r="B15" s="28" t="s">
        <v>27</v>
      </c>
      <c r="C15" s="29">
        <v>29988</v>
      </c>
      <c r="D15" s="28" t="s">
        <v>102</v>
      </c>
      <c r="E15" s="28" t="s">
        <v>103</v>
      </c>
      <c r="F15" s="30" t="s">
        <v>118</v>
      </c>
      <c r="G15" s="28" t="s">
        <v>105</v>
      </c>
    </row>
    <row r="16" spans="1:7" x14ac:dyDescent="0.25">
      <c r="A16" s="31" t="s">
        <v>117</v>
      </c>
      <c r="B16" s="31" t="s">
        <v>28</v>
      </c>
      <c r="C16" s="41">
        <v>27489.6</v>
      </c>
      <c r="D16" s="31" t="s">
        <v>102</v>
      </c>
      <c r="E16" s="31" t="s">
        <v>103</v>
      </c>
      <c r="F16" s="33" t="s">
        <v>118</v>
      </c>
      <c r="G16" s="31" t="s">
        <v>105</v>
      </c>
    </row>
    <row r="17" spans="1:7" x14ac:dyDescent="0.25">
      <c r="A17" s="28" t="s">
        <v>117</v>
      </c>
      <c r="B17" s="28" t="s">
        <v>29</v>
      </c>
      <c r="C17" s="29">
        <v>18421.2</v>
      </c>
      <c r="D17" s="28" t="s">
        <v>102</v>
      </c>
      <c r="E17" s="28" t="s">
        <v>103</v>
      </c>
      <c r="F17" s="30" t="s">
        <v>118</v>
      </c>
      <c r="G17" s="28" t="s">
        <v>105</v>
      </c>
    </row>
    <row r="18" spans="1:7" x14ac:dyDescent="0.25">
      <c r="A18" s="31" t="s">
        <v>117</v>
      </c>
      <c r="B18" s="31" t="s">
        <v>31</v>
      </c>
      <c r="C18" s="41">
        <v>16993.2</v>
      </c>
      <c r="D18" s="31" t="s">
        <v>102</v>
      </c>
      <c r="E18" s="31" t="s">
        <v>103</v>
      </c>
      <c r="F18" s="33" t="s">
        <v>118</v>
      </c>
      <c r="G18" s="31" t="s">
        <v>105</v>
      </c>
    </row>
    <row r="19" spans="1:7" x14ac:dyDescent="0.25">
      <c r="A19" s="28" t="s">
        <v>119</v>
      </c>
      <c r="B19" s="28" t="s">
        <v>101</v>
      </c>
      <c r="C19" s="42">
        <v>5</v>
      </c>
      <c r="D19" s="28" t="s">
        <v>101</v>
      </c>
      <c r="E19" s="28" t="s">
        <v>120</v>
      </c>
      <c r="F19" s="30" t="s">
        <v>121</v>
      </c>
      <c r="G19" s="28" t="s">
        <v>105</v>
      </c>
    </row>
    <row r="20" spans="1:7" x14ac:dyDescent="0.25">
      <c r="A20" s="31" t="s">
        <v>122</v>
      </c>
      <c r="B20" s="31" t="s">
        <v>101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105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105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105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105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105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105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105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105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105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105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105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105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105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105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105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