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<sst xmlns="http://schemas.openxmlformats.org/spreadsheetml/2006/main" count="226" uniqueCount="121">
  <si>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</si>
  <si>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</si>
  <si>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</si>
  <si>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</si>
  <si>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</si>
  <si>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</si>
  <si>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</si>
  <si>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</si>
  <si>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</si>
  <si>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</si>
  <si>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</si>
  <si>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</si>
  <si>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</si>
  <si>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</si>
  <si>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</si>
  <si>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</si>
  <si>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</si>
  <si>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</si>
  <si>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</si>
  <si>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</si>
  <si>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</si>
  <si>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</si>
  <si>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</si>
  <si>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</si>
  <si>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</si>
  <si>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</si>
  <si>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</si>
  <si>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</si>
  <si>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</si>
  <si>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</si>
  <si>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</si>
  <si>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</si>
  <si>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</si>
  <si>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</si>
  <si>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</si>
  <si>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</si>
  <si>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</si>
  <si>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</si>
  <si>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</si>
  <si>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</si>
  <si>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</si>
  <si>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</si>
  <si>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</si>
  <si>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</si>
  <si>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</si>
  <si>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</si>
  <si>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</si>
  <si>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</si>
  <si>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</si>
  <si>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Años de servicio</t>
  </si>
  <si>
    <t>Días después del último aniversario</t>
  </si>
  <si>
    <t>Fecha en que empezó a trabajar</t>
  </si>
  <si>
    <t>Último día trabajado</t>
  </si>
  <si>
    <t>Salario mínimo diario del sector</t>
  </si>
  <si>
    <t>Sector de la empresa</t>
  </si>
  <si>
    <t>Comercio y servicios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</si>
  <si>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</si>
  <si>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</si>
  <si>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</si>
  <si>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</si>
  <si>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</si>
  <si>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</si>
  <si>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</si>
  <si>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</si>
  <si>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</si>
  <si>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</si>
  <si>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</si>
  <si>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</si>
  <si>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</si>
  <si>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</si>
  <si>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</si>
  <si>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</si>
  <si>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</si>
  <si>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</si>
  <si>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</si>
  <si>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</si>
  <si>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</si>
  <si>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</si>
  <si>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</si>
  <si>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</si>
  <si>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</si>
  <si>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</si>
  <si>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</si>
  <si>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</si>
  <si>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</si>
  <si>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</si>
  <si>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</si>
  <si>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</si>
  <si>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</si>
  <si>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</si>
  <si>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</si>
  <si>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</si>
  <si>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</si>
  <si>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</si>
  <si>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</si>
  <si>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</si>
  <si>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</si>
  <si>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</si>
  <si>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</si>
  <si>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</si>
  <si>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</si>
  <si>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</si>
  <si>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</si>
  <si>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</si>
  <si>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</si>
  <si>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Industria (incluye ingenios azucareros y agroindustria)</t>
  </si>
  <si>
    <t>Maquila textil y confección</t>
  </si>
  <si>
    <t>Beneficios de café</t>
  </si>
  <si>
    <t>Recolección de caña de azúcar</t>
  </si>
  <si>
    <t>Agropecuario, pesca y otras actividades agrícolas</t>
  </si>
  <si>
    <t>Recolección de café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</si>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</sst>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49</v>
      </c>
      <c r="F4" s="13">
        <f>IF(EDATE(B6,12*(YEAR((B7+1))-YEAR(B6)))&gt;(B7+1),(YEAR((B7+1))-YEAR(B6))-1,(YEAR((B7+1))-YEAR(B6)))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50</v>
      </c>
      <c r="F5" s="13">
        <f>(B7+1)-EDATE(B6,12*F4)</f>
      </c>
    </row>
    <row r="6" spans="1:6" x14ac:dyDescent="0.25">
      <c r="A6" s="9" t="s">
        <v>51</v>
      </c>
      <c r="B6" s="22">
        <v>44228</v>
      </c>
      <c r="E6" s="7" t="s">
        <v>29</v>
      </c>
      <c r="F6" s="8">
        <f>B5/30</f>
      </c>
    </row>
    <row r="7" spans="1:6" x14ac:dyDescent="0.25">
      <c r="A7" s="9" t="s">
        <v>52</v>
      </c>
      <c r="B7" s="22">
        <v>46303</v>
      </c>
      <c r="E7" s="7" t="s">
        <v>53</v>
      </c>
      <c r="F7" s="8">
        <f>INDEX('Tablas oficiales'!$C$24:$C$30,MATCH(B8,'Tablas oficiales'!$B$24:$B$30,0))</f>
      </c>
    </row>
    <row r="8" spans="1:2" x14ac:dyDescent="0.25">
      <c r="A8" s="9" t="s">
        <v>54</v>
      </c>
      <c r="B8" s="10" t="s">
        <v>55</v>
      </c>
    </row>
    <row r="9" spans="5:5" x14ac:dyDescent="0.25">
      <c r="E9" s="23" t="s">
        <v>56</v>
      </c>
    </row>
    <row r="10" spans="1:6" x14ac:dyDescent="0.25">
      <c r="A10" s="6" t="s">
        <v>57</v>
      </c>
      <c r="B10" s="6"/>
      <c r="C10" s="6"/>
      <c r="E10" s="7" t="s">
        <v>58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59</v>
      </c>
      <c r="F11" s="20">
        <f>MAX('Tablas oficiales'!$C$32*F4+'Tablas oficiales'!$C$32*F5/365,'Tablas oficiales'!$C$33)</f>
      </c>
    </row>
    <row r="12" spans="1:2" x14ac:dyDescent="0.25">
      <c r="A12" s="15" t="s">
        <v>60</v>
      </c>
      <c r="B12" s="24">
        <f>F4&amp;" años y "&amp;F5&amp;" días"</f>
      </c>
    </row>
    <row r="13" spans="1:5" x14ac:dyDescent="0.25">
      <c r="A13" s="15" t="s">
        <v>61</v>
      </c>
      <c r="B13" s="16">
        <f>ROUND(F10,2)</f>
      </c>
      <c r="E13" s="23" t="s">
        <v>62</v>
      </c>
    </row>
    <row r="14" spans="1:6" x14ac:dyDescent="0.25">
      <c r="A14" s="15" t="s">
        <v>59</v>
      </c>
      <c r="B14" s="21">
        <f>ROUND(F11,2)</f>
      </c>
      <c r="E14" s="7" t="s">
        <v>63</v>
      </c>
      <c r="F14" s="8">
        <f>MIN(F6,'Tablas oficiales'!$C$34*F7)</f>
      </c>
    </row>
    <row r="15" spans="1:6" x14ac:dyDescent="0.25">
      <c r="A15" s="17" t="s">
        <v>56</v>
      </c>
      <c r="B15" s="18">
        <f>ROUND(F10*F11,2)</f>
      </c>
      <c r="E15" s="7" t="s">
        <v>64</v>
      </c>
      <c r="F15" s="13">
        <f>IF(F4&gt;='Tablas oficiales'!$C$35,'Tablas oficiales'!$C$36*F4,0)</f>
      </c>
    </row>
    <row r="17" ht="36" customHeight="1" spans="1:3" x14ac:dyDescent="0.25">
      <c r="A17" s="4" t="s">
        <v>65</v>
      </c>
      <c r="B17" s="4"/>
      <c r="C17" s="4"/>
    </row>
    <row r="19" spans="1:3" x14ac:dyDescent="0.25">
      <c r="A19" s="6" t="s">
        <v>66</v>
      </c>
      <c r="B19" s="6"/>
      <c r="C19" s="6"/>
    </row>
    <row r="20" spans="1:2" x14ac:dyDescent="0.25">
      <c r="A20" s="15" t="s">
        <v>61</v>
      </c>
      <c r="B20" s="16">
        <f>ROUND(F14,2)</f>
      </c>
    </row>
    <row r="21" spans="1:2" x14ac:dyDescent="0.25">
      <c r="A21" s="15" t="s">
        <v>64</v>
      </c>
      <c r="B21" s="25">
        <f>F15</f>
      </c>
    </row>
    <row r="22" spans="1:2" x14ac:dyDescent="0.25">
      <c r="A22" s="17" t="s">
        <v>62</v>
      </c>
      <c r="B22" s="18">
        <f>ROUND(F14*F15,2)</f>
      </c>
    </row>
    <row r="24" ht="36" customHeight="1" spans="1:3" x14ac:dyDescent="0.25">
      <c r="A24" s="4" t="s">
        <v>67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oficiales'!$B$24:$B$30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68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69</v>
      </c>
      <c r="B2" s="4"/>
      <c r="C2" s="4"/>
      <c r="D2" s="4"/>
      <c r="E2" s="4"/>
      <c r="F2" s="4"/>
      <c r="G2" s="4"/>
    </row>
    <row r="3" spans="1:7" x14ac:dyDescent="0.25">
      <c r="A3" s="27" t="s">
        <v>70</v>
      </c>
      <c r="B3" s="27" t="s">
        <v>71</v>
      </c>
      <c r="C3" s="27" t="s">
        <v>72</v>
      </c>
      <c r="D3" s="27" t="s">
        <v>73</v>
      </c>
      <c r="E3" s="27" t="s">
        <v>74</v>
      </c>
      <c r="F3" s="27" t="s">
        <v>75</v>
      </c>
      <c r="G3" s="27" t="s">
        <v>76</v>
      </c>
    </row>
    <row r="4" spans="1:7" x14ac:dyDescent="0.25">
      <c r="A4" s="28" t="s">
        <v>77</v>
      </c>
      <c r="B4" s="28" t="s">
        <v>78</v>
      </c>
      <c r="C4" s="29">
        <v>7.25</v>
      </c>
      <c r="D4" s="28" t="s">
        <v>79</v>
      </c>
      <c r="E4" s="28" t="s">
        <v>80</v>
      </c>
      <c r="F4" s="30" t="s">
        <v>81</v>
      </c>
      <c r="G4" s="28" t="s">
        <v>82</v>
      </c>
    </row>
    <row r="5" spans="1:7" x14ac:dyDescent="0.25">
      <c r="A5" s="31" t="s">
        <v>83</v>
      </c>
      <c r="B5" s="32"/>
      <c r="C5" s="32"/>
      <c r="D5" s="32" t="s">
        <v>84</v>
      </c>
      <c r="E5" s="32" t="s">
        <v>85</v>
      </c>
      <c r="F5" s="33" t="s">
        <v>86</v>
      </c>
      <c r="G5" s="32" t="s">
        <v>82</v>
      </c>
    </row>
    <row r="6" spans="2:5" x14ac:dyDescent="0.25">
      <c r="B6" s="34" t="s">
        <v>87</v>
      </c>
      <c r="C6" s="34" t="s">
        <v>88</v>
      </c>
      <c r="D6" s="34" t="s">
        <v>89</v>
      </c>
      <c r="E6" s="34" t="s">
        <v>90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91</v>
      </c>
      <c r="B12" s="32"/>
      <c r="C12" s="32"/>
      <c r="D12" s="32" t="s">
        <v>84</v>
      </c>
      <c r="E12" s="32" t="s">
        <v>85</v>
      </c>
      <c r="F12" s="33" t="s">
        <v>86</v>
      </c>
      <c r="G12" s="32" t="s">
        <v>82</v>
      </c>
    </row>
    <row r="13" spans="2:5" x14ac:dyDescent="0.25">
      <c r="B13" s="34" t="s">
        <v>87</v>
      </c>
      <c r="C13" s="34" t="s">
        <v>88</v>
      </c>
      <c r="D13" s="34" t="s">
        <v>89</v>
      </c>
      <c r="E13" s="34" t="s">
        <v>90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92</v>
      </c>
      <c r="B19" s="38" t="s">
        <v>39</v>
      </c>
      <c r="C19" s="39">
        <v>15</v>
      </c>
      <c r="D19" s="38" t="s">
        <v>93</v>
      </c>
      <c r="E19" s="38" t="s">
        <v>94</v>
      </c>
      <c r="F19" s="40" t="s">
        <v>95</v>
      </c>
      <c r="G19" s="38" t="s">
        <v>82</v>
      </c>
    </row>
    <row r="20" spans="1:7" x14ac:dyDescent="0.25">
      <c r="A20" s="28" t="s">
        <v>92</v>
      </c>
      <c r="B20" s="28" t="s">
        <v>96</v>
      </c>
      <c r="C20" s="29">
        <v>19</v>
      </c>
      <c r="D20" s="28" t="s">
        <v>93</v>
      </c>
      <c r="E20" s="28" t="s">
        <v>94</v>
      </c>
      <c r="F20" s="30" t="s">
        <v>95</v>
      </c>
      <c r="G20" s="28" t="s">
        <v>82</v>
      </c>
    </row>
    <row r="21" spans="1:7" x14ac:dyDescent="0.25">
      <c r="A21" s="38" t="s">
        <v>92</v>
      </c>
      <c r="B21" s="38" t="s">
        <v>97</v>
      </c>
      <c r="C21" s="39">
        <v>21</v>
      </c>
      <c r="D21" s="38" t="s">
        <v>93</v>
      </c>
      <c r="E21" s="38" t="s">
        <v>94</v>
      </c>
      <c r="F21" s="40" t="s">
        <v>95</v>
      </c>
      <c r="G21" s="38" t="s">
        <v>82</v>
      </c>
    </row>
    <row r="22" spans="1:7" x14ac:dyDescent="0.25">
      <c r="A22" s="28" t="s">
        <v>98</v>
      </c>
      <c r="B22" s="28" t="s">
        <v>78</v>
      </c>
      <c r="C22" s="41">
        <v>1500</v>
      </c>
      <c r="D22" s="28" t="s">
        <v>84</v>
      </c>
      <c r="E22" s="28" t="s">
        <v>99</v>
      </c>
      <c r="F22" s="30" t="s">
        <v>100</v>
      </c>
      <c r="G22" s="28" t="s">
        <v>82</v>
      </c>
    </row>
    <row r="23" spans="1:7" x14ac:dyDescent="0.25">
      <c r="A23" s="38" t="s">
        <v>101</v>
      </c>
      <c r="B23" s="38" t="s">
        <v>78</v>
      </c>
      <c r="C23" s="39">
        <v>50</v>
      </c>
      <c r="D23" s="38" t="s">
        <v>79</v>
      </c>
      <c r="E23" s="38" t="s">
        <v>99</v>
      </c>
      <c r="F23" s="40" t="s">
        <v>100</v>
      </c>
      <c r="G23" s="38" t="s">
        <v>82</v>
      </c>
    </row>
    <row r="24" spans="1:7" x14ac:dyDescent="0.25">
      <c r="A24" s="28" t="s">
        <v>102</v>
      </c>
      <c r="B24" s="28" t="s">
        <v>55</v>
      </c>
      <c r="C24" s="41">
        <v>13.44</v>
      </c>
      <c r="D24" s="28" t="s">
        <v>84</v>
      </c>
      <c r="E24" s="28" t="s">
        <v>103</v>
      </c>
      <c r="F24" s="30" t="s">
        <v>104</v>
      </c>
      <c r="G24" s="28" t="s">
        <v>82</v>
      </c>
    </row>
    <row r="25" spans="1:7" x14ac:dyDescent="0.25">
      <c r="A25" s="38" t="s">
        <v>102</v>
      </c>
      <c r="B25" s="38" t="s">
        <v>105</v>
      </c>
      <c r="C25" s="42">
        <v>13.44</v>
      </c>
      <c r="D25" s="38" t="s">
        <v>84</v>
      </c>
      <c r="E25" s="38" t="s">
        <v>103</v>
      </c>
      <c r="F25" s="40" t="s">
        <v>104</v>
      </c>
      <c r="G25" s="38" t="s">
        <v>82</v>
      </c>
    </row>
    <row r="26" spans="1:7" x14ac:dyDescent="0.25">
      <c r="A26" s="28" t="s">
        <v>102</v>
      </c>
      <c r="B26" s="28" t="s">
        <v>106</v>
      </c>
      <c r="C26" s="41">
        <v>13.227</v>
      </c>
      <c r="D26" s="28" t="s">
        <v>84</v>
      </c>
      <c r="E26" s="28" t="s">
        <v>103</v>
      </c>
      <c r="F26" s="30" t="s">
        <v>104</v>
      </c>
      <c r="G26" s="28" t="s">
        <v>82</v>
      </c>
    </row>
    <row r="27" spans="1:7" x14ac:dyDescent="0.25">
      <c r="A27" s="38" t="s">
        <v>102</v>
      </c>
      <c r="B27" s="38" t="s">
        <v>107</v>
      </c>
      <c r="C27" s="42">
        <v>10.035</v>
      </c>
      <c r="D27" s="38" t="s">
        <v>84</v>
      </c>
      <c r="E27" s="38" t="s">
        <v>103</v>
      </c>
      <c r="F27" s="40" t="s">
        <v>104</v>
      </c>
      <c r="G27" s="38" t="s">
        <v>82</v>
      </c>
    </row>
    <row r="28" spans="1:7" x14ac:dyDescent="0.25">
      <c r="A28" s="28" t="s">
        <v>102</v>
      </c>
      <c r="B28" s="28" t="s">
        <v>108</v>
      </c>
      <c r="C28" s="41">
        <v>10.035</v>
      </c>
      <c r="D28" s="28" t="s">
        <v>84</v>
      </c>
      <c r="E28" s="28" t="s">
        <v>103</v>
      </c>
      <c r="F28" s="30" t="s">
        <v>104</v>
      </c>
      <c r="G28" s="28" t="s">
        <v>82</v>
      </c>
    </row>
    <row r="29" spans="1:7" x14ac:dyDescent="0.25">
      <c r="A29" s="38" t="s">
        <v>102</v>
      </c>
      <c r="B29" s="38" t="s">
        <v>109</v>
      </c>
      <c r="C29" s="42">
        <v>8.96</v>
      </c>
      <c r="D29" s="38" t="s">
        <v>84</v>
      </c>
      <c r="E29" s="38" t="s">
        <v>103</v>
      </c>
      <c r="F29" s="40" t="s">
        <v>104</v>
      </c>
      <c r="G29" s="38" t="s">
        <v>82</v>
      </c>
    </row>
    <row r="30" spans="1:7" x14ac:dyDescent="0.25">
      <c r="A30" s="28" t="s">
        <v>102</v>
      </c>
      <c r="B30" s="28" t="s">
        <v>110</v>
      </c>
      <c r="C30" s="41">
        <v>8.96</v>
      </c>
      <c r="D30" s="28" t="s">
        <v>84</v>
      </c>
      <c r="E30" s="28" t="s">
        <v>103</v>
      </c>
      <c r="F30" s="30" t="s">
        <v>104</v>
      </c>
      <c r="G30" s="28" t="s">
        <v>82</v>
      </c>
    </row>
    <row r="31" spans="1:7" x14ac:dyDescent="0.25">
      <c r="A31" s="38" t="s">
        <v>111</v>
      </c>
      <c r="B31" s="38" t="s">
        <v>78</v>
      </c>
      <c r="C31" s="39">
        <v>4</v>
      </c>
      <c r="D31" s="38" t="s">
        <v>112</v>
      </c>
      <c r="E31" s="38" t="s">
        <v>94</v>
      </c>
      <c r="F31" s="40" t="s">
        <v>95</v>
      </c>
      <c r="G31" s="38" t="s">
        <v>82</v>
      </c>
    </row>
    <row r="32" spans="1:7" x14ac:dyDescent="0.25">
      <c r="A32" s="28" t="s">
        <v>113</v>
      </c>
      <c r="B32" s="28" t="s">
        <v>78</v>
      </c>
      <c r="C32" s="29">
        <v>30</v>
      </c>
      <c r="D32" s="28" t="s">
        <v>93</v>
      </c>
      <c r="E32" s="28" t="s">
        <v>94</v>
      </c>
      <c r="F32" s="30" t="s">
        <v>95</v>
      </c>
      <c r="G32" s="28" t="s">
        <v>82</v>
      </c>
    </row>
    <row r="33" spans="1:7" x14ac:dyDescent="0.25">
      <c r="A33" s="38" t="s">
        <v>114</v>
      </c>
      <c r="B33" s="38" t="s">
        <v>78</v>
      </c>
      <c r="C33" s="39">
        <v>15</v>
      </c>
      <c r="D33" s="38" t="s">
        <v>93</v>
      </c>
      <c r="E33" s="38" t="s">
        <v>94</v>
      </c>
      <c r="F33" s="40" t="s">
        <v>95</v>
      </c>
      <c r="G33" s="38" t="s">
        <v>82</v>
      </c>
    </row>
    <row r="34" spans="1:7" x14ac:dyDescent="0.25">
      <c r="A34" s="28" t="s">
        <v>115</v>
      </c>
      <c r="B34" s="28" t="s">
        <v>78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82</v>
      </c>
    </row>
    <row r="35" spans="1:7" x14ac:dyDescent="0.25">
      <c r="A35" s="38" t="s">
        <v>118</v>
      </c>
      <c r="B35" s="38" t="s">
        <v>78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82</v>
      </c>
    </row>
    <row r="36" spans="1:7" x14ac:dyDescent="0.25">
      <c r="A36" s="28" t="s">
        <v>120</v>
      </c>
      <c r="B36" s="28" t="s">
        <v>78</v>
      </c>
      <c r="C36" s="29">
        <v>15</v>
      </c>
      <c r="D36" s="28" t="s">
        <v>93</v>
      </c>
      <c r="E36" s="28" t="s">
        <v>116</v>
      </c>
      <c r="F36" s="30" t="s">
        <v>117</v>
      </c>
      <c r="G36" s="28" t="s">
        <v>82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