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Retención de renta" state="visible" r:id="rId5"/>
    <sheet sheetId="3" name="Aguinaldo y Quincena 25" state="visible" r:id="rId6"/>
    <sheet sheetId="4" name="Indemnización y renuncia" state="visible" r:id="rId7"/>
    <sheet sheetId="5" name="Tablas oficiales" state="visible" r:id="rId8"/>
  </sheets>
  <calcPr calcId="171027"/>
</workbook>
</file>

<file path=xl/sharedStrings.xml><?xml version="1.0" encoding="utf-8"?>
<sst xmlns="http://schemas.openxmlformats.org/spreadsheetml/2006/main" count="226" uniqueCount="121">
  <si>
    <t>Planilla de salario y prestaciones El Salvador 2026</t>
  </si>
  <si>
    <t>Las celdas amarillas son para sus datos. Las verdes se calculan solas, con las fórmulas de la ley. A la derecha de cada hoja está el paso a paso de la cuenta.</t>
  </si>
  <si>
    <t>«Retención de renta»: pone su salario y el descuento del ISSS, y le dice la AFP, la renta que le retienen y su salario líquido.</t>
  </si>
  <si>
    <t>«Aguinaldo y Quincena 25»: calcula el aguinaldo de diciembre y la Quincena 25 de enero, completos o proporcionales.</t>
  </si>
  <si>
    <t>«Indemnización y renuncia»: pone sus fechas y su salario, y le dice la indemnización por despido sin causa o la prestación por renuncia voluntaria.</t>
  </si>
  <si>
    <t>«Tablas oficiales» tiene cada valor oficial que usan las fórmulas, con el enlace a su fuente y la fecha en que lo verificamos. Los valores son los vigentes al 12/10/2026.</t>
  </si>
  <si>
    <t>Cuando cambia un valor oficial, actualizamos la planilla y el mismo enlace de descarga le baja la versión nueva.</t>
  </si>
  <si>
    <t>Da los mismos números que las calculadoras gratuitas de calcularya.com. Antes de publicar cada versión, una verificación automática recalcula este archivo y lo compara con ellas.</t>
  </si>
  <si>
    <t>Es una referencia de cálculo con sus fuentes, no asesoría legal. Su contrato o su empresa pueden darle más que el mínimo de ley.</t>
  </si>
  <si>
    <t>Las fechas van como dd/mm/aaaa. Si su Excel está en inglés y las lee al revés, escríbalas como aaaa-mm-dd.</t>
  </si>
  <si>
    <t>Retención de renta, AFP e ISSS</t>
  </si>
  <si>
    <t>Paso a paso</t>
  </si>
  <si>
    <t>SUS DATOS</t>
  </si>
  <si>
    <t>AFP</t>
  </si>
  <si>
    <t>Cada cuánto le pagan</t>
  </si>
  <si>
    <t>Cada mes</t>
  </si>
  <si>
    <t>Salario gravado</t>
  </si>
  <si>
    <t>Salario del período</t>
  </si>
  <si>
    <t>Lo que gana en el mes o en la quincena, antes de descuentos.</t>
  </si>
  <si>
    <t>Tabla mensual: tramo</t>
  </si>
  <si>
    <t>Descuento del ISSS del período</t>
  </si>
  <si>
    <t>Aparece en su boleta de pago. Si no cotiza al ISSS, ponga 0.</t>
  </si>
  <si>
    <t>Tabla quincenal: tramo</t>
  </si>
  <si>
    <t>Renta retenida</t>
  </si>
  <si>
    <t>SU SALARIO LÍQUIDO</t>
  </si>
  <si>
    <t>ISSS</t>
  </si>
  <si>
    <t>Salario líquido</t>
  </si>
  <si>
    <t>En junio y diciembre el patrono recalcula la renta con todo lo ganado en el año, así que ese mes la retención puede cambiar. El ISSS se copia de su boleta.</t>
  </si>
  <si>
    <t>Aguinaldo y Quincena 25</t>
  </si>
  <si>
    <t>Salario diario (entre 30)</t>
  </si>
  <si>
    <t>Salario mensual</t>
  </si>
  <si>
    <t>Su salario básico, sin horas extra.</t>
  </si>
  <si>
    <t>Días de aguinaldo por año</t>
  </si>
  <si>
    <t>Días trabajados (solo si tiene menos de 1 año)</t>
  </si>
  <si>
    <t>Cuente desde su primer día de trabajo.</t>
  </si>
  <si>
    <t>Días de aguinaldo</t>
  </si>
  <si>
    <t>Quincena 25 completa</t>
  </si>
  <si>
    <t>AGUINALDO</t>
  </si>
  <si>
    <t>Tiempo trabajando con el mismo patrono</t>
  </si>
  <si>
    <t>De 1 a menos de 3 años</t>
  </si>
  <si>
    <t>Salario diario</t>
  </si>
  <si>
    <t>Aguinaldo</t>
  </si>
  <si>
    <t>Se paga entre el 12 y el 20 de diciembre. Con menos de un año cobra la parte proporcional de 15 días.</t>
  </si>
  <si>
    <t>QUINCENA 25</t>
  </si>
  <si>
    <t>Tiene un año o más con el mismo patrono</t>
  </si>
  <si>
    <t>Sí</t>
  </si>
  <si>
    <t>Quincena 25 que le toca</t>
  </si>
  <si>
    <t>Es para salarios de hasta el máximo de la ley (ver tablas). Se paga entre el 15 y el 25 de enero, sin descuentos de renta, ISSS ni AFP.</t>
  </si>
  <si>
    <t>Indemnización por despido y prestación por renuncia</t>
  </si>
  <si>
    <t>Años de servicio</t>
  </si>
  <si>
    <t>Días después del último aniversario</t>
  </si>
  <si>
    <t>Fecha en que empezó a trabajar</t>
  </si>
  <si>
    <t>Último día trabajado</t>
  </si>
  <si>
    <t>Salario mínimo diario del sector</t>
  </si>
  <si>
    <t>Sector de la empresa</t>
  </si>
  <si>
    <t>Comercio y servicios</t>
  </si>
  <si>
    <t>Indemnización</t>
  </si>
  <si>
    <t>INDEMNIZACIÓN POR DESPIDO SIN CAUSA</t>
  </si>
  <si>
    <t>Salario diario para la indemnización (con tope)</t>
  </si>
  <si>
    <t>Días de indemnización</t>
  </si>
  <si>
    <t>Tiempo de servicio</t>
  </si>
  <si>
    <t>Salario diario que se usa</t>
  </si>
  <si>
    <t>Prestación por renuncia</t>
  </si>
  <si>
    <t>Salario diario para la prestación (con tope)</t>
  </si>
  <si>
    <t>Días de prestación</t>
  </si>
  <si>
    <t>Un mes de salario por año, y la fracción en proporción, con un mínimo de 15 días y un tope de cuatro salarios mínimos diarios. Aparte le deben las vacaciones y el aguinaldo proporcionales.</t>
  </si>
  <si>
    <t>PRESTACIÓN POR RENUNCIA VOLUNTARIA</t>
  </si>
  <si>
    <t>Se gana con al menos 2 años de servicio y paga 15 días por año completo, con un tope de dos salarios mínimos diarios. Hay que avisar por escrito con 15 días de anticipación (30 en jefaturas).</t>
  </si>
  <si>
    <t>Tablas oficiales de El Salvador</t>
  </si>
  <si>
    <t>Son los valores que usan las fórmulas de esta planilla, vigentes al 12/10/2026. Cada uno trae el enlace a la norma o al organismo que lo publica y la fecha en que lo verificamos.</t>
  </si>
  <si>
    <t>Dato</t>
  </si>
  <si>
    <t>Detalle</t>
  </si>
  <si>
    <t>Valor</t>
  </si>
  <si>
    <t>Unidad</t>
  </si>
  <si>
    <t>Vigente desde</t>
  </si>
  <si>
    <t>Fuente oficial</t>
  </si>
  <si>
    <t>Verificado el</t>
  </si>
  <si>
    <t>Cotización a la AFP a cargo del trabajador</t>
  </si>
  <si>
    <t/>
  </si>
  <si>
    <t>%</t>
  </si>
  <si>
    <t>29/12/2022</t>
  </si>
  <si>
    <t>https://www.asamblea.gob.sv/sites/default/files/documents/decretos/F94AF319-257C-4A85-97B7-4D03A6C65A48.pdf</t>
  </si>
  <si>
    <t>7/10/2026</t>
  </si>
  <si>
    <t>Tabla de retención de renta para salarios mensuales</t>
  </si>
  <si>
    <t>USD</t>
  </si>
  <si>
    <t>1/5/2025</t>
  </si>
  <si>
    <t>https://www.jurisprudencia.gob.sv/DocumentosBoveda/D/2/2020-2029/2025/04/10A052.PDF</t>
  </si>
  <si>
    <t>Desde</t>
  </si>
  <si>
    <t>Hasta</t>
  </si>
  <si>
    <t>Tasa %</t>
  </si>
  <si>
    <t>Cuota fija</t>
  </si>
  <si>
    <t>Tabla de retención de renta para salarios quincenales</t>
  </si>
  <si>
    <t>Días de salario de aguinaldo según la antigüedad</t>
  </si>
  <si>
    <t>días</t>
  </si>
  <si>
    <t>1/1/2026</t>
  </si>
  <si>
    <t>https://www.jurisprudencia.gob.sv/DocumentosBoveda/D/2/1970-1979/1972/07/886E0.PDF</t>
  </si>
  <si>
    <t>De 3 a menos de 10 años</t>
  </si>
  <si>
    <t>10 años o más</t>
  </si>
  <si>
    <t>Quincena 25: salario mensual máximo para tenerla</t>
  </si>
  <si>
    <t>14/1/2026</t>
  </si>
  <si>
    <t>https://www.asamblea.gob.sv/sites/default/files/documents/decretos/D72EB960-89D5-443E-AE2D-196F677CB0F2.pdf</t>
  </si>
  <si>
    <t>Quincena 25: porcentaje del salario mensual</t>
  </si>
  <si>
    <t>Salario mínimo diario por sector</t>
  </si>
  <si>
    <t>1/6/2025</t>
  </si>
  <si>
    <t>https://www.jurisprudencia.gob.sv/DocumentosBoveda/D/2/2020-2029/2025/05/10A4DA.PDF</t>
  </si>
  <si>
    <t>Industria (incluye ingenios azucareros y agroindustria)</t>
  </si>
  <si>
    <t>Maquila textil y confección</t>
  </si>
  <si>
    <t>Beneficios de café</t>
  </si>
  <si>
    <t>Recolección de caña de azúcar</t>
  </si>
  <si>
    <t>Agropecuario, pesca y otras actividades agrícolas</t>
  </si>
  <si>
    <t>Recolección de café</t>
  </si>
  <si>
    <t>Tope del salario diario para la indemnización (veces el salario mínimo diario)</t>
  </si>
  <si>
    <t>veces</t>
  </si>
  <si>
    <t>Días de salario de indemnización por año de servicio</t>
  </si>
  <si>
    <t>Indemnización mínima en días de salario</t>
  </si>
  <si>
    <t>Tope del salario diario para la prestación por renuncia (veces el salario mínimo diario del sector)</t>
  </si>
  <si>
    <t>1/1/2015</t>
  </si>
  <si>
    <t>https://www.asamblea.gob.sv/sites/default/files/documents/decretos/64753625-5A99-425D-B845-BF2719C6A710.pdf</t>
  </si>
  <si>
    <t>Años de servicio continuo para tener la prestación por renuncia</t>
  </si>
  <si>
    <t>años</t>
  </si>
  <si>
    <t>Días de salario de la prestación por renuncia, por año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</si>
</sst>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 &quot;#,##0.00"/>
    <numFmt numFmtId="165" formatCode="#,##0.##"/>
    <numFmt numFmtId="166" formatCode="#,##0.00##"/>
    <numFmt numFmtId="167" formatCode="dd/mm/yyyy"/>
    <numFmt numFmtId="168" formatCode="[&gt;=100000000000000]&quot;en adelante&quot;;&quot;$ &quot;#,##0.00"/>
    <numFmt numFmtId="169" formatCode="0.00##"/>
  </numFmts>
  <fonts count="11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i/>
      <color rgb="FF777777"/>
      <sz val="9"/>
    </font>
    <font>
      <b/>
      <color rgb="FFFFFFFF"/>
      <sz val="11"/>
    </font>
    <font>
      <sz val="10"/>
    </font>
    <font>
      <b/>
    </font>
    <font>
      <b/>
      <color rgb="FFB71C1C"/>
    </font>
    <font>
      <b/>
      <color rgb="FF1B5E20"/>
      <sz val="10"/>
    </font>
    <font>
      <u/>
      <color rgb="FF1565C0"/>
    </font>
    <font>
      <b/>
      <sz val="9"/>
    </font>
  </fonts>
  <fills count="12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37474F"/>
      </patternFill>
    </fill>
    <fill>
      <patternFill patternType="solid">
        <fgColor rgb="FF546E7A"/>
      </patternFill>
    </fill>
    <fill>
      <patternFill patternType="solid">
        <fgColor rgb="FFF3F8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5" fillId="4" borderId="1" xfId="0" applyFont="1" applyFill="1" applyBorder="1" applyAlignment="1">
      <alignment horizontal="left" wrapText="1" indent="1"/>
    </xf>
    <xf numFmtId="164" fontId="5" fillId="5" borderId="1" xfId="0" applyNumberFormat="1" applyFont="1" applyFill="1" applyBorder="1" applyAlignment="1">
      <alignment horizontal="right"/>
    </xf>
    <xf numFmtId="0" fontId="0" fillId="4" borderId="1" xfId="0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indent="1"/>
    </xf>
    <xf numFmtId="164" fontId="6" fillId="6" borderId="1" xfId="0" applyNumberFormat="1" applyFont="1" applyFill="1" applyBorder="1" applyAlignment="1">
      <alignment horizontal="right"/>
    </xf>
    <xf numFmtId="0" fontId="3" fillId="0" borderId="0" xfId="0" applyFont="1" applyAlignment="1">
      <alignment vertical="center" wrapText="1"/>
    </xf>
    <xf numFmtId="165" fontId="5" fillId="5" borderId="1" xfId="0" applyNumberFormat="1" applyFont="1" applyFill="1" applyBorder="1" applyAlignment="1">
      <alignment horizontal="right"/>
    </xf>
    <xf numFmtId="0" fontId="7" fillId="0" borderId="0" xfId="0" applyFont="1" applyAlignment="1">
      <alignment wrapText="1"/>
    </xf>
    <xf numFmtId="0" fontId="0" fillId="7" borderId="1" xfId="0" applyFill="1" applyBorder="1" applyAlignment="1">
      <alignment horizontal="left" wrapText="1" indent="1"/>
    </xf>
    <xf numFmtId="164" fontId="0" fillId="7" borderId="1" xfId="0" applyNumberFormat="1" applyFill="1" applyBorder="1" applyAlignment="1">
      <alignment horizontal="right"/>
    </xf>
    <xf numFmtId="0" fontId="6" fillId="8" borderId="1" xfId="0" applyFont="1" applyFill="1" applyBorder="1" applyAlignment="1">
      <alignment horizontal="left" wrapText="1" indent="1"/>
    </xf>
    <xf numFmtId="164" fontId="6" fillId="8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166" fontId="5" fillId="5" borderId="1" xfId="0" applyNumberFormat="1" applyFont="1" applyFill="1" applyBorder="1" applyAlignment="1">
      <alignment horizontal="right"/>
    </xf>
    <xf numFmtId="166" fontId="0" fillId="7" borderId="1" xfId="0" applyNumberFormat="1" applyFill="1" applyBorder="1" applyAlignment="1">
      <alignment horizontal="right"/>
    </xf>
    <xf numFmtId="167" fontId="6" fillId="6" borderId="1" xfId="0" applyNumberFormat="1" applyFont="1" applyFill="1" applyBorder="1" applyAlignment="1">
      <alignment horizontal="right"/>
    </xf>
    <xf numFmtId="0" fontId="8" fillId="0" borderId="0" xfId="0" applyFont="1"/>
    <xf numFmtId="0" fontId="0" fillId="7" borderId="1" xfId="0" applyFill="1" applyBorder="1" applyAlignment="1">
      <alignment horizontal="right"/>
    </xf>
    <xf numFmtId="165" fontId="0" fillId="7" borderId="1" xfId="0" applyNumberFormat="1" applyFill="1" applyBorder="1" applyAlignment="1">
      <alignment horizontal="right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/>
    <xf numFmtId="0" fontId="0" fillId="5" borderId="1" xfId="0" applyFill="1" applyBorder="1" applyAlignment="1">
      <alignment vertical="top" wrapText="1"/>
    </xf>
    <xf numFmtId="166" fontId="0" fillId="5" borderId="1" xfId="0" applyNumberFormat="1" applyFill="1" applyBorder="1" applyAlignment="1">
      <alignment vertical="top"/>
    </xf>
    <xf numFmtId="0" fontId="9" fillId="5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9" fillId="11" borderId="1" xfId="0" applyFont="1" applyFill="1" applyBorder="1" applyAlignment="1">
      <alignment vertical="top" wrapText="1"/>
    </xf>
    <xf numFmtId="0" fontId="10" fillId="4" borderId="1" xfId="0" applyFont="1" applyFill="1" applyBorder="1"/>
    <xf numFmtId="164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0" fontId="0" fillId="4" borderId="1" xfId="0" applyFill="1" applyBorder="1" applyAlignment="1">
      <alignment vertical="top" wrapText="1"/>
    </xf>
    <xf numFmtId="166" fontId="0" fillId="4" borderId="1" xfId="0" applyNumberFormat="1" applyFill="1" applyBorder="1" applyAlignment="1">
      <alignment vertical="top"/>
    </xf>
    <xf numFmtId="0" fontId="9" fillId="4" borderId="1" xfId="0" applyFont="1" applyFill="1" applyBorder="1" applyAlignment="1">
      <alignment vertical="top" wrapText="1"/>
    </xf>
    <xf numFmtId="164" fontId="0" fillId="5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samblea.gob.sv/sites/default/files/documents/decretos/F94AF319-257C-4A85-97B7-4D03A6C65A48.pdf" TargetMode="External"/><Relationship Id="rId2" Type="http://schemas.openxmlformats.org/officeDocument/2006/relationships/hyperlink" Target="https://www.jurisprudencia.gob.sv/DocumentosBoveda/D/2/2020-2029/2025/04/10A052.PDF" TargetMode="External"/><Relationship Id="rId3" Type="http://schemas.openxmlformats.org/officeDocument/2006/relationships/hyperlink" Target="https://www.jurisprudencia.gob.sv/DocumentosBoveda/D/2/2020-2029/2025/04/10A052.PDF" TargetMode="External"/><Relationship Id="rId4" Type="http://schemas.openxmlformats.org/officeDocument/2006/relationships/hyperlink" Target="https://www.jurisprudencia.gob.sv/DocumentosBoveda/D/2/1970-1979/1972/07/886E0.PDF" TargetMode="External"/><Relationship Id="rId5" Type="http://schemas.openxmlformats.org/officeDocument/2006/relationships/hyperlink" Target="https://www.jurisprudencia.gob.sv/DocumentosBoveda/D/2/1970-1979/1972/07/886E0.PDF" TargetMode="External"/><Relationship Id="rId6" Type="http://schemas.openxmlformats.org/officeDocument/2006/relationships/hyperlink" Target="https://www.jurisprudencia.gob.sv/DocumentosBoveda/D/2/1970-1979/1972/07/886E0.PDF" TargetMode="External"/><Relationship Id="rId7" Type="http://schemas.openxmlformats.org/officeDocument/2006/relationships/hyperlink" Target="https://www.asamblea.gob.sv/sites/default/files/documents/decretos/D72EB960-89D5-443E-AE2D-196F677CB0F2.pdf" TargetMode="External"/><Relationship Id="rId8" Type="http://schemas.openxmlformats.org/officeDocument/2006/relationships/hyperlink" Target="https://www.asamblea.gob.sv/sites/default/files/documents/decretos/D72EB960-89D5-443E-AE2D-196F677CB0F2.pdf" TargetMode="External"/><Relationship Id="rId9" Type="http://schemas.openxmlformats.org/officeDocument/2006/relationships/hyperlink" Target="https://www.jurisprudencia.gob.sv/DocumentosBoveda/D/2/2020-2029/2025/05/10A4DA.PDF" TargetMode="External"/><Relationship Id="rId10" Type="http://schemas.openxmlformats.org/officeDocument/2006/relationships/hyperlink" Target="https://www.jurisprudencia.gob.sv/DocumentosBoveda/D/2/2020-2029/2025/05/10A4DA.PDF" TargetMode="External"/><Relationship Id="rId11" Type="http://schemas.openxmlformats.org/officeDocument/2006/relationships/hyperlink" Target="https://www.jurisprudencia.gob.sv/DocumentosBoveda/D/2/2020-2029/2025/05/10A4DA.PDF" TargetMode="External"/><Relationship Id="rId12" Type="http://schemas.openxmlformats.org/officeDocument/2006/relationships/hyperlink" Target="https://www.jurisprudencia.gob.sv/DocumentosBoveda/D/2/2020-2029/2025/05/10A4DA.PDF" TargetMode="External"/><Relationship Id="rId13" Type="http://schemas.openxmlformats.org/officeDocument/2006/relationships/hyperlink" Target="https://www.jurisprudencia.gob.sv/DocumentosBoveda/D/2/2020-2029/2025/05/10A4DA.PDF" TargetMode="External"/><Relationship Id="rId14" Type="http://schemas.openxmlformats.org/officeDocument/2006/relationships/hyperlink" Target="https://www.jurisprudencia.gob.sv/DocumentosBoveda/D/2/2020-2029/2025/05/10A4DA.PDF" TargetMode="External"/><Relationship Id="rId15" Type="http://schemas.openxmlformats.org/officeDocument/2006/relationships/hyperlink" Target="https://www.jurisprudencia.gob.sv/DocumentosBoveda/D/2/2020-2029/2025/05/10A4DA.PDF" TargetMode="External"/><Relationship Id="rId16" Type="http://schemas.openxmlformats.org/officeDocument/2006/relationships/hyperlink" Target="https://www.jurisprudencia.gob.sv/DocumentosBoveda/D/2/1970-1979/1972/07/886E0.PDF" TargetMode="External"/><Relationship Id="rId17" Type="http://schemas.openxmlformats.org/officeDocument/2006/relationships/hyperlink" Target="https://www.jurisprudencia.gob.sv/DocumentosBoveda/D/2/1970-1979/1972/07/886E0.PDF" TargetMode="External"/><Relationship Id="rId18" Type="http://schemas.openxmlformats.org/officeDocument/2006/relationships/hyperlink" Target="https://www.jurisprudencia.gob.sv/DocumentosBoveda/D/2/1970-1979/1972/07/886E0.PDF" TargetMode="External"/><Relationship Id="rId19" Type="http://schemas.openxmlformats.org/officeDocument/2006/relationships/hyperlink" Target="https://www.asamblea.gob.sv/sites/default/files/documents/decretos/64753625-5A99-425D-B845-BF2719C6A710.pdf" TargetMode="External"/><Relationship Id="rId20" Type="http://schemas.openxmlformats.org/officeDocument/2006/relationships/hyperlink" Target="https://www.asamblea.gob.sv/sites/default/files/documents/decretos/64753625-5A99-425D-B845-BF2719C6A710.pdf" TargetMode="External"/><Relationship Id="rId21" Type="http://schemas.openxmlformats.org/officeDocument/2006/relationships/hyperlink" Target="https://www.asamblea.gob.sv/sites/default/files/documents/decretos/64753625-5A99-425D-B845-BF2719C6A71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B12"/>
  <sheetFormatPr defaultRowHeight="15" outlineLevelRow="0" outlineLevelCol="0" x14ac:dyDescent="55"/>
  <cols>
    <col min="1" max="1" width="4" customWidth="1"/>
    <col min="2" max="2" width="110" customWidth="1"/>
  </cols>
  <sheetData>
    <row r="1" ht="28" customHeight="1" spans="1:2" x14ac:dyDescent="0.25">
      <c r="A1" s="1" t="s">
        <v>0</v>
      </c>
      <c r="B1" s="1"/>
    </row>
    <row r="3" ht="34" customHeight="1" spans="1:2" x14ac:dyDescent="0.25">
      <c r="A3" s="2">
        <v>1</v>
      </c>
      <c r="B3" s="3" t="s">
        <v>1</v>
      </c>
    </row>
    <row r="4" ht="34" customHeight="1" spans="1:2" x14ac:dyDescent="0.25">
      <c r="A4" s="2">
        <v>2</v>
      </c>
      <c r="B4" s="3" t="s">
        <v>2</v>
      </c>
    </row>
    <row r="5" ht="34" customHeight="1" spans="1:2" x14ac:dyDescent="0.25">
      <c r="A5" s="2">
        <v>3</v>
      </c>
      <c r="B5" s="3" t="s">
        <v>3</v>
      </c>
    </row>
    <row r="6" ht="34" customHeight="1" spans="1:2" x14ac:dyDescent="0.25">
      <c r="A6" s="2">
        <v>4</v>
      </c>
      <c r="B6" s="3" t="s">
        <v>4</v>
      </c>
    </row>
    <row r="7" ht="34" customHeight="1" spans="1:2" x14ac:dyDescent="0.25">
      <c r="A7" s="2">
        <v>5</v>
      </c>
      <c r="B7" s="3" t="s">
        <v>5</v>
      </c>
    </row>
    <row r="8" ht="34" customHeight="1" spans="1:2" x14ac:dyDescent="0.25">
      <c r="A8" s="2">
        <v>6</v>
      </c>
      <c r="B8" s="3" t="s">
        <v>6</v>
      </c>
    </row>
    <row r="10" ht="30" customHeight="1" spans="1:2" x14ac:dyDescent="0.25">
      <c r="A10" s="4" t="s">
        <v>7</v>
      </c>
      <c r="B10" s="4"/>
    </row>
    <row r="11" ht="30" customHeight="1" spans="1:2" x14ac:dyDescent="0.25">
      <c r="A11" s="4" t="s">
        <v>8</v>
      </c>
      <c r="B11" s="4"/>
    </row>
    <row r="12" ht="18" customHeight="1" spans="1:2" x14ac:dyDescent="0.25">
      <c r="A12" s="4" t="s">
        <v>9</v>
      </c>
      <c r="B12" s="4"/>
    </row>
  </sheetData>
  <mergeCells count="4">
    <mergeCell ref="A1:B1"/>
    <mergeCell ref="A10:B10"/>
    <mergeCell ref="A11:B1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17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10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13</v>
      </c>
      <c r="F4" s="8">
        <f>ROUND(B6*'Tablas oficiales'!$C$4/100,2)</f>
      </c>
    </row>
    <row r="5" spans="1:6" x14ac:dyDescent="0.25">
      <c r="A5" s="9" t="s">
        <v>14</v>
      </c>
      <c r="B5" s="10" t="s">
        <v>15</v>
      </c>
      <c r="E5" s="7" t="s">
        <v>16</v>
      </c>
      <c r="F5" s="8">
        <f>ROUND(MAX(0,B6-F4-B7),2)</f>
      </c>
    </row>
    <row r="6" spans="1:6" x14ac:dyDescent="0.25">
      <c r="A6" s="9" t="s">
        <v>17</v>
      </c>
      <c r="B6" s="11">
        <v>900</v>
      </c>
      <c r="C6" s="12" t="s">
        <v>18</v>
      </c>
      <c r="E6" s="7" t="s">
        <v>19</v>
      </c>
      <c r="F6" s="13">
        <f>MIN(4,COUNTIF('Tablas oficiales'!$C$7:$C$10,"&lt;"&amp;F5)+1)</f>
      </c>
    </row>
    <row r="7" spans="1:6" x14ac:dyDescent="0.25">
      <c r="A7" s="9" t="s">
        <v>20</v>
      </c>
      <c r="B7" s="11">
        <v>27</v>
      </c>
      <c r="C7" s="12" t="s">
        <v>21</v>
      </c>
      <c r="E7" s="7" t="s">
        <v>22</v>
      </c>
      <c r="F7" s="13">
        <f>MIN(4,COUNTIF('Tablas oficiales'!$C$14:$C$17,"&lt;"&amp;F5)+1)</f>
      </c>
    </row>
    <row r="8" spans="5:6" x14ac:dyDescent="0.25">
      <c r="E8" s="7" t="s">
        <v>23</v>
      </c>
      <c r="F8" s="8">
        <f>ROUND(IF(B5="Cada mes",IF(F5&lt;=0,0,IF(INDEX('Tablas oficiales'!$D$7:$D$10,F6)=0,0,INDEX('Tablas oficiales'!$E$7:$E$10,F6)+(F5-IF(F6=1,INDEX('Tablas oficiales'!$B$7:$B$10,1)-0.01,INDEX('Tablas oficiales'!$C$7:$C$10,F6-1)))*INDEX('Tablas oficiales'!$D$7:$D$10,F6)/100)),IF(F5&lt;=0,0,IF(INDEX('Tablas oficiales'!$D$14:$D$17,F7)=0,0,INDEX('Tablas oficiales'!$E$14:$E$17,F7)+(F5-IF(F7=1,INDEX('Tablas oficiales'!$B$14:$B$17,1)-0.01,INDEX('Tablas oficiales'!$C$14:$C$17,F7-1)))*INDEX('Tablas oficiales'!$D$14:$D$17,F7)/100))),2)</f>
      </c>
    </row>
    <row r="9" spans="1:3" x14ac:dyDescent="0.25">
      <c r="A9" s="6" t="s">
        <v>24</v>
      </c>
      <c r="B9" s="6"/>
      <c r="C9" s="6"/>
    </row>
    <row r="10" spans="1:3" x14ac:dyDescent="0.25">
      <c r="A10" s="14">
        <f>IF(B7&gt;B6,"El descuento del ISSS no puede ser mayor que el salario.","")</f>
      </c>
      <c r="B10" s="14"/>
      <c r="C10" s="14"/>
    </row>
    <row r="11" spans="1:2" x14ac:dyDescent="0.25">
      <c r="A11" s="15" t="s">
        <v>13</v>
      </c>
      <c r="B11" s="16">
        <f>F4</f>
      </c>
    </row>
    <row r="12" spans="1:2" x14ac:dyDescent="0.25">
      <c r="A12" s="15" t="s">
        <v>25</v>
      </c>
      <c r="B12" s="16">
        <f>ROUND(B7,2)</f>
      </c>
    </row>
    <row r="13" spans="1:2" x14ac:dyDescent="0.25">
      <c r="A13" s="15" t="s">
        <v>16</v>
      </c>
      <c r="B13" s="16">
        <f>F5</f>
      </c>
    </row>
    <row r="14" spans="1:2" x14ac:dyDescent="0.25">
      <c r="A14" s="15" t="s">
        <v>23</v>
      </c>
      <c r="B14" s="16">
        <f>F8</f>
      </c>
    </row>
    <row r="15" spans="1:2" x14ac:dyDescent="0.25">
      <c r="A15" s="17" t="s">
        <v>26</v>
      </c>
      <c r="B15" s="18">
        <f>ROUND(B6-F4-B7-F8,2)</f>
      </c>
    </row>
    <row r="17" ht="36" customHeight="1" spans="1:3" x14ac:dyDescent="0.25">
      <c r="A17" s="4" t="s">
        <v>27</v>
      </c>
      <c r="B17" s="4"/>
      <c r="C17" s="4"/>
    </row>
  </sheetData>
  <mergeCells count="6">
    <mergeCell ref="A1:C1"/>
    <mergeCell ref="E3:F3"/>
    <mergeCell ref="A4:C4"/>
    <mergeCell ref="A9:C9"/>
    <mergeCell ref="A10:C10"/>
    <mergeCell ref="A17:C17"/>
  </mergeCells>
  <dataValidations count="2">
    <dataValidation type="list" showErrorMessage="1" error="Elige una opción de la lista." sqref="B5">
      <formula1>"Cada mes,Cada quincena"</formula1>
    </dataValidation>
    <dataValidation type="decimal" allowBlank="1" showErrorMessage="1" error="Escribe un número mayor o igual a 0." sqref="B6:B7">
      <formula1>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23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28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29</v>
      </c>
      <c r="F4" s="8">
        <f>B5/30</f>
      </c>
    </row>
    <row r="5" spans="1:6" x14ac:dyDescent="0.25">
      <c r="A5" s="9" t="s">
        <v>30</v>
      </c>
      <c r="B5" s="11">
        <v>600</v>
      </c>
      <c r="C5" s="12" t="s">
        <v>31</v>
      </c>
      <c r="E5" s="7" t="s">
        <v>32</v>
      </c>
      <c r="F5" s="13">
        <f>IF(OR(B9="Menos de 1 año",B9="De 1 a menos de 3 años"),'Tablas oficiales'!$C$19,IF(B9="De 3 a menos de 10 años",'Tablas oficiales'!$C$20,'Tablas oficiales'!$C$21))</f>
      </c>
    </row>
    <row r="6" spans="1:6" x14ac:dyDescent="0.25">
      <c r="A6" s="9" t="s">
        <v>33</v>
      </c>
      <c r="B6" s="19"/>
      <c r="C6" s="12" t="s">
        <v>34</v>
      </c>
      <c r="E6" s="7" t="s">
        <v>35</v>
      </c>
      <c r="F6" s="20">
        <f>IF(B9="Menos de 1 año",F5*IF(ISNUMBER(B6),B6,0)/365,F5)</f>
      </c>
    </row>
    <row r="7" spans="5:6" x14ac:dyDescent="0.25">
      <c r="E7" s="7" t="s">
        <v>36</v>
      </c>
      <c r="F7" s="8">
        <f>IF(B5&gt;'Tablas oficiales'!$C$22,0,ROUND(B5*'Tablas oficiales'!$C$23/100,2))</f>
      </c>
    </row>
    <row r="8" spans="1:3" x14ac:dyDescent="0.25">
      <c r="A8" s="6" t="s">
        <v>37</v>
      </c>
      <c r="B8" s="6"/>
      <c r="C8" s="6"/>
    </row>
    <row r="9" spans="1:2" x14ac:dyDescent="0.25">
      <c r="A9" s="9" t="s">
        <v>38</v>
      </c>
      <c r="B9" s="10" t="s">
        <v>39</v>
      </c>
    </row>
    <row r="10" spans="1:3" x14ac:dyDescent="0.25">
      <c r="A10" s="14">
        <f>IF(AND(B9="Menos de 1 año",NOT(ISNUMBER(B6))),"Indique cuántos días lleva trabajando.","")</f>
      </c>
      <c r="B10" s="14"/>
      <c r="C10" s="14"/>
    </row>
    <row r="11" spans="1:2" x14ac:dyDescent="0.25">
      <c r="A11" s="15" t="s">
        <v>40</v>
      </c>
      <c r="B11" s="16">
        <f>ROUND(F4,2)</f>
      </c>
    </row>
    <row r="12" spans="1:2" x14ac:dyDescent="0.25">
      <c r="A12" s="15" t="s">
        <v>35</v>
      </c>
      <c r="B12" s="21">
        <f>ROUND(F6,2)</f>
      </c>
    </row>
    <row r="13" spans="1:2" x14ac:dyDescent="0.25">
      <c r="A13" s="17" t="s">
        <v>41</v>
      </c>
      <c r="B13" s="18">
        <f>ROUND(F4*F6,2)</f>
      </c>
    </row>
    <row r="15" ht="21" customHeight="1" spans="1:3" x14ac:dyDescent="0.25">
      <c r="A15" s="4" t="s">
        <v>42</v>
      </c>
      <c r="B15" s="4"/>
      <c r="C15" s="4"/>
    </row>
    <row r="17" spans="1:3" x14ac:dyDescent="0.25">
      <c r="A17" s="6" t="s">
        <v>43</v>
      </c>
      <c r="B17" s="6"/>
      <c r="C17" s="6"/>
    </row>
    <row r="18" spans="1:2" x14ac:dyDescent="0.25">
      <c r="A18" s="9" t="s">
        <v>44</v>
      </c>
      <c r="B18" s="10" t="s">
        <v>45</v>
      </c>
    </row>
    <row r="19" spans="1:3" x14ac:dyDescent="0.25">
      <c r="A19" s="14">
        <f>IF(AND(B18="No",NOT(ISNUMBER(B6))),"Indique cuántos días lleva trabajando.","")</f>
      </c>
      <c r="B19" s="14"/>
      <c r="C19" s="14"/>
    </row>
    <row r="20" spans="1:2" x14ac:dyDescent="0.25">
      <c r="A20" s="15" t="s">
        <v>36</v>
      </c>
      <c r="B20" s="16">
        <f>F7</f>
      </c>
    </row>
    <row r="21" spans="1:2" x14ac:dyDescent="0.25">
      <c r="A21" s="17" t="s">
        <v>46</v>
      </c>
      <c r="B21" s="18">
        <f>IF(B18="Sí",F7,ROUND(F7*IF(ISNUMBER(B6),B6,0)/365,2))</f>
      </c>
    </row>
    <row r="23" ht="36" customHeight="1" spans="1:3" x14ac:dyDescent="0.25">
      <c r="A23" s="4" t="s">
        <v>47</v>
      </c>
      <c r="B23" s="4"/>
      <c r="C23" s="4"/>
    </row>
  </sheetData>
  <mergeCells count="9">
    <mergeCell ref="A1:C1"/>
    <mergeCell ref="E3:F3"/>
    <mergeCell ref="A4:C4"/>
    <mergeCell ref="A8:C8"/>
    <mergeCell ref="A10:C10"/>
    <mergeCell ref="A15:C15"/>
    <mergeCell ref="A17:C17"/>
    <mergeCell ref="A19:C19"/>
    <mergeCell ref="A23:C23"/>
  </mergeCells>
  <dataValidations count="4">
    <dataValidation type="list" showErrorMessage="1" error="Elige una opción de la lista." sqref="B18">
      <formula1>"Sí,No"</formula1>
    </dataValidation>
    <dataValidation type="decimal" allowBlank="1" showErrorMessage="1" error="Escribe un número mayor o igual a 0." sqref="B5">
      <formula1>0</formula1>
      <formula2>1000000000000</formula2>
    </dataValidation>
    <dataValidation type="whole" allowBlank="1" showErrorMessage="1" error="Escribe un número entre 1 y 365." sqref="B6">
      <formula1>1</formula1>
      <formula2>365</formula2>
    </dataValidation>
    <dataValidation type="list" showErrorMessage="1" error="Elige una opción de la lista." sqref="B9">
      <formula1>"Menos de 1 año,De 1 a menos de 3 años,De 3 a menos de 10 años,10 años o más"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24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48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49</v>
      </c>
      <c r="F4" s="13">
        <f>IF(EDATE(B6,12*(YEAR((B7+1))-YEAR(B6)))&gt;(B7+1),(YEAR((B7+1))-YEAR(B6))-1,(YEAR((B7+1))-YEAR(B6)))</f>
      </c>
    </row>
    <row r="5" spans="1:6" x14ac:dyDescent="0.25">
      <c r="A5" s="9" t="s">
        <v>30</v>
      </c>
      <c r="B5" s="11">
        <v>600</v>
      </c>
      <c r="C5" s="12" t="s">
        <v>31</v>
      </c>
      <c r="E5" s="7" t="s">
        <v>50</v>
      </c>
      <c r="F5" s="13">
        <f>(B7+1)-EDATE(B6,12*F4)</f>
      </c>
    </row>
    <row r="6" spans="1:6" x14ac:dyDescent="0.25">
      <c r="A6" s="9" t="s">
        <v>51</v>
      </c>
      <c r="B6" s="22">
        <v>44228</v>
      </c>
      <c r="E6" s="7" t="s">
        <v>29</v>
      </c>
      <c r="F6" s="8">
        <f>B5/30</f>
      </c>
    </row>
    <row r="7" spans="1:6" x14ac:dyDescent="0.25">
      <c r="A7" s="9" t="s">
        <v>52</v>
      </c>
      <c r="B7" s="22">
        <v>46307</v>
      </c>
      <c r="E7" s="7" t="s">
        <v>53</v>
      </c>
      <c r="F7" s="8">
        <f>INDEX('Tablas oficiales'!$C$24:$C$30,MATCH(B8,'Tablas oficiales'!$B$24:$B$30,0))</f>
      </c>
    </row>
    <row r="8" spans="1:2" x14ac:dyDescent="0.25">
      <c r="A8" s="9" t="s">
        <v>54</v>
      </c>
      <c r="B8" s="10" t="s">
        <v>55</v>
      </c>
    </row>
    <row r="9" spans="5:5" x14ac:dyDescent="0.25">
      <c r="E9" s="23" t="s">
        <v>56</v>
      </c>
    </row>
    <row r="10" spans="1:6" x14ac:dyDescent="0.25">
      <c r="A10" s="6" t="s">
        <v>57</v>
      </c>
      <c r="B10" s="6"/>
      <c r="C10" s="6"/>
      <c r="E10" s="7" t="s">
        <v>58</v>
      </c>
      <c r="F10" s="8">
        <f>MIN(F6,'Tablas oficiales'!$C$31*F7)</f>
      </c>
    </row>
    <row r="11" spans="1:6" x14ac:dyDescent="0.25">
      <c r="A11" s="14">
        <f>IF(B7&lt;B6,"El último día tiene que ser posterior a la fecha de inicio.","")</f>
      </c>
      <c r="B11" s="14"/>
      <c r="C11" s="14"/>
      <c r="E11" s="7" t="s">
        <v>59</v>
      </c>
      <c r="F11" s="20">
        <f>MAX('Tablas oficiales'!$C$32*F4+'Tablas oficiales'!$C$32*F5/365,'Tablas oficiales'!$C$33)</f>
      </c>
    </row>
    <row r="12" spans="1:2" x14ac:dyDescent="0.25">
      <c r="A12" s="15" t="s">
        <v>60</v>
      </c>
      <c r="B12" s="24">
        <f>F4&amp;" años y "&amp;F5&amp;" días"</f>
      </c>
    </row>
    <row r="13" spans="1:5" x14ac:dyDescent="0.25">
      <c r="A13" s="15" t="s">
        <v>61</v>
      </c>
      <c r="B13" s="16">
        <f>ROUND(F10,2)</f>
      </c>
      <c r="E13" s="23" t="s">
        <v>62</v>
      </c>
    </row>
    <row r="14" spans="1:6" x14ac:dyDescent="0.25">
      <c r="A14" s="15" t="s">
        <v>59</v>
      </c>
      <c r="B14" s="21">
        <f>ROUND(F11,2)</f>
      </c>
      <c r="E14" s="7" t="s">
        <v>63</v>
      </c>
      <c r="F14" s="8">
        <f>MIN(F6,'Tablas oficiales'!$C$34*F7)</f>
      </c>
    </row>
    <row r="15" spans="1:6" x14ac:dyDescent="0.25">
      <c r="A15" s="17" t="s">
        <v>56</v>
      </c>
      <c r="B15" s="18">
        <f>ROUND(F10*F11,2)</f>
      </c>
      <c r="E15" s="7" t="s">
        <v>64</v>
      </c>
      <c r="F15" s="13">
        <f>IF(F4&gt;='Tablas oficiales'!$C$35,'Tablas oficiales'!$C$36*F4,0)</f>
      </c>
    </row>
    <row r="17" ht="36" customHeight="1" spans="1:3" x14ac:dyDescent="0.25">
      <c r="A17" s="4" t="s">
        <v>65</v>
      </c>
      <c r="B17" s="4"/>
      <c r="C17" s="4"/>
    </row>
    <row r="19" spans="1:3" x14ac:dyDescent="0.25">
      <c r="A19" s="6" t="s">
        <v>66</v>
      </c>
      <c r="B19" s="6"/>
      <c r="C19" s="6"/>
    </row>
    <row r="20" spans="1:2" x14ac:dyDescent="0.25">
      <c r="A20" s="15" t="s">
        <v>61</v>
      </c>
      <c r="B20" s="16">
        <f>ROUND(F14,2)</f>
      </c>
    </row>
    <row r="21" spans="1:2" x14ac:dyDescent="0.25">
      <c r="A21" s="15" t="s">
        <v>64</v>
      </c>
      <c r="B21" s="25">
        <f>F15</f>
      </c>
    </row>
    <row r="22" spans="1:2" x14ac:dyDescent="0.25">
      <c r="A22" s="17" t="s">
        <v>62</v>
      </c>
      <c r="B22" s="18">
        <f>ROUND(F14*F15,2)</f>
      </c>
    </row>
    <row r="24" ht="36" customHeight="1" spans="1:3" x14ac:dyDescent="0.25">
      <c r="A24" s="4" t="s">
        <v>67</v>
      </c>
      <c r="B24" s="4"/>
      <c r="C24" s="4"/>
    </row>
  </sheetData>
  <mergeCells count="8">
    <mergeCell ref="A1:C1"/>
    <mergeCell ref="E3:F3"/>
    <mergeCell ref="A4:C4"/>
    <mergeCell ref="A10:C10"/>
    <mergeCell ref="A11:C11"/>
    <mergeCell ref="A17:C17"/>
    <mergeCell ref="A19:C19"/>
    <mergeCell ref="A24:C24"/>
  </mergeCells>
  <dataValidations count="3">
    <dataValidation type="decimal" allowBlank="1" showErrorMessage="1" error="Escribe un número mayor o igual a 0." sqref="B5">
      <formula1>0</formula1>
      <formula2>1000000000000</formula2>
    </dataValidation>
    <dataValidation type="date" operator="greaterThan" allowBlank="1" showErrorMessage="1" error="Escribe una fecha como dd/mm/aaaa." sqref="B6:B7">
      <formula1>18264</formula1>
    </dataValidation>
    <dataValidation type="list" showErrorMessage="1" error="Elige una opción de la lista." sqref="B8">
      <formula1>'Tablas oficiales'!$B$24:$B$30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G3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0" customWidth="1"/>
    <col min="3" max="3" width="18" customWidth="1"/>
    <col min="4" max="4" width="12" customWidth="1"/>
    <col min="5" max="5" width="14" customWidth="1"/>
    <col min="6" max="6" width="58" customWidth="1"/>
    <col min="7" max="7" width="14" customWidth="1"/>
  </cols>
  <sheetData>
    <row r="1" ht="28" customHeight="1" spans="1:7" x14ac:dyDescent="0.25">
      <c r="A1" s="26" t="s">
        <v>68</v>
      </c>
      <c r="B1" s="26"/>
      <c r="C1" s="26"/>
      <c r="D1" s="26"/>
      <c r="E1" s="26"/>
      <c r="F1" s="26"/>
      <c r="G1" s="26"/>
    </row>
    <row r="2" ht="30" customHeight="1" spans="1:7" x14ac:dyDescent="0.25">
      <c r="A2" s="4" t="s">
        <v>69</v>
      </c>
      <c r="B2" s="4"/>
      <c r="C2" s="4"/>
      <c r="D2" s="4"/>
      <c r="E2" s="4"/>
      <c r="F2" s="4"/>
      <c r="G2" s="4"/>
    </row>
    <row r="3" spans="1:7" x14ac:dyDescent="0.25">
      <c r="A3" s="27" t="s">
        <v>70</v>
      </c>
      <c r="B3" s="27" t="s">
        <v>71</v>
      </c>
      <c r="C3" s="27" t="s">
        <v>72</v>
      </c>
      <c r="D3" s="27" t="s">
        <v>73</v>
      </c>
      <c r="E3" s="27" t="s">
        <v>74</v>
      </c>
      <c r="F3" s="27" t="s">
        <v>75</v>
      </c>
      <c r="G3" s="27" t="s">
        <v>76</v>
      </c>
    </row>
    <row r="4" spans="1:7" x14ac:dyDescent="0.25">
      <c r="A4" s="28" t="s">
        <v>77</v>
      </c>
      <c r="B4" s="28" t="s">
        <v>78</v>
      </c>
      <c r="C4" s="29">
        <v>7.25</v>
      </c>
      <c r="D4" s="28" t="s">
        <v>79</v>
      </c>
      <c r="E4" s="28" t="s">
        <v>80</v>
      </c>
      <c r="F4" s="30" t="s">
        <v>81</v>
      </c>
      <c r="G4" s="28" t="s">
        <v>82</v>
      </c>
    </row>
    <row r="5" spans="1:7" x14ac:dyDescent="0.25">
      <c r="A5" s="31" t="s">
        <v>83</v>
      </c>
      <c r="B5" s="32"/>
      <c r="C5" s="32"/>
      <c r="D5" s="32" t="s">
        <v>84</v>
      </c>
      <c r="E5" s="32" t="s">
        <v>85</v>
      </c>
      <c r="F5" s="33" t="s">
        <v>86</v>
      </c>
      <c r="G5" s="32" t="s">
        <v>82</v>
      </c>
    </row>
    <row r="6" spans="2:5" x14ac:dyDescent="0.25">
      <c r="B6" s="34" t="s">
        <v>87</v>
      </c>
      <c r="C6" s="34" t="s">
        <v>88</v>
      </c>
      <c r="D6" s="34" t="s">
        <v>89</v>
      </c>
      <c r="E6" s="34" t="s">
        <v>90</v>
      </c>
    </row>
    <row r="7" spans="2:5" x14ac:dyDescent="0.25">
      <c r="B7" s="35">
        <v>0.01</v>
      </c>
      <c r="C7" s="36">
        <v>550</v>
      </c>
      <c r="D7" s="37">
        <v>0</v>
      </c>
      <c r="E7" s="35">
        <v>0</v>
      </c>
    </row>
    <row r="8" spans="2:5" x14ac:dyDescent="0.25">
      <c r="B8" s="35">
        <v>550.01</v>
      </c>
      <c r="C8" s="36">
        <v>895.24</v>
      </c>
      <c r="D8" s="37">
        <v>10</v>
      </c>
      <c r="E8" s="35">
        <v>17.67</v>
      </c>
    </row>
    <row r="9" spans="2:5" x14ac:dyDescent="0.25">
      <c r="B9" s="35">
        <v>895.25</v>
      </c>
      <c r="C9" s="36">
        <v>2038.1</v>
      </c>
      <c r="D9" s="37">
        <v>20</v>
      </c>
      <c r="E9" s="35">
        <v>60</v>
      </c>
    </row>
    <row r="10" spans="2:5" x14ac:dyDescent="0.25">
      <c r="B10" s="35">
        <v>2038.11</v>
      </c>
      <c r="C10" s="36">
        <v>1000000000000000</v>
      </c>
      <c r="D10" s="37">
        <v>30</v>
      </c>
      <c r="E10" s="35">
        <v>288.57</v>
      </c>
    </row>
    <row r="12" spans="1:7" x14ac:dyDescent="0.25">
      <c r="A12" s="31" t="s">
        <v>91</v>
      </c>
      <c r="B12" s="32"/>
      <c r="C12" s="32"/>
      <c r="D12" s="32" t="s">
        <v>84</v>
      </c>
      <c r="E12" s="32" t="s">
        <v>85</v>
      </c>
      <c r="F12" s="33" t="s">
        <v>86</v>
      </c>
      <c r="G12" s="32" t="s">
        <v>82</v>
      </c>
    </row>
    <row r="13" spans="2:5" x14ac:dyDescent="0.25">
      <c r="B13" s="34" t="s">
        <v>87</v>
      </c>
      <c r="C13" s="34" t="s">
        <v>88</v>
      </c>
      <c r="D13" s="34" t="s">
        <v>89</v>
      </c>
      <c r="E13" s="34" t="s">
        <v>90</v>
      </c>
    </row>
    <row r="14" spans="2:5" x14ac:dyDescent="0.25">
      <c r="B14" s="35">
        <v>0.01</v>
      </c>
      <c r="C14" s="36">
        <v>275</v>
      </c>
      <c r="D14" s="37">
        <v>0</v>
      </c>
      <c r="E14" s="35">
        <v>0</v>
      </c>
    </row>
    <row r="15" spans="2:5" x14ac:dyDescent="0.25">
      <c r="B15" s="35">
        <v>275.01</v>
      </c>
      <c r="C15" s="36">
        <v>447.62</v>
      </c>
      <c r="D15" s="37">
        <v>10</v>
      </c>
      <c r="E15" s="35">
        <v>8.83</v>
      </c>
    </row>
    <row r="16" spans="2:5" x14ac:dyDescent="0.25">
      <c r="B16" s="35">
        <v>447.63</v>
      </c>
      <c r="C16" s="36">
        <v>1019.05</v>
      </c>
      <c r="D16" s="37">
        <v>20</v>
      </c>
      <c r="E16" s="35">
        <v>30</v>
      </c>
    </row>
    <row r="17" spans="2:5" x14ac:dyDescent="0.25">
      <c r="B17" s="35">
        <v>1019.06</v>
      </c>
      <c r="C17" s="36">
        <v>1000000000000000</v>
      </c>
      <c r="D17" s="37">
        <v>30</v>
      </c>
      <c r="E17" s="35">
        <v>144.28</v>
      </c>
    </row>
    <row r="19" spans="1:7" x14ac:dyDescent="0.25">
      <c r="A19" s="38" t="s">
        <v>92</v>
      </c>
      <c r="B19" s="38" t="s">
        <v>39</v>
      </c>
      <c r="C19" s="39">
        <v>15</v>
      </c>
      <c r="D19" s="38" t="s">
        <v>93</v>
      </c>
      <c r="E19" s="38" t="s">
        <v>94</v>
      </c>
      <c r="F19" s="40" t="s">
        <v>95</v>
      </c>
      <c r="G19" s="38" t="s">
        <v>82</v>
      </c>
    </row>
    <row r="20" spans="1:7" x14ac:dyDescent="0.25">
      <c r="A20" s="28" t="s">
        <v>92</v>
      </c>
      <c r="B20" s="28" t="s">
        <v>96</v>
      </c>
      <c r="C20" s="29">
        <v>19</v>
      </c>
      <c r="D20" s="28" t="s">
        <v>93</v>
      </c>
      <c r="E20" s="28" t="s">
        <v>94</v>
      </c>
      <c r="F20" s="30" t="s">
        <v>95</v>
      </c>
      <c r="G20" s="28" t="s">
        <v>82</v>
      </c>
    </row>
    <row r="21" spans="1:7" x14ac:dyDescent="0.25">
      <c r="A21" s="38" t="s">
        <v>92</v>
      </c>
      <c r="B21" s="38" t="s">
        <v>97</v>
      </c>
      <c r="C21" s="39">
        <v>21</v>
      </c>
      <c r="D21" s="38" t="s">
        <v>93</v>
      </c>
      <c r="E21" s="38" t="s">
        <v>94</v>
      </c>
      <c r="F21" s="40" t="s">
        <v>95</v>
      </c>
      <c r="G21" s="38" t="s">
        <v>82</v>
      </c>
    </row>
    <row r="22" spans="1:7" x14ac:dyDescent="0.25">
      <c r="A22" s="28" t="s">
        <v>98</v>
      </c>
      <c r="B22" s="28" t="s">
        <v>78</v>
      </c>
      <c r="C22" s="41">
        <v>1500</v>
      </c>
      <c r="D22" s="28" t="s">
        <v>84</v>
      </c>
      <c r="E22" s="28" t="s">
        <v>99</v>
      </c>
      <c r="F22" s="30" t="s">
        <v>100</v>
      </c>
      <c r="G22" s="28" t="s">
        <v>82</v>
      </c>
    </row>
    <row r="23" spans="1:7" x14ac:dyDescent="0.25">
      <c r="A23" s="38" t="s">
        <v>101</v>
      </c>
      <c r="B23" s="38" t="s">
        <v>78</v>
      </c>
      <c r="C23" s="39">
        <v>50</v>
      </c>
      <c r="D23" s="38" t="s">
        <v>79</v>
      </c>
      <c r="E23" s="38" t="s">
        <v>99</v>
      </c>
      <c r="F23" s="40" t="s">
        <v>100</v>
      </c>
      <c r="G23" s="38" t="s">
        <v>82</v>
      </c>
    </row>
    <row r="24" spans="1:7" x14ac:dyDescent="0.25">
      <c r="A24" s="28" t="s">
        <v>102</v>
      </c>
      <c r="B24" s="28" t="s">
        <v>55</v>
      </c>
      <c r="C24" s="41">
        <v>13.44</v>
      </c>
      <c r="D24" s="28" t="s">
        <v>84</v>
      </c>
      <c r="E24" s="28" t="s">
        <v>103</v>
      </c>
      <c r="F24" s="30" t="s">
        <v>104</v>
      </c>
      <c r="G24" s="28" t="s">
        <v>82</v>
      </c>
    </row>
    <row r="25" spans="1:7" x14ac:dyDescent="0.25">
      <c r="A25" s="38" t="s">
        <v>102</v>
      </c>
      <c r="B25" s="38" t="s">
        <v>105</v>
      </c>
      <c r="C25" s="42">
        <v>13.44</v>
      </c>
      <c r="D25" s="38" t="s">
        <v>84</v>
      </c>
      <c r="E25" s="38" t="s">
        <v>103</v>
      </c>
      <c r="F25" s="40" t="s">
        <v>104</v>
      </c>
      <c r="G25" s="38" t="s">
        <v>82</v>
      </c>
    </row>
    <row r="26" spans="1:7" x14ac:dyDescent="0.25">
      <c r="A26" s="28" t="s">
        <v>102</v>
      </c>
      <c r="B26" s="28" t="s">
        <v>106</v>
      </c>
      <c r="C26" s="41">
        <v>13.227</v>
      </c>
      <c r="D26" s="28" t="s">
        <v>84</v>
      </c>
      <c r="E26" s="28" t="s">
        <v>103</v>
      </c>
      <c r="F26" s="30" t="s">
        <v>104</v>
      </c>
      <c r="G26" s="28" t="s">
        <v>82</v>
      </c>
    </row>
    <row r="27" spans="1:7" x14ac:dyDescent="0.25">
      <c r="A27" s="38" t="s">
        <v>102</v>
      </c>
      <c r="B27" s="38" t="s">
        <v>107</v>
      </c>
      <c r="C27" s="42">
        <v>10.035</v>
      </c>
      <c r="D27" s="38" t="s">
        <v>84</v>
      </c>
      <c r="E27" s="38" t="s">
        <v>103</v>
      </c>
      <c r="F27" s="40" t="s">
        <v>104</v>
      </c>
      <c r="G27" s="38" t="s">
        <v>82</v>
      </c>
    </row>
    <row r="28" spans="1:7" x14ac:dyDescent="0.25">
      <c r="A28" s="28" t="s">
        <v>102</v>
      </c>
      <c r="B28" s="28" t="s">
        <v>108</v>
      </c>
      <c r="C28" s="41">
        <v>10.035</v>
      </c>
      <c r="D28" s="28" t="s">
        <v>84</v>
      </c>
      <c r="E28" s="28" t="s">
        <v>103</v>
      </c>
      <c r="F28" s="30" t="s">
        <v>104</v>
      </c>
      <c r="G28" s="28" t="s">
        <v>82</v>
      </c>
    </row>
    <row r="29" spans="1:7" x14ac:dyDescent="0.25">
      <c r="A29" s="38" t="s">
        <v>102</v>
      </c>
      <c r="B29" s="38" t="s">
        <v>109</v>
      </c>
      <c r="C29" s="42">
        <v>8.96</v>
      </c>
      <c r="D29" s="38" t="s">
        <v>84</v>
      </c>
      <c r="E29" s="38" t="s">
        <v>103</v>
      </c>
      <c r="F29" s="40" t="s">
        <v>104</v>
      </c>
      <c r="G29" s="38" t="s">
        <v>82</v>
      </c>
    </row>
    <row r="30" spans="1:7" x14ac:dyDescent="0.25">
      <c r="A30" s="28" t="s">
        <v>102</v>
      </c>
      <c r="B30" s="28" t="s">
        <v>110</v>
      </c>
      <c r="C30" s="41">
        <v>8.96</v>
      </c>
      <c r="D30" s="28" t="s">
        <v>84</v>
      </c>
      <c r="E30" s="28" t="s">
        <v>103</v>
      </c>
      <c r="F30" s="30" t="s">
        <v>104</v>
      </c>
      <c r="G30" s="28" t="s">
        <v>82</v>
      </c>
    </row>
    <row r="31" spans="1:7" x14ac:dyDescent="0.25">
      <c r="A31" s="38" t="s">
        <v>111</v>
      </c>
      <c r="B31" s="38" t="s">
        <v>78</v>
      </c>
      <c r="C31" s="39">
        <v>4</v>
      </c>
      <c r="D31" s="38" t="s">
        <v>112</v>
      </c>
      <c r="E31" s="38" t="s">
        <v>94</v>
      </c>
      <c r="F31" s="40" t="s">
        <v>95</v>
      </c>
      <c r="G31" s="38" t="s">
        <v>82</v>
      </c>
    </row>
    <row r="32" spans="1:7" x14ac:dyDescent="0.25">
      <c r="A32" s="28" t="s">
        <v>113</v>
      </c>
      <c r="B32" s="28" t="s">
        <v>78</v>
      </c>
      <c r="C32" s="29">
        <v>30</v>
      </c>
      <c r="D32" s="28" t="s">
        <v>93</v>
      </c>
      <c r="E32" s="28" t="s">
        <v>94</v>
      </c>
      <c r="F32" s="30" t="s">
        <v>95</v>
      </c>
      <c r="G32" s="28" t="s">
        <v>82</v>
      </c>
    </row>
    <row r="33" spans="1:7" x14ac:dyDescent="0.25">
      <c r="A33" s="38" t="s">
        <v>114</v>
      </c>
      <c r="B33" s="38" t="s">
        <v>78</v>
      </c>
      <c r="C33" s="39">
        <v>15</v>
      </c>
      <c r="D33" s="38" t="s">
        <v>93</v>
      </c>
      <c r="E33" s="38" t="s">
        <v>94</v>
      </c>
      <c r="F33" s="40" t="s">
        <v>95</v>
      </c>
      <c r="G33" s="38" t="s">
        <v>82</v>
      </c>
    </row>
    <row r="34" spans="1:7" x14ac:dyDescent="0.25">
      <c r="A34" s="28" t="s">
        <v>115</v>
      </c>
      <c r="B34" s="28" t="s">
        <v>78</v>
      </c>
      <c r="C34" s="29">
        <v>2</v>
      </c>
      <c r="D34" s="28" t="s">
        <v>112</v>
      </c>
      <c r="E34" s="28" t="s">
        <v>116</v>
      </c>
      <c r="F34" s="30" t="s">
        <v>117</v>
      </c>
      <c r="G34" s="28" t="s">
        <v>82</v>
      </c>
    </row>
    <row r="35" spans="1:7" x14ac:dyDescent="0.25">
      <c r="A35" s="38" t="s">
        <v>118</v>
      </c>
      <c r="B35" s="38" t="s">
        <v>78</v>
      </c>
      <c r="C35" s="39">
        <v>2</v>
      </c>
      <c r="D35" s="38" t="s">
        <v>119</v>
      </c>
      <c r="E35" s="38" t="s">
        <v>116</v>
      </c>
      <c r="F35" s="40" t="s">
        <v>117</v>
      </c>
      <c r="G35" s="38" t="s">
        <v>82</v>
      </c>
    </row>
    <row r="36" spans="1:7" x14ac:dyDescent="0.25">
      <c r="A36" s="28" t="s">
        <v>120</v>
      </c>
      <c r="B36" s="28" t="s">
        <v>78</v>
      </c>
      <c r="C36" s="29">
        <v>15</v>
      </c>
      <c r="D36" s="28" t="s">
        <v>93</v>
      </c>
      <c r="E36" s="28" t="s">
        <v>116</v>
      </c>
      <c r="F36" s="30" t="s">
        <v>117</v>
      </c>
      <c r="G36" s="28" t="s">
        <v>82</v>
      </c>
    </row>
  </sheetData>
  <mergeCells count="2">
    <mergeCell ref="A1:G1"/>
    <mergeCell ref="A2:G2"/>
  </mergeCells>
  <hyperlinks>
    <hyperlink ref="F4" r:id="rId1"/>
    <hyperlink ref="F5" r:id="rId2"/>
    <hyperlink ref="F12" r:id="rId3"/>
    <hyperlink ref="F19" r:id="rId4"/>
    <hyperlink ref="F20" r:id="rId5"/>
    <hyperlink ref="F21" r:id="rId6"/>
    <hyperlink ref="F22" r:id="rId7"/>
    <hyperlink ref="F23" r:id="rId8"/>
    <hyperlink ref="F24" r:id="rId9"/>
    <hyperlink ref="F25" r:id="rId10"/>
    <hyperlink ref="F26" r:id="rId11"/>
    <hyperlink ref="F27" r:id="rId12"/>
    <hyperlink ref="F28" r:id="rId13"/>
    <hyperlink ref="F29" r:id="rId14"/>
    <hyperlink ref="F30" r:id="rId15"/>
    <hyperlink ref="F31" r:id="rId16"/>
    <hyperlink ref="F32" r:id="rId17"/>
    <hyperlink ref="F33" r:id="rId18"/>
    <hyperlink ref="F34" r:id="rId19"/>
    <hyperlink ref="F35" r:id="rId20"/>
    <hyperlink ref="F36" r:id="rId2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Retención de renta</vt:lpstr>
      <vt:lpstr>Aguinaldo y Quincena 25</vt:lpstr>
      <vt:lpstr>Indemnización y renuncia</vt:lpstr>
      <vt:lpstr>Tablas oficiales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CalcularYa (calcularya.com)</dc:creator>
  <dc:title>Planilla de salario y prestaciones El Salvador 2026</dc:title>
  <dc:subject/>
  <dc:description/>
  <cp:keywords/>
  <cp:category/>
  <cp:lastModifiedBy>Unknown</cp:lastModifiedBy>
  <dcterms:created xsi:type="dcterms:W3CDTF">2026-10-12T12:00:00Z</dcterms:created>
  <dcterms:modified xsi:type="dcterms:W3CDTF">2026-10-12T12:00:00Z</dcterms:modified>
</cp:coreProperties>
</file>