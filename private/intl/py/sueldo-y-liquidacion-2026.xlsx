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Salario neto" state="visible" r:id="rId5"/>
    <sheet sheetId="3" name="Aguinaldo" state="visible" r:id="rId6"/>
    <sheet sheetId="4" name="Liquidación" state="visible" r:id="rId7"/>
    <sheet sheetId="5" name="Tablas oficiales" state="visible" r:id="rId8"/>
  </sheets>
  <calcPr calcId="171027"/>
</workbook>
</file>

<file path=xl/sharedStrings.xml><?xml version="1.0" encoding="utf-8"?>
<sst xmlns="http://schemas.openxmlformats.org/spreadsheetml/2006/main" count="174" uniqueCount="105">
  <si>
    <t>Planilla de salario y liquidación Paraguay 2026</t>
  </si>
  <si>
    <t>Las celdas amarillas son para tus datos. Las verdes se calculan solas, con las fórmulas de la ley. A la derecha de cada hoja está el paso a paso de la cuenta.</t>
  </si>
  <si>
    <t>«Salario neto»: ponés tu salario bruto y te dice el aporte al IPS, tu salario neto y lo que le cuesta al empleador.</t>
  </si>
  <si>
    <t>«Aguinaldo»: calcula tu aguinaldo con la doceava parte de lo que cobraste en el año.</t>
  </si>
  <si>
    <t>«Liquidación»: ponés tus fechas, tu salario promedio y cómo terminó el trabajo, y te dice el preaviso, la indemnización, las vacaciones y el aguinaldo.</t>
  </si>
  <si>
    <t>«Tablas oficiales» tiene cada valor oficial que usan las fórmulas, con el enlace a su fuente y la fecha en que lo verificamos. Los valores son los vigentes al 13/10/2026.</t>
  </si>
  <si>
    <t>Cuando cambia un valor oficial, actualizamos la planilla y el mismo enlace de descarga te baja la versión nueva.</t>
  </si>
  <si>
    <t>Da los mismos números que las calculadoras gratuitas de calcularya.com. Antes de publicar cada versión, una verificación automática recalcula este archivo y lo compara con ellas.</t>
  </si>
  <si>
    <t>Es una referencia de cálculo con sus fuentes, no asesoramiento legal. Tu contrato o tu empresa pueden darte más que el mínimo de ley.</t>
  </si>
  <si>
    <t>Las fechas van como dd/mm/aaaa. Si tu Excel está en inglés y las lee al revés, escribilas como aaaa-mm-dd.</t>
  </si>
  <si>
    <t>Salario neto y aporte al IPS</t>
  </si>
  <si>
    <t>Paso a paso</t>
  </si>
  <si>
    <t>TUS DATOS</t>
  </si>
  <si>
    <t>Aporte al IPS</t>
  </si>
  <si>
    <t>Salario bruto del mes</t>
  </si>
  <si>
    <t>El salario más horas extra o comisiones del mes. El aguinaldo no va.</t>
  </si>
  <si>
    <t>Aporte del empleador al IPS</t>
  </si>
  <si>
    <t>TU SALARIO</t>
  </si>
  <si>
    <t>Salario bruto</t>
  </si>
  <si>
    <t>Salario neto</t>
  </si>
  <si>
    <t>Costo total para el empleador</t>
  </si>
  <si>
    <t>No incluye el IRP: se liquida una vez al año, en la declaración de marzo, y solo si tus ingresos del año pasan el monto no alcanzado.</t>
  </si>
  <si>
    <t>Aguinaldo</t>
  </si>
  <si>
    <t>Total cobrado en el año</t>
  </si>
  <si>
    <t>Salario mensual</t>
  </si>
  <si>
    <t>Si tu salario cambió durante el año, poné el promedio.</t>
  </si>
  <si>
    <t>Meses trabajados en el año</t>
  </si>
  <si>
    <t>Hasta 12. Se aceptan fracciones: medio mes es 0,5.</t>
  </si>
  <si>
    <t>Horas extra, comisiones y otros cobros del año</t>
  </si>
  <si>
    <t>Todo lo que cobraste aparte del salario desde enero. Si no tuviste, dejá 0.</t>
  </si>
  <si>
    <t>TU AGUINALDO</t>
  </si>
  <si>
    <t>Se paga antes del 31 de diciembre, o al terminar la relación laboral si eso pasa antes. No paga aporte al IPS y no se puede embargar.</t>
  </si>
  <si>
    <t>Liquidación: preaviso, indemnización, vacaciones y aguinaldo</t>
  </si>
  <si>
    <t>Salario mensual promedio de los últimos 6 meses</t>
  </si>
  <si>
    <t>Sumá todo lo que cobraste en esos meses y dividilo por 6.</t>
  </si>
  <si>
    <t>Antigüedad</t>
  </si>
  <si>
    <t>Fecha de ingreso</t>
  </si>
  <si>
    <t>Meses de servicio cumplidos</t>
  </si>
  <si>
    <t>Último día de trabajo</t>
  </si>
  <si>
    <t>Años cumplidos</t>
  </si>
  <si>
    <t>Se dio el preaviso y se trabajó</t>
  </si>
  <si>
    <t>No</t>
  </si>
  <si>
    <t>Si te despidieron sin avisarte con anticipación, dejalo en No. Si renunciaste sin avisar, también.</t>
  </si>
  <si>
    <t>Meses sueltos</t>
  </si>
  <si>
    <t>Cómo termina el trabajo</t>
  </si>
  <si>
    <t>Me despidieron sin causa</t>
  </si>
  <si>
    <t>Días sueltos</t>
  </si>
  <si>
    <t>Total cobrado este año desde enero (opcional)</t>
  </si>
  <si>
    <t>Salario, horas extra y comisiones. Si lo dejás vacío, se estima con tu salario promedio.</t>
  </si>
  <si>
    <t>Salario diario</t>
  </si>
  <si>
    <t>Días de vacaciones ya ganadas que no tomaste</t>
  </si>
  <si>
    <t>Días de preaviso</t>
  </si>
  <si>
    <t>Pasaron más de 6 meses desde que ganaste esas vacaciones</t>
  </si>
  <si>
    <t>Si te despiden después de ese plazo, se pagan el doble.</t>
  </si>
  <si>
    <t>Años indemnizables (más de seis meses suman uno)</t>
  </si>
  <si>
    <t>Indemnización por despido sin causa</t>
  </si>
  <si>
    <t>TU LIQUIDACIÓN</t>
  </si>
  <si>
    <t>Liquidación</t>
  </si>
  <si>
    <t>Preaviso</t>
  </si>
  <si>
    <t>Descuento por no dar preaviso</t>
  </si>
  <si>
    <t>Indemnización</t>
  </si>
  <si>
    <t>Vacaciones ya ganadas</t>
  </si>
  <si>
    <t>Vacaciones causadas</t>
  </si>
  <si>
    <t>Días de vacaciones proporcionales</t>
  </si>
  <si>
    <t>Vacaciones proporcionales</t>
  </si>
  <si>
    <t>Aguinaldo proporcional</t>
  </si>
  <si>
    <t>Cobrado en el año</t>
  </si>
  <si>
    <t>Total</t>
  </si>
  <si>
    <t>Preaviso no trabajado</t>
  </si>
  <si>
    <t>Son montos brutos. Con causa justificada no hay indemnización ni preaviso. Con diez años o más tenés estabilidad, y en algunos casos la indemnización es el doble.</t>
  </si>
  <si>
    <t>SOLO LA INDEMNIZACIÓN POR DESPIDO SIN CAUSA</t>
  </si>
  <si>
    <t>Años que se indemnizan</t>
  </si>
  <si>
    <t>Indemnización más preaviso</t>
  </si>
  <si>
    <t>Indemnización doble (con diez años o más)</t>
  </si>
  <si>
    <t>Tablas oficiales de Paraguay</t>
  </si>
  <si>
    <t>Son los valores que usan las fórmulas de esta planilla, vigentes al 13/10/2026. Cada uno trae el enlace a la norma o al organismo que lo publica y la fecha en que lo verificamos.</t>
  </si>
  <si>
    <t>Dato</t>
  </si>
  <si>
    <t>Detalle</t>
  </si>
  <si>
    <t>Valor</t>
  </si>
  <si>
    <t>Unidad</t>
  </si>
  <si>
    <t>Vigente desde</t>
  </si>
  <si>
    <t>Fuente oficial</t>
  </si>
  <si>
    <t>Verificado el</t>
  </si>
  <si>
    <t>Aporte del trabajador al IPS</t>
  </si>
  <si>
    <t/>
  </si>
  <si>
    <t>%</t>
  </si>
  <si>
    <t>1/7/2026</t>
  </si>
  <si>
    <t>https://portal.ips.gov.py/sistemas/ipsportal/contenido.php?c=372</t>
  </si>
  <si>
    <t>7/10/2026</t>
  </si>
  <si>
    <t>Salario mínimo legal mensual (actividades diversas no especificadas)</t>
  </si>
  <si>
    <t>PYG</t>
  </si>
  <si>
    <t>https://www.mtess.gov.py/wp-content/uploads/2026/07/Resolucion-MTESS-N%C2%B0-670-REGLAMENTACION-SALARIO-2026.pdf</t>
  </si>
  <si>
    <t>Días del mes para el salario diario del mensualero</t>
  </si>
  <si>
    <t>días</t>
  </si>
  <si>
    <t>Días de preaviso por antigüedad</t>
  </si>
  <si>
    <t>Hasta 1 año</t>
  </si>
  <si>
    <t>1/1/2025</t>
  </si>
  <si>
    <t>https://www.bacn.gov.py/leyes-paraguayas/2608/ley-n-213-establece-el-codigo-del-trabajo</t>
  </si>
  <si>
    <t>Más de 1 y hasta 5 años</t>
  </si>
  <si>
    <t>Más de 5 y hasta 10 años</t>
  </si>
  <si>
    <t>Más de 10 años</t>
  </si>
  <si>
    <t>Salarios diarios de indemnización por año de servicio</t>
  </si>
  <si>
    <t>https://www.dnit.gov.py/web/portal-institucional/w/m-ley-n-496-94</t>
  </si>
  <si>
    <t>Días de vacaciones por antigüedad</t>
  </si>
  <si>
    <t>Hasta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</si>
</sst>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Gs. &quot;#,##0"/>
    <numFmt numFmtId="165" formatCode="#,##0.00##"/>
    <numFmt numFmtId="166" formatCode="dd/mm/yyyy"/>
    <numFmt numFmtId="167" formatCode="#,##0.##"/>
  </numFmts>
  <fonts count="10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i/>
      <color rgb="FF777777"/>
      <sz val="9"/>
    </font>
    <font>
      <b/>
      <color rgb="FFFFFFFF"/>
      <sz val="11"/>
    </font>
    <font>
      <sz val="10"/>
    </font>
    <font>
      <b/>
    </font>
    <font>
      <b/>
      <color rgb="FFB71C1C"/>
    </font>
    <font>
      <b/>
      <color rgb="FF1B5E20"/>
      <sz val="10"/>
    </font>
    <font>
      <u/>
      <color rgb="FF1565C0"/>
    </font>
  </fonts>
  <fills count="11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37474F"/>
      </patternFill>
    </fill>
    <fill>
      <patternFill patternType="solid">
        <fgColor rgb="FF546E7A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 indent="1"/>
    </xf>
    <xf numFmtId="0" fontId="3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indent="1"/>
    </xf>
    <xf numFmtId="0" fontId="5" fillId="4" borderId="1" xfId="0" applyFont="1" applyFill="1" applyBorder="1" applyAlignment="1">
      <alignment horizontal="left" wrapText="1" indent="1"/>
    </xf>
    <xf numFmtId="164" fontId="5" fillId="5" borderId="1" xfId="0" applyNumberFormat="1" applyFont="1" applyFill="1" applyBorder="1" applyAlignment="1">
      <alignment horizontal="right"/>
    </xf>
    <xf numFmtId="0" fontId="0" fillId="4" borderId="1" xfId="0" applyFill="1" applyBorder="1" applyAlignment="1">
      <alignment horizontal="left" vertical="center" wrapText="1" indent="1"/>
    </xf>
    <xf numFmtId="164" fontId="6" fillId="6" borderId="1" xfId="0" applyNumberFormat="1" applyFont="1" applyFill="1" applyBorder="1" applyAlignment="1">
      <alignment horizontal="right"/>
    </xf>
    <xf numFmtId="0" fontId="3" fillId="0" borderId="0" xfId="0" applyFont="1" applyAlignment="1">
      <alignment vertical="center" wrapText="1"/>
    </xf>
    <xf numFmtId="0" fontId="0" fillId="7" borderId="1" xfId="0" applyFill="1" applyBorder="1" applyAlignment="1">
      <alignment horizontal="left" wrapText="1" indent="1"/>
    </xf>
    <xf numFmtId="164" fontId="0" fillId="7" borderId="1" xfId="0" applyNumberFormat="1" applyFill="1" applyBorder="1" applyAlignment="1">
      <alignment horizontal="right"/>
    </xf>
    <xf numFmtId="0" fontId="6" fillId="8" borderId="1" xfId="0" applyFont="1" applyFill="1" applyBorder="1" applyAlignment="1">
      <alignment horizontal="left" wrapText="1" indent="1"/>
    </xf>
    <xf numFmtId="164" fontId="6" fillId="8" borderId="1" xfId="0" applyNumberFormat="1" applyFont="1" applyFill="1" applyBorder="1" applyAlignment="1">
      <alignment horizontal="right"/>
    </xf>
    <xf numFmtId="0" fontId="7" fillId="0" borderId="0" xfId="0" applyFont="1" applyAlignment="1">
      <alignment wrapText="1"/>
    </xf>
    <xf numFmtId="165" fontId="6" fillId="6" borderId="1" xfId="0" applyNumberFormat="1" applyFont="1" applyFill="1" applyBorder="1" applyAlignment="1">
      <alignment horizontal="right"/>
    </xf>
    <xf numFmtId="0" fontId="8" fillId="0" borderId="0" xfId="0" applyFont="1"/>
    <xf numFmtId="166" fontId="6" fillId="6" borderId="1" xfId="0" applyNumberFormat="1" applyFont="1" applyFill="1" applyBorder="1" applyAlignment="1">
      <alignment horizontal="right"/>
    </xf>
    <xf numFmtId="167" fontId="5" fillId="5" borderId="1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left" indent="1"/>
    </xf>
    <xf numFmtId="167" fontId="6" fillId="6" borderId="1" xfId="0" applyNumberFormat="1" applyFont="1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165" fontId="0" fillId="7" borderId="1" xfId="0" applyNumberForma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167" fontId="0" fillId="7" borderId="1" xfId="0" applyNumberFormat="1" applyFill="1" applyBorder="1" applyAlignment="1">
      <alignment horizontal="right"/>
    </xf>
    <xf numFmtId="0" fontId="1" fillId="9" borderId="0" xfId="0" applyFont="1" applyFill="1" applyAlignment="1">
      <alignment horizontal="center" vertical="center"/>
    </xf>
    <xf numFmtId="0" fontId="2" fillId="10" borderId="1" xfId="0" applyFont="1" applyFill="1" applyBorder="1"/>
    <xf numFmtId="0" fontId="0" fillId="5" borderId="1" xfId="0" applyFill="1" applyBorder="1" applyAlignment="1">
      <alignment vertical="top" wrapText="1"/>
    </xf>
    <xf numFmtId="165" fontId="0" fillId="5" borderId="1" xfId="0" applyNumberFormat="1" applyFill="1" applyBorder="1" applyAlignment="1">
      <alignment vertical="top"/>
    </xf>
    <xf numFmtId="0" fontId="9" fillId="5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5" fontId="0" fillId="4" borderId="1" xfId="0" applyNumberFormat="1" applyFill="1" applyBorder="1" applyAlignment="1">
      <alignment vertical="top"/>
    </xf>
    <xf numFmtId="0" fontId="9" fillId="4" borderId="1" xfId="0" applyFont="1" applyFill="1" applyBorder="1" applyAlignment="1">
      <alignment vertical="top" wrapText="1"/>
    </xf>
    <xf numFmtId="164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portal.ips.gov.py/sistemas/ipsportal/contenido.php?c=372" TargetMode="External"/><Relationship Id="rId2" Type="http://schemas.openxmlformats.org/officeDocument/2006/relationships/hyperlink" Target="https://portal.ips.gov.py/sistemas/ipsportal/contenido.php?c=372" TargetMode="External"/><Relationship Id="rId3" Type="http://schemas.openxmlformats.org/officeDocument/2006/relationships/hyperlink" Target="https://www.mtess.gov.py/wp-content/uploads/2026/07/Resolucion-MTESS-N%C2%B0-670-REGLAMENTACION-SALARIO-2026.pdf" TargetMode="External"/><Relationship Id="rId4" Type="http://schemas.openxmlformats.org/officeDocument/2006/relationships/hyperlink" Target="https://www.mtess.gov.py/wp-content/uploads/2026/07/Resolucion-MTESS-N%C2%B0-670-REGLAMENTACION-SALARIO-2026.pdf" TargetMode="External"/><Relationship Id="rId5" Type="http://schemas.openxmlformats.org/officeDocument/2006/relationships/hyperlink" Target="https://www.bacn.gov.py/leyes-paraguayas/2608/ley-n-213-establece-el-codigo-del-trabajo" TargetMode="External"/><Relationship Id="rId6" Type="http://schemas.openxmlformats.org/officeDocument/2006/relationships/hyperlink" Target="https://www.bacn.gov.py/leyes-paraguayas/2608/ley-n-213-establece-el-codigo-del-trabajo" TargetMode="External"/><Relationship Id="rId7" Type="http://schemas.openxmlformats.org/officeDocument/2006/relationships/hyperlink" Target="https://www.bacn.gov.py/leyes-paraguayas/2608/ley-n-213-establece-el-codigo-del-trabajo" TargetMode="External"/><Relationship Id="rId8" Type="http://schemas.openxmlformats.org/officeDocument/2006/relationships/hyperlink" Target="https://www.bacn.gov.py/leyes-paraguayas/2608/ley-n-213-establece-el-codigo-del-trabajo" TargetMode="External"/><Relationship Id="rId9" Type="http://schemas.openxmlformats.org/officeDocument/2006/relationships/hyperlink" Target="https://www.dnit.gov.py/web/portal-institucional/w/m-ley-n-496-94" TargetMode="External"/><Relationship Id="rId10" Type="http://schemas.openxmlformats.org/officeDocument/2006/relationships/hyperlink" Target="https://www.dnit.gov.py/web/portal-institucional/w/m-ley-n-496-94" TargetMode="External"/><Relationship Id="rId11" Type="http://schemas.openxmlformats.org/officeDocument/2006/relationships/hyperlink" Target="https://www.dnit.gov.py/web/portal-institucional/w/m-ley-n-496-94" TargetMode="External"/><Relationship Id="rId12" Type="http://schemas.openxmlformats.org/officeDocument/2006/relationships/hyperlink" Target="https://www.dnit.gov.py/web/portal-institucional/w/m-ley-n-496-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B12"/>
  <sheetFormatPr defaultRowHeight="15" outlineLevelRow="0" outlineLevelCol="0" x14ac:dyDescent="55"/>
  <cols>
    <col min="1" max="1" width="4" customWidth="1"/>
    <col min="2" max="2" width="110" customWidth="1"/>
  </cols>
  <sheetData>
    <row r="1" ht="28" customHeight="1" spans="1:2" x14ac:dyDescent="0.25">
      <c r="A1" s="1" t="s">
        <v>0</v>
      </c>
      <c r="B1" s="1"/>
    </row>
    <row r="3" ht="34" customHeight="1" spans="1:2" x14ac:dyDescent="0.25">
      <c r="A3" s="2">
        <v>1</v>
      </c>
      <c r="B3" s="3" t="s">
        <v>1</v>
      </c>
    </row>
    <row r="4" ht="34" customHeight="1" spans="1:2" x14ac:dyDescent="0.25">
      <c r="A4" s="2">
        <v>2</v>
      </c>
      <c r="B4" s="3" t="s">
        <v>2</v>
      </c>
    </row>
    <row r="5" ht="20" customHeight="1" spans="1:2" x14ac:dyDescent="0.25">
      <c r="A5" s="2">
        <v>3</v>
      </c>
      <c r="B5" s="3" t="s">
        <v>3</v>
      </c>
    </row>
    <row r="6" ht="34" customHeight="1" spans="1:2" x14ac:dyDescent="0.25">
      <c r="A6" s="2">
        <v>4</v>
      </c>
      <c r="B6" s="3" t="s">
        <v>4</v>
      </c>
    </row>
    <row r="7" ht="34" customHeight="1" spans="1:2" x14ac:dyDescent="0.25">
      <c r="A7" s="2">
        <v>5</v>
      </c>
      <c r="B7" s="3" t="s">
        <v>5</v>
      </c>
    </row>
    <row r="8" ht="34" customHeight="1" spans="1:2" x14ac:dyDescent="0.25">
      <c r="A8" s="2">
        <v>6</v>
      </c>
      <c r="B8" s="3" t="s">
        <v>6</v>
      </c>
    </row>
    <row r="10" ht="30" customHeight="1" spans="1:2" x14ac:dyDescent="0.25">
      <c r="A10" s="4" t="s">
        <v>7</v>
      </c>
      <c r="B10" s="4"/>
    </row>
    <row r="11" ht="30" customHeight="1" spans="1:2" x14ac:dyDescent="0.25">
      <c r="A11" s="4" t="s">
        <v>8</v>
      </c>
      <c r="B11" s="4"/>
    </row>
    <row r="12" ht="18" customHeight="1" spans="1:2" x14ac:dyDescent="0.25">
      <c r="A12" s="4" t="s">
        <v>9</v>
      </c>
      <c r="B12" s="4"/>
    </row>
  </sheetData>
  <mergeCells count="4">
    <mergeCell ref="A1:B1"/>
    <mergeCell ref="A10:B10"/>
    <mergeCell ref="A11:B1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15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10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13</v>
      </c>
      <c r="F4" s="8">
        <f>ROUND(B5*'Tablas oficiales'!$C$4/100,0)</f>
      </c>
    </row>
    <row r="5" spans="1:6" x14ac:dyDescent="0.25">
      <c r="A5" s="9" t="s">
        <v>14</v>
      </c>
      <c r="B5" s="10">
        <v>3500000</v>
      </c>
      <c r="C5" s="11" t="s">
        <v>15</v>
      </c>
      <c r="E5" s="7" t="s">
        <v>16</v>
      </c>
      <c r="F5" s="8">
        <f>ROUND(B5*'Tablas oficiales'!$C$5/100,0)</f>
      </c>
    </row>
    <row r="7" spans="1:3" x14ac:dyDescent="0.25">
      <c r="A7" s="6" t="s">
        <v>17</v>
      </c>
      <c r="B7" s="6"/>
      <c r="C7" s="6"/>
    </row>
    <row r="8" spans="1:2" x14ac:dyDescent="0.25">
      <c r="A8" s="12" t="s">
        <v>18</v>
      </c>
      <c r="B8" s="13">
        <f>B5</f>
      </c>
    </row>
    <row r="9" spans="1:2" x14ac:dyDescent="0.25">
      <c r="A9" s="12" t="s">
        <v>13</v>
      </c>
      <c r="B9" s="13">
        <f>F4</f>
      </c>
    </row>
    <row r="10" spans="1:2" x14ac:dyDescent="0.25">
      <c r="A10" s="14" t="s">
        <v>19</v>
      </c>
      <c r="B10" s="15">
        <f>ROUND(B5-F4,0)</f>
      </c>
    </row>
    <row r="11" spans="1:2" x14ac:dyDescent="0.25">
      <c r="A11" s="12" t="s">
        <v>16</v>
      </c>
      <c r="B11" s="13">
        <f>F5</f>
      </c>
    </row>
    <row r="12" spans="1:2" x14ac:dyDescent="0.25">
      <c r="A12" s="12" t="s">
        <v>20</v>
      </c>
      <c r="B12" s="13">
        <f>ROUND(B5+F5,0)</f>
      </c>
    </row>
    <row r="13" spans="1:3" x14ac:dyDescent="0.25">
      <c r="A13" s="16">
        <f>IF(AND(B5&gt;0,B5&lt;'Tablas oficiales'!$C$6),"Tu salario está debajo del mínimo legal. Con jornada completa, el IPS toma como base el salario mínimo.","")</f>
      </c>
      <c r="B13" s="16"/>
      <c r="C13" s="16"/>
    </row>
    <row r="15" ht="36" customHeight="1" spans="1:3" x14ac:dyDescent="0.25">
      <c r="A15" s="4" t="s">
        <v>21</v>
      </c>
      <c r="B15" s="4"/>
      <c r="C15" s="4"/>
    </row>
  </sheetData>
  <mergeCells count="6">
    <mergeCell ref="A1:C1"/>
    <mergeCell ref="E3:F3"/>
    <mergeCell ref="A4:C4"/>
    <mergeCell ref="A7:C7"/>
    <mergeCell ref="A13:C13"/>
    <mergeCell ref="A15:C15"/>
  </mergeCells>
  <dataValidations count="1">
    <dataValidation type="decimal" allowBlank="1" showErrorMessage="1" error="Escribe un número mayor o igual a 0." sqref="B5">
      <formula1>0</formula1>
      <formula2>1000000000000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13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22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23</v>
      </c>
      <c r="F4" s="8">
        <f>ROUND(B5*B6+B7,0)</f>
      </c>
    </row>
    <row r="5" spans="1:3" x14ac:dyDescent="0.25">
      <c r="A5" s="9" t="s">
        <v>24</v>
      </c>
      <c r="B5" s="10">
        <v>3500000</v>
      </c>
      <c r="C5" s="11" t="s">
        <v>25</v>
      </c>
    </row>
    <row r="6" spans="1:3" x14ac:dyDescent="0.25">
      <c r="A6" s="9" t="s">
        <v>26</v>
      </c>
      <c r="B6" s="17">
        <v>12</v>
      </c>
      <c r="C6" s="11" t="s">
        <v>27</v>
      </c>
    </row>
    <row r="7" ht="30" customHeight="1" spans="1:3" x14ac:dyDescent="0.25">
      <c r="A7" s="9" t="s">
        <v>28</v>
      </c>
      <c r="B7" s="10">
        <v>0</v>
      </c>
      <c r="C7" s="11" t="s">
        <v>29</v>
      </c>
    </row>
    <row r="9" spans="1:3" x14ac:dyDescent="0.25">
      <c r="A9" s="6" t="s">
        <v>30</v>
      </c>
      <c r="B9" s="6"/>
      <c r="C9" s="6"/>
    </row>
    <row r="10" spans="1:2" x14ac:dyDescent="0.25">
      <c r="A10" s="12" t="s">
        <v>23</v>
      </c>
      <c r="B10" s="13">
        <f>F4</f>
      </c>
    </row>
    <row r="11" spans="1:2" x14ac:dyDescent="0.25">
      <c r="A11" s="14" t="s">
        <v>22</v>
      </c>
      <c r="B11" s="15">
        <f>ROUND(F4/12,0)</f>
      </c>
    </row>
    <row r="13" ht="36" customHeight="1" spans="1:3" x14ac:dyDescent="0.25">
      <c r="A13" s="4" t="s">
        <v>31</v>
      </c>
      <c r="B13" s="4"/>
      <c r="C13" s="4"/>
    </row>
  </sheetData>
  <mergeCells count="5">
    <mergeCell ref="A1:C1"/>
    <mergeCell ref="E3:F3"/>
    <mergeCell ref="A4:C4"/>
    <mergeCell ref="A9:C9"/>
    <mergeCell ref="A13:C13"/>
  </mergeCells>
  <dataValidations count="3">
    <dataValidation type="decimal" allowBlank="1" showErrorMessage="1" error="Escribe un número mayor o igual a 0." sqref="B5">
      <formula1>0</formula1>
      <formula2>1000000000000</formula2>
    </dataValidation>
    <dataValidation type="decimal" allowBlank="1" showErrorMessage="1" error="Escribe un número entre 0 y 12." sqref="B6">
      <formula1>0</formula1>
      <formula2>12</formula2>
    </dataValidation>
    <dataValidation type="decimal" allowBlank="1" showErrorMessage="1" error="Escribe un número mayor o igual a 0." sqref="B7">
      <formula1>0</formula1>
      <formula2>1000000000000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34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32</v>
      </c>
      <c r="B1" s="5"/>
      <c r="C1" s="5"/>
    </row>
    <row r="3" spans="5:6" x14ac:dyDescent="0.25">
      <c r="E3" s="6" t="s">
        <v>11</v>
      </c>
      <c r="F3" s="6"/>
    </row>
    <row r="4" spans="1:3" x14ac:dyDescent="0.25">
      <c r="A4" s="6" t="s">
        <v>12</v>
      </c>
      <c r="B4" s="6"/>
      <c r="C4" s="6"/>
    </row>
    <row r="5" spans="1:5" x14ac:dyDescent="0.25">
      <c r="A5" s="9" t="s">
        <v>33</v>
      </c>
      <c r="B5" s="10">
        <v>3500000</v>
      </c>
      <c r="C5" s="11" t="s">
        <v>34</v>
      </c>
      <c r="E5" s="18" t="s">
        <v>35</v>
      </c>
    </row>
    <row r="6" spans="1:6" x14ac:dyDescent="0.25">
      <c r="A6" s="9" t="s">
        <v>36</v>
      </c>
      <c r="B6" s="19">
        <v>44287</v>
      </c>
      <c r="E6" s="7" t="s">
        <v>37</v>
      </c>
      <c r="F6" s="20">
        <f>IF(EDATE(B6,((YEAR((B7+1))-YEAR(B6))*12+MONTH((B7+1))-MONTH(B6)))&gt;(B7+1),((YEAR((B7+1))-YEAR(B6))*12+MONTH((B7+1))-MONTH(B6))-1,((YEAR((B7+1))-YEAR(B6))*12+MONTH((B7+1))-MONTH(B6)))</f>
      </c>
    </row>
    <row r="7" spans="1:6" x14ac:dyDescent="0.25">
      <c r="A7" s="9" t="s">
        <v>38</v>
      </c>
      <c r="B7" s="19">
        <v>46308</v>
      </c>
      <c r="E7" s="7" t="s">
        <v>39</v>
      </c>
      <c r="F7" s="20">
        <f>INT(F6/12)</f>
      </c>
    </row>
    <row r="8" ht="30" customHeight="1" spans="1:6" x14ac:dyDescent="0.25">
      <c r="A8" s="9" t="s">
        <v>40</v>
      </c>
      <c r="B8" s="21" t="s">
        <v>41</v>
      </c>
      <c r="C8" s="11" t="s">
        <v>42</v>
      </c>
      <c r="E8" s="7" t="s">
        <v>43</v>
      </c>
      <c r="F8" s="20">
        <f>MOD(F6,12)</f>
      </c>
    </row>
    <row r="9" spans="1:6" x14ac:dyDescent="0.25">
      <c r="A9" s="9" t="s">
        <v>44</v>
      </c>
      <c r="B9" s="21" t="s">
        <v>45</v>
      </c>
      <c r="E9" s="7" t="s">
        <v>46</v>
      </c>
      <c r="F9" s="20">
        <f>(B7+1)-EDATE(B6,F6)</f>
      </c>
    </row>
    <row r="10" ht="30" customHeight="1" spans="1:6" x14ac:dyDescent="0.25">
      <c r="A10" s="9" t="s">
        <v>47</v>
      </c>
      <c r="B10" s="10"/>
      <c r="C10" s="11" t="s">
        <v>48</v>
      </c>
      <c r="E10" s="7" t="s">
        <v>49</v>
      </c>
      <c r="F10" s="8">
        <f>B5/'Tablas oficiales'!$C$7</f>
      </c>
    </row>
    <row r="11" spans="1:6" x14ac:dyDescent="0.25">
      <c r="A11" s="9" t="s">
        <v>50</v>
      </c>
      <c r="B11" s="22">
        <v>0</v>
      </c>
      <c r="E11" s="7" t="s">
        <v>51</v>
      </c>
      <c r="F11" s="20">
        <f>IF(OR(F7&gt;10,AND(F7=10,OR(F8&gt;0,F9&gt;0))),'Tablas oficiales'!$C$11,IF(OR(F7&gt;5,AND(F7=5,OR(F8&gt;0,F9&gt;0))),'Tablas oficiales'!$C$10,IF(OR(F7&gt;1,AND(F7=1,OR(F8&gt;0,F9&gt;0))),'Tablas oficiales'!$C$9,'Tablas oficiales'!$C$8)))</f>
      </c>
    </row>
    <row r="12" spans="1:6" x14ac:dyDescent="0.25">
      <c r="A12" s="9" t="s">
        <v>52</v>
      </c>
      <c r="B12" s="21" t="s">
        <v>41</v>
      </c>
      <c r="C12" s="11" t="s">
        <v>53</v>
      </c>
      <c r="E12" s="7" t="s">
        <v>54</v>
      </c>
      <c r="F12" s="20">
        <f>IF((B7+1)&gt;EDATE(B6,F7*12+6),F7+1,F7)</f>
      </c>
    </row>
    <row r="13" spans="5:6" x14ac:dyDescent="0.25">
      <c r="E13" s="7" t="s">
        <v>55</v>
      </c>
      <c r="F13" s="8">
        <f>ROUND(F10*'Tablas oficiales'!$C$12*F12,0)</f>
      </c>
    </row>
    <row r="14" spans="1:3" x14ac:dyDescent="0.25">
      <c r="A14" s="6" t="s">
        <v>56</v>
      </c>
      <c r="B14" s="6"/>
      <c r="C14" s="6"/>
    </row>
    <row r="15" spans="1:5" x14ac:dyDescent="0.25">
      <c r="A15" s="16">
        <f>IF(B7&lt;B6,"El último día de trabajo tiene que ser posterior a la fecha de ingreso.","")</f>
      </c>
      <c r="B15" s="16"/>
      <c r="C15" s="16"/>
      <c r="E15" s="18" t="s">
        <v>57</v>
      </c>
    </row>
    <row r="16" spans="1:6" x14ac:dyDescent="0.25">
      <c r="A16" s="12" t="s">
        <v>35</v>
      </c>
      <c r="B16" s="23">
        <f>F7&amp;" años, "&amp;F8&amp;" meses y "&amp;F9&amp;" días"</f>
      </c>
      <c r="E16" s="7" t="s">
        <v>58</v>
      </c>
      <c r="F16" s="8">
        <f>IF(AND(B9="Me despidieron sin causa",B8="No"),ROUND(F10*F11,0),0)</f>
      </c>
    </row>
    <row r="17" spans="1:6" x14ac:dyDescent="0.25">
      <c r="A17" s="12" t="s">
        <v>58</v>
      </c>
      <c r="B17" s="13">
        <f>F16</f>
      </c>
      <c r="E17" s="7" t="s">
        <v>59</v>
      </c>
      <c r="F17" s="8">
        <f>IF(AND(B9="Renuncié",B8="No"),ROUND(F10*F11/2,0),0)</f>
      </c>
    </row>
    <row r="18" spans="1:6" x14ac:dyDescent="0.25">
      <c r="A18" s="12" t="s">
        <v>60</v>
      </c>
      <c r="B18" s="13">
        <f>F18</f>
      </c>
      <c r="E18" s="7" t="s">
        <v>60</v>
      </c>
      <c r="F18" s="8">
        <f>IF(B9="Me despidieron sin causa",F13,0)</f>
      </c>
    </row>
    <row r="19" spans="1:6" x14ac:dyDescent="0.25">
      <c r="A19" s="12" t="s">
        <v>61</v>
      </c>
      <c r="B19" s="13">
        <f>F19</f>
      </c>
      <c r="E19" s="7" t="s">
        <v>62</v>
      </c>
      <c r="F19" s="8">
        <f>ROUND(F10*B11*IF(AND(NOT(B9="Renuncié"),B12="Sí"),2,1),0)</f>
      </c>
    </row>
    <row r="20" spans="1:6" x14ac:dyDescent="0.25">
      <c r="A20" s="12" t="s">
        <v>63</v>
      </c>
      <c r="B20" s="24">
        <f>F20</f>
      </c>
      <c r="E20" s="7" t="s">
        <v>63</v>
      </c>
      <c r="F20" s="25">
        <f>IF(B9="Me despidieron sin causa",IF((F7+1)&gt;10,'Tablas oficiales'!$C$15,IF((F7+1)&gt;5,'Tablas oficiales'!$C$14,'Tablas oficiales'!$C$13))*((B7+1)-EDATE(B6,F7*12))/(EDATE(B6,(F7+1)*12)-EDATE(B6,F7*12)),0)</f>
      </c>
    </row>
    <row r="21" spans="1:6" x14ac:dyDescent="0.25">
      <c r="A21" s="12" t="s">
        <v>64</v>
      </c>
      <c r="B21" s="13">
        <f>F21</f>
      </c>
      <c r="E21" s="7" t="s">
        <v>64</v>
      </c>
      <c r="F21" s="8">
        <f>ROUND(F10*F20,0)</f>
      </c>
    </row>
    <row r="22" spans="1:6" x14ac:dyDescent="0.25">
      <c r="A22" s="12" t="s">
        <v>65</v>
      </c>
      <c r="B22" s="13">
        <f>F23</f>
      </c>
      <c r="E22" s="7" t="s">
        <v>66</v>
      </c>
      <c r="F22" s="8">
        <f>IF(ISNUMBER(B10),B10,B5*(B7-MAX(DATE(YEAR(B7),1,1),B6)+1)/'Tablas oficiales'!$C$7)</f>
      </c>
    </row>
    <row r="23" spans="1:6" x14ac:dyDescent="0.25">
      <c r="A23" s="12" t="s">
        <v>59</v>
      </c>
      <c r="B23" s="13">
        <f>IF(F17=0,0,-F17)</f>
      </c>
      <c r="E23" s="7" t="s">
        <v>65</v>
      </c>
      <c r="F23" s="8">
        <f>ROUND(F22/12,0)</f>
      </c>
    </row>
    <row r="24" spans="1:6" x14ac:dyDescent="0.25">
      <c r="A24" s="14" t="s">
        <v>67</v>
      </c>
      <c r="B24" s="15">
        <f>ROUND(F16+F18+F19+F21+F23-F17,0)</f>
      </c>
      <c r="E24" s="7" t="s">
        <v>68</v>
      </c>
      <c r="F24" s="8">
        <f>IF(B8="Sí",0,ROUND(F10*F11,0))</f>
      </c>
    </row>
    <row r="26" ht="36" customHeight="1" spans="1:3" x14ac:dyDescent="0.25">
      <c r="A26" s="4" t="s">
        <v>69</v>
      </c>
      <c r="B26" s="4"/>
      <c r="C26" s="4"/>
    </row>
    <row r="28" spans="1:3" x14ac:dyDescent="0.25">
      <c r="A28" s="6" t="s">
        <v>70</v>
      </c>
      <c r="B28" s="6"/>
      <c r="C28" s="6"/>
    </row>
    <row r="29" spans="1:2" x14ac:dyDescent="0.25">
      <c r="A29" s="12" t="s">
        <v>71</v>
      </c>
      <c r="B29" s="26">
        <f>F12</f>
      </c>
    </row>
    <row r="30" spans="1:2" x14ac:dyDescent="0.25">
      <c r="A30" s="12" t="s">
        <v>60</v>
      </c>
      <c r="B30" s="13">
        <f>F13</f>
      </c>
    </row>
    <row r="31" spans="1:2" x14ac:dyDescent="0.25">
      <c r="A31" s="12" t="s">
        <v>51</v>
      </c>
      <c r="B31" s="26">
        <f>F11</f>
      </c>
    </row>
    <row r="32" spans="1:2" x14ac:dyDescent="0.25">
      <c r="A32" s="12" t="s">
        <v>58</v>
      </c>
      <c r="B32" s="13">
        <f>F24</f>
      </c>
    </row>
    <row r="33" spans="1:2" x14ac:dyDescent="0.25">
      <c r="A33" s="14" t="s">
        <v>72</v>
      </c>
      <c r="B33" s="15">
        <f>ROUND(F13+F24,0)</f>
      </c>
    </row>
    <row r="34" spans="1:2" x14ac:dyDescent="0.25">
      <c r="A34" s="12" t="s">
        <v>73</v>
      </c>
      <c r="B34" s="13">
        <f>IF(F7&gt;=10,ROUND(F13*2,0),"")</f>
      </c>
    </row>
  </sheetData>
  <mergeCells count="7">
    <mergeCell ref="A1:C1"/>
    <mergeCell ref="E3:F3"/>
    <mergeCell ref="A4:C4"/>
    <mergeCell ref="A14:C14"/>
    <mergeCell ref="A15:C15"/>
    <mergeCell ref="A26:C26"/>
    <mergeCell ref="A28:C28"/>
  </mergeCells>
  <dataValidations count="7">
    <dataValidation type="decimal" allowBlank="1" showErrorMessage="1" error="Escribe un número mayor o igual a 0." sqref="B10">
      <formula1>0</formula1>
      <formula2>1000000000000</formula2>
    </dataValidation>
    <dataValidation type="whole" allowBlank="1" showErrorMessage="1" error="Escribe un número entre 0 y 120." sqref="B11">
      <formula1>0</formula1>
      <formula2>120</formula2>
    </dataValidation>
    <dataValidation type="list" showErrorMessage="1" error="Elige una opción de la lista." sqref="B12">
      <formula1>"Sí,No"</formula1>
    </dataValidation>
    <dataValidation type="decimal" allowBlank="1" showErrorMessage="1" error="Escribe un número mayor o igual a 0." sqref="B5">
      <formula1>0</formula1>
      <formula2>1000000000000</formula2>
    </dataValidation>
    <dataValidation type="date" operator="greaterThan" allowBlank="1" showErrorMessage="1" error="Escribe una fecha como dd/mm/aaaa." sqref="B6:B7">
      <formula1>18264</formula1>
    </dataValidation>
    <dataValidation type="list" showErrorMessage="1" error="Elige una opción de la lista." sqref="B8">
      <formula1>"Sí,No"</formula1>
    </dataValidation>
    <dataValidation type="list" showErrorMessage="1" error="Elige una opción de la lista." sqref="B9">
      <formula1>"Me despidieron sin causa,Renuncié,Me despidieron con causa justificada"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G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30" customWidth="1"/>
    <col min="3" max="3" width="18" customWidth="1"/>
    <col min="4" max="4" width="12" customWidth="1"/>
    <col min="5" max="5" width="14" customWidth="1"/>
    <col min="6" max="6" width="58" customWidth="1"/>
    <col min="7" max="7" width="14" customWidth="1"/>
  </cols>
  <sheetData>
    <row r="1" ht="28" customHeight="1" spans="1:7" x14ac:dyDescent="0.25">
      <c r="A1" s="27" t="s">
        <v>74</v>
      </c>
      <c r="B1" s="27"/>
      <c r="C1" s="27"/>
      <c r="D1" s="27"/>
      <c r="E1" s="27"/>
      <c r="F1" s="27"/>
      <c r="G1" s="27"/>
    </row>
    <row r="2" ht="30" customHeight="1" spans="1:7" x14ac:dyDescent="0.25">
      <c r="A2" s="4" t="s">
        <v>75</v>
      </c>
      <c r="B2" s="4"/>
      <c r="C2" s="4"/>
      <c r="D2" s="4"/>
      <c r="E2" s="4"/>
      <c r="F2" s="4"/>
      <c r="G2" s="4"/>
    </row>
    <row r="3" spans="1:7" x14ac:dyDescent="0.25">
      <c r="A3" s="28" t="s">
        <v>76</v>
      </c>
      <c r="B3" s="28" t="s">
        <v>77</v>
      </c>
      <c r="C3" s="28" t="s">
        <v>78</v>
      </c>
      <c r="D3" s="28" t="s">
        <v>79</v>
      </c>
      <c r="E3" s="28" t="s">
        <v>80</v>
      </c>
      <c r="F3" s="28" t="s">
        <v>81</v>
      </c>
      <c r="G3" s="28" t="s">
        <v>82</v>
      </c>
    </row>
    <row r="4" spans="1:7" x14ac:dyDescent="0.25">
      <c r="A4" s="29" t="s">
        <v>83</v>
      </c>
      <c r="B4" s="29" t="s">
        <v>84</v>
      </c>
      <c r="C4" s="30">
        <v>9</v>
      </c>
      <c r="D4" s="29" t="s">
        <v>85</v>
      </c>
      <c r="E4" s="29" t="s">
        <v>86</v>
      </c>
      <c r="F4" s="31" t="s">
        <v>87</v>
      </c>
      <c r="G4" s="29" t="s">
        <v>88</v>
      </c>
    </row>
    <row r="5" spans="1:7" x14ac:dyDescent="0.25">
      <c r="A5" s="32" t="s">
        <v>16</v>
      </c>
      <c r="B5" s="32" t="s">
        <v>84</v>
      </c>
      <c r="C5" s="33">
        <v>16.5</v>
      </c>
      <c r="D5" s="32" t="s">
        <v>85</v>
      </c>
      <c r="E5" s="32" t="s">
        <v>86</v>
      </c>
      <c r="F5" s="34" t="s">
        <v>87</v>
      </c>
      <c r="G5" s="32" t="s">
        <v>88</v>
      </c>
    </row>
    <row r="6" spans="1:7" x14ac:dyDescent="0.25">
      <c r="A6" s="29" t="s">
        <v>89</v>
      </c>
      <c r="B6" s="29" t="s">
        <v>84</v>
      </c>
      <c r="C6" s="35">
        <v>3044000</v>
      </c>
      <c r="D6" s="29" t="s">
        <v>90</v>
      </c>
      <c r="E6" s="29" t="s">
        <v>86</v>
      </c>
      <c r="F6" s="31" t="s">
        <v>91</v>
      </c>
      <c r="G6" s="29" t="s">
        <v>88</v>
      </c>
    </row>
    <row r="7" spans="1:7" x14ac:dyDescent="0.25">
      <c r="A7" s="32" t="s">
        <v>92</v>
      </c>
      <c r="B7" s="32" t="s">
        <v>84</v>
      </c>
      <c r="C7" s="33">
        <v>30</v>
      </c>
      <c r="D7" s="32" t="s">
        <v>93</v>
      </c>
      <c r="E7" s="32" t="s">
        <v>86</v>
      </c>
      <c r="F7" s="34" t="s">
        <v>91</v>
      </c>
      <c r="G7" s="32" t="s">
        <v>88</v>
      </c>
    </row>
    <row r="8" spans="1:7" x14ac:dyDescent="0.25">
      <c r="A8" s="29" t="s">
        <v>94</v>
      </c>
      <c r="B8" s="29" t="s">
        <v>95</v>
      </c>
      <c r="C8" s="30">
        <v>30</v>
      </c>
      <c r="D8" s="29" t="s">
        <v>93</v>
      </c>
      <c r="E8" s="29" t="s">
        <v>96</v>
      </c>
      <c r="F8" s="31" t="s">
        <v>97</v>
      </c>
      <c r="G8" s="29" t="s">
        <v>88</v>
      </c>
    </row>
    <row r="9" spans="1:7" x14ac:dyDescent="0.25">
      <c r="A9" s="32" t="s">
        <v>94</v>
      </c>
      <c r="B9" s="32" t="s">
        <v>98</v>
      </c>
      <c r="C9" s="33">
        <v>45</v>
      </c>
      <c r="D9" s="32" t="s">
        <v>93</v>
      </c>
      <c r="E9" s="32" t="s">
        <v>96</v>
      </c>
      <c r="F9" s="34" t="s">
        <v>97</v>
      </c>
      <c r="G9" s="32" t="s">
        <v>88</v>
      </c>
    </row>
    <row r="10" spans="1:7" x14ac:dyDescent="0.25">
      <c r="A10" s="29" t="s">
        <v>94</v>
      </c>
      <c r="B10" s="29" t="s">
        <v>99</v>
      </c>
      <c r="C10" s="30">
        <v>60</v>
      </c>
      <c r="D10" s="29" t="s">
        <v>93</v>
      </c>
      <c r="E10" s="29" t="s">
        <v>96</v>
      </c>
      <c r="F10" s="31" t="s">
        <v>97</v>
      </c>
      <c r="G10" s="29" t="s">
        <v>88</v>
      </c>
    </row>
    <row r="11" spans="1:7" x14ac:dyDescent="0.25">
      <c r="A11" s="32" t="s">
        <v>94</v>
      </c>
      <c r="B11" s="32" t="s">
        <v>100</v>
      </c>
      <c r="C11" s="33">
        <v>90</v>
      </c>
      <c r="D11" s="32" t="s">
        <v>93</v>
      </c>
      <c r="E11" s="32" t="s">
        <v>96</v>
      </c>
      <c r="F11" s="34" t="s">
        <v>97</v>
      </c>
      <c r="G11" s="32" t="s">
        <v>88</v>
      </c>
    </row>
    <row r="12" spans="1:7" x14ac:dyDescent="0.25">
      <c r="A12" s="29" t="s">
        <v>101</v>
      </c>
      <c r="B12" s="29" t="s">
        <v>84</v>
      </c>
      <c r="C12" s="30">
        <v>15</v>
      </c>
      <c r="D12" s="29" t="s">
        <v>93</v>
      </c>
      <c r="E12" s="29" t="s">
        <v>96</v>
      </c>
      <c r="F12" s="31" t="s">
        <v>102</v>
      </c>
      <c r="G12" s="29" t="s">
        <v>88</v>
      </c>
    </row>
    <row r="13" spans="1:7" x14ac:dyDescent="0.25">
      <c r="A13" s="32" t="s">
        <v>103</v>
      </c>
      <c r="B13" s="32" t="s">
        <v>104</v>
      </c>
      <c r="C13" s="33">
        <v>12</v>
      </c>
      <c r="D13" s="32" t="s">
        <v>93</v>
      </c>
      <c r="E13" s="32" t="s">
        <v>96</v>
      </c>
      <c r="F13" s="34" t="s">
        <v>102</v>
      </c>
      <c r="G13" s="32" t="s">
        <v>88</v>
      </c>
    </row>
    <row r="14" spans="1:7" x14ac:dyDescent="0.25">
      <c r="A14" s="29" t="s">
        <v>103</v>
      </c>
      <c r="B14" s="29" t="s">
        <v>99</v>
      </c>
      <c r="C14" s="30">
        <v>18</v>
      </c>
      <c r="D14" s="29" t="s">
        <v>93</v>
      </c>
      <c r="E14" s="29" t="s">
        <v>96</v>
      </c>
      <c r="F14" s="31" t="s">
        <v>102</v>
      </c>
      <c r="G14" s="29" t="s">
        <v>88</v>
      </c>
    </row>
    <row r="15" spans="1:7" x14ac:dyDescent="0.25">
      <c r="A15" s="32" t="s">
        <v>103</v>
      </c>
      <c r="B15" s="32" t="s">
        <v>100</v>
      </c>
      <c r="C15" s="33">
        <v>30</v>
      </c>
      <c r="D15" s="32" t="s">
        <v>93</v>
      </c>
      <c r="E15" s="32" t="s">
        <v>96</v>
      </c>
      <c r="F15" s="34" t="s">
        <v>102</v>
      </c>
      <c r="G15" s="32" t="s">
        <v>88</v>
      </c>
    </row>
  </sheetData>
  <mergeCells count="2">
    <mergeCell ref="A1:G1"/>
    <mergeCell ref="A2:G2"/>
  </mergeCells>
  <hyperlinks>
    <hyperlink ref="F4" r:id="rId1"/>
    <hyperlink ref="F5" r:id="rId2"/>
    <hyperlink ref="F6" r:id="rId3"/>
    <hyperlink ref="F7" r:id="rId4"/>
    <hyperlink ref="F8" r:id="rId5"/>
    <hyperlink ref="F9" r:id="rId6"/>
    <hyperlink ref="F10" r:id="rId7"/>
    <hyperlink ref="F11" r:id="rId8"/>
    <hyperlink ref="F12" r:id="rId9"/>
    <hyperlink ref="F13" r:id="rId10"/>
    <hyperlink ref="F14" r:id="rId11"/>
    <hyperlink ref="F15" r:id="rId1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Salario neto</vt:lpstr>
      <vt:lpstr>Aguinaldo</vt:lpstr>
      <vt:lpstr>Liquidación</vt:lpstr>
      <vt:lpstr>Tablas oficiales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CalcularYa (calcularya.com)</dc:creator>
  <dc:title>Planilla de salario y liquidación Paraguay 2026</dc:title>
  <dc:subject/>
  <dc:description/>
  <cp:keywords/>
  <cp:category/>
  <cp:lastModifiedBy>Unknown</cp:lastModifiedBy>
  <dcterms:created xsi:type="dcterms:W3CDTF">2026-10-13T12:00:00Z</dcterms:created>
  <dcterms:modified xsi:type="dcterms:W3CDTF">2026-10-13T12:00:00Z</dcterms:modified>
</cp:coreProperties>
</file>