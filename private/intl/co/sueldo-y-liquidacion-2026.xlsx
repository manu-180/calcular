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Salario neto" state="visible" r:id="rId5"/>
    <sheet sheetId="3" name="Prima y cesantías" state="visible" r:id="rId6"/>
    <sheet sheetId="4" name="Liquidación" state="visible" r:id="rId7"/>
    <sheet sheetId="5" name="Tablas oficiales" state="visible" r:id="rId8"/>
  </sheets>
  <calcPr calcId="171027"/>
</workbook>
</file>

<file path=xl/sharedStrings.xml><?xml version="1.0" encoding="utf-8"?>
<sst xmlns="http://schemas.openxmlformats.org/spreadsheetml/2006/main" count="260" uniqueCount="147">
  <si>
    <t>Planilla de salario y liquidación Colombia 2026</t>
  </si>
  <si>
    <t>Las celdas amarillas son para tus datos. Las verdes se calculan solas, con las fórmulas de la ley. A la derecha de cada hoja está el paso a paso de la cuenta.</t>
  </si>
  <si>
    <t>«Salario neto»: pones tu salario y te dice los aportes a salud y pensión, la retención en la fuente y lo que te consignan.</t>
  </si>
  <si>
    <t>«Prima y cesantías»: calcula la prima de servicios del semestre, las cesantías del año y sus intereses.</t>
  </si>
  <si>
    <t>«Liquidación»: pones tus fechas y tu salario, y te dice cesantías, intereses, prima, vacaciones y, si te despidieron sin justa causa, la indemnización.</t>
  </si>
  <si>
    <t>«Tablas oficiales» tiene cada valor oficial que usan las fórmulas, con el enlace a su fuente y la fecha en que lo verificamos. Los valores son los vigentes al 8/10/2026.</t>
  </si>
  <si>
    <t>Cuando cambia un valor oficial, actualizamos la planilla y el mismo enlace de descarga te baja la versión nueva.</t>
  </si>
  <si>
    <t>Da los mismos números que las calculadoras gratuitas de calcularya.com. Antes de publicar cada versión, una verificación automática recalcula este archivo y lo compara con ellas.</t>
  </si>
  <si>
    <t>Es una referencia de cálculo con sus fuentes, no asesoría legal. Tu contrato o tu empresa pueden darte más que el mínimo de ley.</t>
  </si>
  <si>
    <t>Las fechas van como dd/mm/aaaa. Si tu Excel está en inglés y las lee al revés, escríbelas como aaaa-mm-dd.</t>
  </si>
  <si>
    <t>Salario neto: salud, pensión y retención en la fuente</t>
  </si>
  <si>
    <t>Paso a paso</t>
  </si>
  <si>
    <t>TUS DATOS</t>
  </si>
  <si>
    <t>Salario mensual</t>
  </si>
  <si>
    <t>Aportes a seguridad social</t>
  </si>
  <si>
    <t>Recibes auxilio de transporte</t>
  </si>
  <si>
    <t>Sí</t>
  </si>
  <si>
    <t>Ingreso base de cotización (IBC)</t>
  </si>
  <si>
    <t>Tienes personas a cargo (dependientes)</t>
  </si>
  <si>
    <t>No</t>
  </si>
  <si>
    <t>Hijos, cónyuge o padres que dependen de ti. Baja la retención en la fuente.</t>
  </si>
  <si>
    <t>Pensión a tu cargo (%)</t>
  </si>
  <si>
    <t>Fondo de Solidaridad Pensional (%)</t>
  </si>
  <si>
    <t>LO QUE TE CONSIGNAN</t>
  </si>
  <si>
    <t>Salud</t>
  </si>
  <si>
    <t>Salario</t>
  </si>
  <si>
    <t>Pensión</t>
  </si>
  <si>
    <t>Auxilio de transporte</t>
  </si>
  <si>
    <t>Fondo de Solidaridad Pensional</t>
  </si>
  <si>
    <t>Salud (EPS)</t>
  </si>
  <si>
    <t>Retención en la fuente (procedimiento 1)</t>
  </si>
  <si>
    <t>Ingreso menos aportes obligatorios</t>
  </si>
  <si>
    <t>Retención en la fuente</t>
  </si>
  <si>
    <t>Deducción por dependientes</t>
  </si>
  <si>
    <t>Total de descuentos</t>
  </si>
  <si>
    <t>Subtotal</t>
  </si>
  <si>
    <t>Salario neto (lo que te consignan)</t>
  </si>
  <si>
    <t>Renta exenta del 25 %</t>
  </si>
  <si>
    <t>Límite del 40 %</t>
  </si>
  <si>
    <t>Los aportes se calculan sobre el salario, con un piso de un salario mínimo y un techo de 25. El auxilio de transporte se paga a quien gana hasta dos salarios mínimos y no lleva descuentos.</t>
  </si>
  <si>
    <t>Deducciones y rentas exentas que se restan</t>
  </si>
  <si>
    <t>Base de retención</t>
  </si>
  <si>
    <t>Base en UVT</t>
  </si>
  <si>
    <t>Auxilio de transporte que entra</t>
  </si>
  <si>
    <t>Prima de servicios, cesantías e intereses</t>
  </si>
  <si>
    <t>Salario base (salario más auxilio)</t>
  </si>
  <si>
    <t>Cesantías</t>
  </si>
  <si>
    <t>Intereses sobre las cesantías</t>
  </si>
  <si>
    <t>PRIMA DE SERVICIOS</t>
  </si>
  <si>
    <t>Días trabajados en el semestre</t>
  </si>
  <si>
    <t>El semestre completo son 180 días (meses de 30 días).</t>
  </si>
  <si>
    <t>Auxilio de transporte incluido</t>
  </si>
  <si>
    <t>Salario base de la prima</t>
  </si>
  <si>
    <t>Prima de servicios del semestre</t>
  </si>
  <si>
    <t>Se paga la mitad antes del 30 de junio y la otra mitad antes del 20 de diciembre (CST art. 306).</t>
  </si>
  <si>
    <t>CESANTÍAS E INTERESES</t>
  </si>
  <si>
    <t>Días trabajados en el año</t>
  </si>
  <si>
    <t>El año completo son 360 días (meses de 30 días).</t>
  </si>
  <si>
    <t>Salario base de las cesantías</t>
  </si>
  <si>
    <t>Cesantías (van a tu fondo)</t>
  </si>
  <si>
    <t>Intereses sobre las cesantías (te los pagan a ti)</t>
  </si>
  <si>
    <t>Total</t>
  </si>
  <si>
    <t>Las cesantías se consignan al fondo antes del 14 de febrero. Los intereses te los paga la empresa directo, antes del 31 de enero.</t>
  </si>
  <si>
    <t>Liquidación del contrato de trabajo</t>
  </si>
  <si>
    <t>Cesantías y prima</t>
  </si>
  <si>
    <t>Fecha de ingreso</t>
  </si>
  <si>
    <t>Último día de trabajo</t>
  </si>
  <si>
    <t>Desde cuándo no tomas vacaciones (opcional)</t>
  </si>
  <si>
    <t>Si nunca tomaste vacaciones, déjalo vacío y se usa tu fecha de ingreso.</t>
  </si>
  <si>
    <t>Días para cesantías este año</t>
  </si>
  <si>
    <t>Cómo terminó el contrato</t>
  </si>
  <si>
    <t>Renuncia o fin del plazo</t>
  </si>
  <si>
    <t>Renuncia también incluye el mutuo acuerdo. El despido sin justa causa es para contratos a término indefinido.</t>
  </si>
  <si>
    <t>Días para la prima del semestre</t>
  </si>
  <si>
    <t>TU LIQUIDACIÓN</t>
  </si>
  <si>
    <t>Prima de servicios</t>
  </si>
  <si>
    <t>Salario base para cesantías y prima</t>
  </si>
  <si>
    <t>Vacaciones e indemnización</t>
  </si>
  <si>
    <t>Días trabajados sin vacaciones</t>
  </si>
  <si>
    <t>Vacaciones en dinero</t>
  </si>
  <si>
    <t>Días de servicio</t>
  </si>
  <si>
    <t>Días para la prima de este semestre</t>
  </si>
  <si>
    <t>¿Ganas 10 salarios mínimos o más?</t>
  </si>
  <si>
    <t>Días de indemnización</t>
  </si>
  <si>
    <t>Indemnización</t>
  </si>
  <si>
    <t>Vacaciones pendientes en dinero</t>
  </si>
  <si>
    <t>Indemnización por despido sin justa causa</t>
  </si>
  <si>
    <t>Total de la liquidación</t>
  </si>
  <si>
    <t>Se cuenta con año comercial de 360 días. Las cesantías de años anteriores ya deberían estar en tu fondo, por eso solo se calculan las de este año. Las vacaciones no incluyen el auxilio de transporte.</t>
  </si>
  <si>
    <t>Tablas oficiales de Colombia</t>
  </si>
  <si>
    <t>Son los valores que usan las fórmulas de esta planilla, vigentes al 8/10/2026. Cada uno trae el enlace a la norma o al organismo que lo publica y la fecha en que lo verificamos.</t>
  </si>
  <si>
    <t>Dato</t>
  </si>
  <si>
    <t>Detalle</t>
  </si>
  <si>
    <t>Valor</t>
  </si>
  <si>
    <t>Unidad</t>
  </si>
  <si>
    <t>Vigente desde</t>
  </si>
  <si>
    <t>Fuente oficial</t>
  </si>
  <si>
    <t>Verificado el</t>
  </si>
  <si>
    <t>Salario mínimo legal mensual vigente (SMMLV)</t>
  </si>
  <si>
    <t/>
  </si>
  <si>
    <t>COP</t>
  </si>
  <si>
    <t>1/1/2026</t>
  </si>
  <si>
    <t>https://normativa.colpensiones.gov.co/compilacion/docs/decreto_1469_2025.htm</t>
  </si>
  <si>
    <t>7/10/2026</t>
  </si>
  <si>
    <t>Unidad de Valor Tributario (UVT)</t>
  </si>
  <si>
    <t>https://normograma.dian.gov.co/dian/compilacion/docs/resolucion_dian_0238_2025.htm</t>
  </si>
  <si>
    <t>Tope del ingreso base de cotización</t>
  </si>
  <si>
    <t>SMMLV</t>
  </si>
  <si>
    <t>29/1/2003</t>
  </si>
  <si>
    <t>https://normativa.colpensiones.gov.co/compilacion/docs/ley_0100_1993.htm</t>
  </si>
  <si>
    <t>Cotización total a pensión</t>
  </si>
  <si>
    <t>%</t>
  </si>
  <si>
    <t>1/1/2008</t>
  </si>
  <si>
    <t>https://normativa.colpensiones.gov.co/compilacion/docs/decreto_4982_2007.htm</t>
  </si>
  <si>
    <t>Parte de la cotización a pensión que paga el trabajador</t>
  </si>
  <si>
    <t>https://normativa.colpensiones.gov.co/compilacion/docs/ley_0797_2003.htm</t>
  </si>
  <si>
    <t>Aporte al Fondo de Solidaridad Pensional según el salario</t>
  </si>
  <si>
    <t>Desde</t>
  </si>
  <si>
    <t>Hasta</t>
  </si>
  <si>
    <t>Tasa %</t>
  </si>
  <si>
    <t>Cuota fija</t>
  </si>
  <si>
    <t>Aporte a salud a cargo del trabajador</t>
  </si>
  <si>
    <t>1/1/2007</t>
  </si>
  <si>
    <t>Deducción mensual por dependientes</t>
  </si>
  <si>
    <t>1/1/2023</t>
  </si>
  <si>
    <t>https://normograma.dian.gov.co/dian/compilacion/docs/estatuto_tributario.htm</t>
  </si>
  <si>
    <t>Tope mensual de la deducción por dependientes</t>
  </si>
  <si>
    <t>UVT</t>
  </si>
  <si>
    <t>Renta exenta de los pagos laborales</t>
  </si>
  <si>
    <t>Tope anual de la renta exenta del 25 %</t>
  </si>
  <si>
    <t>Límite de rentas exentas y deducciones sobre el ingreso depurado</t>
  </si>
  <si>
    <t>Tope anual de rentas exentas y deducciones</t>
  </si>
  <si>
    <t>Tabla de retención en la fuente por pagos laborales</t>
  </si>
  <si>
    <t>Salario máximo para recibir auxilio de transporte</t>
  </si>
  <si>
    <t>https://normativa.colpensiones.gov.co/compilacion/docs/decreto_1470_2025.htm</t>
  </si>
  <si>
    <t>Auxilio de transporte mensual</t>
  </si>
  <si>
    <t>1/1/1991</t>
  </si>
  <si>
    <t>https://normativa.colpensiones.gov.co/compilacion/docs/ley_0050_1990.htm</t>
  </si>
  <si>
    <t>Días de salario de la indemnización por despido sin justa causa</t>
  </si>
  <si>
    <t>Primer año, salario menor a 10 SMMLV</t>
  </si>
  <si>
    <t>días</t>
  </si>
  <si>
    <t>27/12/2002</t>
  </si>
  <si>
    <t>https://normativa.colpensiones.gov.co/compilacion/docs/codigo_sustantivo_trabajo.htm</t>
  </si>
  <si>
    <t>Cada año siguiente, salario menor a 10 SMMLV</t>
  </si>
  <si>
    <t>Primer año, salario de 10 SMMLV o más</t>
  </si>
  <si>
    <t>Cada año siguiente, salario de 10 SMMLV o más</t>
  </si>
  <si>
    <t>Salario desde el que cambia la tabla de indemnización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</si>
</sst>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 &quot;#,##0"/>
    <numFmt numFmtId="165" formatCode="0.00##&quot; %&quot;"/>
    <numFmt numFmtId="166" formatCode="#,##0.00##"/>
    <numFmt numFmtId="167" formatCode="#,##0.##"/>
    <numFmt numFmtId="168" formatCode="dd/mm/yyyy"/>
    <numFmt numFmtId="169" formatCode="[&gt;=100000000000000]&quot;en adelante&quot;;#,##0.00##"/>
    <numFmt numFmtId="170" formatCode="0.00##"/>
  </numFmts>
  <fonts count="11" x14ac:knownFonts="1">
    <font>
      <color theme="1"/>
      <family val="2"/>
      <scheme val="minor"/>
      <sz val="11"/>
      <name val="Calibri"/>
    </font>
    <font>
      <b/>
      <color rgb="FFFFFFFF"/>
      <sz val="13"/>
    </font>
    <font>
      <b/>
      <color rgb="FFFFFFFF"/>
    </font>
    <font>
      <i/>
      <color rgb="FF777777"/>
      <sz val="9"/>
    </font>
    <font>
      <b/>
      <color rgb="FFFFFFFF"/>
      <sz val="11"/>
    </font>
    <font>
      <b/>
    </font>
    <font>
      <b/>
      <color rgb="FF1B5E20"/>
      <sz val="10"/>
    </font>
    <font>
      <sz val="10"/>
    </font>
    <font>
      <b/>
      <color rgb="FFB71C1C"/>
    </font>
    <font>
      <u/>
      <color rgb="FF1565C0"/>
    </font>
    <font>
      <b/>
      <sz val="9"/>
    </font>
  </fonts>
  <fills count="12">
    <fill>
      <patternFill patternType="none"/>
    </fill>
    <fill>
      <patternFill patternType="gray125"/>
    </fill>
    <fill>
      <patternFill patternType="solid">
        <fgColor rgb="FFE65100"/>
      </patternFill>
    </fill>
    <fill>
      <patternFill patternType="solid">
        <fgColor rgb="FF1B5E20"/>
      </patternFill>
    </fill>
    <fill>
      <patternFill patternType="solid">
        <fgColor rgb="FFF5F5F5"/>
      </patternFill>
    </fill>
    <fill>
      <patternFill patternType="solid">
        <fgColor rgb="FFFFFDE7"/>
      </patternFill>
    </fill>
    <fill>
      <patternFill patternType="solid">
        <fgColor rgb="FFFFFFFF"/>
      </patternFill>
    </fill>
    <fill>
      <patternFill patternType="solid">
        <fgColor rgb="FFE8F5E9"/>
      </patternFill>
    </fill>
    <fill>
      <patternFill patternType="solid">
        <fgColor rgb="FFC8E6C9"/>
      </patternFill>
    </fill>
    <fill>
      <patternFill patternType="solid">
        <fgColor rgb="FF37474F"/>
      </patternFill>
    </fill>
    <fill>
      <patternFill patternType="solid">
        <fgColor rgb="FF546E7A"/>
      </patternFill>
    </fill>
    <fill>
      <patternFill patternType="solid">
        <fgColor rgb="FFF3F8FF"/>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0" borderId="0" xfId="0" applyFont="1" applyAlignment="1">
      <alignment vertical="top" wrapText="1"/>
    </xf>
    <xf numFmtId="0" fontId="1" fillId="3" borderId="0" xfId="0" applyFont="1" applyFill="1" applyAlignment="1">
      <alignment horizontal="center" vertical="center"/>
    </xf>
    <xf numFmtId="0" fontId="4" fillId="3" borderId="0" xfId="0" applyFont="1" applyFill="1" applyAlignment="1">
      <alignment horizontal="left" indent="1"/>
    </xf>
    <xf numFmtId="0" fontId="0" fillId="4" borderId="1" xfId="0" applyFill="1" applyBorder="1" applyAlignment="1">
      <alignment horizontal="left" vertical="center" wrapText="1" indent="1"/>
    </xf>
    <xf numFmtId="164" fontId="5" fillId="5" borderId="1" xfId="0" applyNumberFormat="1" applyFont="1" applyFill="1" applyBorder="1" applyAlignment="1">
      <alignment horizontal="right"/>
    </xf>
    <xf numFmtId="0" fontId="6" fillId="0" borderId="0" xfId="0" applyFont="1"/>
    <xf numFmtId="0" fontId="5" fillId="5" borderId="1" xfId="0" applyFont="1" applyFill="1" applyBorder="1" applyAlignment="1">
      <alignment horizontal="left" indent="1"/>
    </xf>
    <xf numFmtId="0" fontId="7" fillId="4" borderId="1" xfId="0" applyFont="1" applyFill="1" applyBorder="1" applyAlignment="1">
      <alignment horizontal="left" wrapText="1" indent="1"/>
    </xf>
    <xf numFmtId="164" fontId="7" fillId="6" borderId="1" xfId="0" applyNumberFormat="1" applyFont="1" applyFill="1" applyBorder="1" applyAlignment="1">
      <alignment horizontal="right"/>
    </xf>
    <xf numFmtId="0" fontId="3" fillId="0" borderId="0" xfId="0" applyFont="1" applyAlignment="1">
      <alignment vertical="center" wrapText="1"/>
    </xf>
    <xf numFmtId="165" fontId="7" fillId="6" borderId="1" xfId="0" applyNumberFormat="1" applyFont="1" applyFill="1" applyBorder="1" applyAlignment="1">
      <alignment horizontal="right"/>
    </xf>
    <xf numFmtId="0" fontId="0" fillId="7" borderId="1" xfId="0" applyFill="1" applyBorder="1" applyAlignment="1">
      <alignment horizontal="left" wrapText="1" indent="1"/>
    </xf>
    <xf numFmtId="164" fontId="0" fillId="7" borderId="1" xfId="0" applyNumberFormat="1" applyFill="1" applyBorder="1" applyAlignment="1">
      <alignment horizontal="right"/>
    </xf>
    <xf numFmtId="0" fontId="5" fillId="8" borderId="1" xfId="0" applyFont="1" applyFill="1" applyBorder="1" applyAlignment="1">
      <alignment horizontal="left" wrapText="1" indent="1"/>
    </xf>
    <xf numFmtId="164" fontId="5" fillId="8" borderId="1" xfId="0" applyNumberFormat="1" applyFont="1" applyFill="1" applyBorder="1" applyAlignment="1">
      <alignment horizontal="right"/>
    </xf>
    <xf numFmtId="166" fontId="7" fillId="6" borderId="1" xfId="0" applyNumberFormat="1" applyFont="1" applyFill="1" applyBorder="1" applyAlignment="1">
      <alignment horizontal="right"/>
    </xf>
    <xf numFmtId="167" fontId="5" fillId="5" borderId="1" xfId="0" applyNumberFormat="1" applyFont="1" applyFill="1" applyBorder="1" applyAlignment="1">
      <alignment horizontal="right"/>
    </xf>
    <xf numFmtId="168" fontId="5" fillId="5" borderId="1" xfId="0" applyNumberFormat="1" applyFont="1" applyFill="1" applyBorder="1" applyAlignment="1">
      <alignment horizontal="right"/>
    </xf>
    <xf numFmtId="167" fontId="7" fillId="6" borderId="1" xfId="0" applyNumberFormat="1" applyFont="1" applyFill="1" applyBorder="1" applyAlignment="1">
      <alignment horizontal="right"/>
    </xf>
    <xf numFmtId="0" fontId="8" fillId="0" borderId="0" xfId="0" applyFont="1" applyAlignment="1">
      <alignment wrapText="1"/>
    </xf>
    <xf numFmtId="167" fontId="0" fillId="7" borderId="1" xfId="0" applyNumberFormat="1" applyFill="1" applyBorder="1" applyAlignment="1">
      <alignment horizontal="right"/>
    </xf>
    <xf numFmtId="0" fontId="7" fillId="6" borderId="1" xfId="0" applyFont="1" applyFill="1" applyBorder="1" applyAlignment="1">
      <alignment horizontal="right"/>
    </xf>
    <xf numFmtId="0" fontId="1" fillId="9" borderId="0" xfId="0" applyFont="1" applyFill="1" applyAlignment="1">
      <alignment horizontal="center" vertical="center"/>
    </xf>
    <xf numFmtId="0" fontId="2" fillId="10" borderId="1" xfId="0" applyFont="1" applyFill="1" applyBorder="1"/>
    <xf numFmtId="0" fontId="0" fillId="6" borderId="1" xfId="0" applyFill="1" applyBorder="1" applyAlignment="1">
      <alignment vertical="top" wrapText="1"/>
    </xf>
    <xf numFmtId="164" fontId="0" fillId="6" borderId="1" xfId="0" applyNumberFormat="1" applyFill="1" applyBorder="1" applyAlignment="1">
      <alignment vertical="top"/>
    </xf>
    <xf numFmtId="0" fontId="9" fillId="6" borderId="1" xfId="0" applyFont="1" applyFill="1" applyBorder="1" applyAlignment="1">
      <alignment vertical="top" wrapText="1"/>
    </xf>
    <xf numFmtId="0" fontId="0" fillId="4" borderId="1" xfId="0" applyFill="1" applyBorder="1" applyAlignment="1">
      <alignment vertical="top" wrapText="1"/>
    </xf>
    <xf numFmtId="164" fontId="0" fillId="4" borderId="1" xfId="0" applyNumberFormat="1" applyFill="1" applyBorder="1" applyAlignment="1">
      <alignment vertical="top"/>
    </xf>
    <xf numFmtId="0" fontId="9" fillId="4" borderId="1" xfId="0" applyFont="1" applyFill="1" applyBorder="1" applyAlignment="1">
      <alignment vertical="top" wrapText="1"/>
    </xf>
    <xf numFmtId="166" fontId="0" fillId="6" borderId="1" xfId="0" applyNumberFormat="1" applyFill="1" applyBorder="1" applyAlignment="1">
      <alignment vertical="top"/>
    </xf>
    <xf numFmtId="166" fontId="0" fillId="4" borderId="1" xfId="0" applyNumberFormat="1" applyFill="1" applyBorder="1" applyAlignment="1">
      <alignment vertical="top"/>
    </xf>
    <xf numFmtId="0" fontId="5" fillId="11" borderId="1" xfId="0" applyFont="1" applyFill="1" applyBorder="1" applyAlignment="1">
      <alignment vertical="top" wrapText="1"/>
    </xf>
    <xf numFmtId="0" fontId="0" fillId="11" borderId="1" xfId="0" applyFill="1" applyBorder="1" applyAlignment="1">
      <alignment vertical="top" wrapText="1"/>
    </xf>
    <xf numFmtId="0" fontId="9" fillId="11" borderId="1" xfId="0" applyFont="1" applyFill="1" applyBorder="1" applyAlignment="1">
      <alignment vertical="top" wrapText="1"/>
    </xf>
    <xf numFmtId="0" fontId="10" fillId="4" borderId="1" xfId="0" applyFont="1" applyFill="1" applyBorder="1"/>
    <xf numFmtId="166" fontId="0" fillId="0" borderId="1" xfId="0" applyNumberFormat="1" applyBorder="1"/>
    <xf numFmtId="169" fontId="0" fillId="0" borderId="1" xfId="0" applyNumberFormat="1" applyBorder="1"/>
    <xf numFmtId="170"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normativa.colpensiones.gov.co/compilacion/docs/decreto_1469_2025.htm" TargetMode="External"/><Relationship Id="rId2" Type="http://schemas.openxmlformats.org/officeDocument/2006/relationships/hyperlink" Target="https://normograma.dian.gov.co/dian/compilacion/docs/resolucion_dian_0238_2025.htm" TargetMode="External"/><Relationship Id="rId3" Type="http://schemas.openxmlformats.org/officeDocument/2006/relationships/hyperlink" Target="https://normativa.colpensiones.gov.co/compilacion/docs/ley_0100_1993.htm" TargetMode="External"/><Relationship Id="rId4" Type="http://schemas.openxmlformats.org/officeDocument/2006/relationships/hyperlink" Target="https://normativa.colpensiones.gov.co/compilacion/docs/decreto_4982_2007.htm" TargetMode="External"/><Relationship Id="rId5" Type="http://schemas.openxmlformats.org/officeDocument/2006/relationships/hyperlink" Target="https://normativa.colpensiones.gov.co/compilacion/docs/ley_0797_2003.htm" TargetMode="External"/><Relationship Id="rId6" Type="http://schemas.openxmlformats.org/officeDocument/2006/relationships/hyperlink" Target="https://normativa.colpensiones.gov.co/compilacion/docs/ley_0797_2003.htm" TargetMode="External"/><Relationship Id="rId7" Type="http://schemas.openxmlformats.org/officeDocument/2006/relationships/hyperlink" Target="https://normativa.colpensiones.gov.co/compilacion/docs/ley_0100_1993.htm" TargetMode="External"/><Relationship Id="rId8" Type="http://schemas.openxmlformats.org/officeDocument/2006/relationships/hyperlink" Target="https://normograma.dian.gov.co/dian/compilacion/docs/estatuto_tributario.htm" TargetMode="External"/><Relationship Id="rId9" Type="http://schemas.openxmlformats.org/officeDocument/2006/relationships/hyperlink" Target="https://normograma.dian.gov.co/dian/compilacion/docs/estatuto_tributario.htm" TargetMode="External"/><Relationship Id="rId10" Type="http://schemas.openxmlformats.org/officeDocument/2006/relationships/hyperlink" Target="https://normograma.dian.gov.co/dian/compilacion/docs/estatuto_tributario.htm" TargetMode="External"/><Relationship Id="rId11" Type="http://schemas.openxmlformats.org/officeDocument/2006/relationships/hyperlink" Target="https://normograma.dian.gov.co/dian/compilacion/docs/estatuto_tributario.htm" TargetMode="External"/><Relationship Id="rId12" Type="http://schemas.openxmlformats.org/officeDocument/2006/relationships/hyperlink" Target="https://normograma.dian.gov.co/dian/compilacion/docs/estatuto_tributario.htm" TargetMode="External"/><Relationship Id="rId13" Type="http://schemas.openxmlformats.org/officeDocument/2006/relationships/hyperlink" Target="https://normograma.dian.gov.co/dian/compilacion/docs/estatuto_tributario.htm" TargetMode="External"/><Relationship Id="rId14" Type="http://schemas.openxmlformats.org/officeDocument/2006/relationships/hyperlink" Target="https://normograma.dian.gov.co/dian/compilacion/docs/estatuto_tributario.htm" TargetMode="External"/><Relationship Id="rId15" Type="http://schemas.openxmlformats.org/officeDocument/2006/relationships/hyperlink" Target="https://normativa.colpensiones.gov.co/compilacion/docs/decreto_1470_2025.htm" TargetMode="External"/><Relationship Id="rId16" Type="http://schemas.openxmlformats.org/officeDocument/2006/relationships/hyperlink" Target="https://normativa.colpensiones.gov.co/compilacion/docs/decreto_1470_2025.htm" TargetMode="External"/><Relationship Id="rId17" Type="http://schemas.openxmlformats.org/officeDocument/2006/relationships/hyperlink" Target="https://normativa.colpensiones.gov.co/compilacion/docs/ley_0050_1990.htm" TargetMode="External"/><Relationship Id="rId18" Type="http://schemas.openxmlformats.org/officeDocument/2006/relationships/hyperlink" Target="https://normativa.colpensiones.gov.co/compilacion/docs/codigo_sustantivo_trabajo.htm" TargetMode="External"/><Relationship Id="rId19" Type="http://schemas.openxmlformats.org/officeDocument/2006/relationships/hyperlink" Target="https://normativa.colpensiones.gov.co/compilacion/docs/codigo_sustantivo_trabajo.htm" TargetMode="External"/><Relationship Id="rId20" Type="http://schemas.openxmlformats.org/officeDocument/2006/relationships/hyperlink" Target="https://normativa.colpensiones.gov.co/compilacion/docs/codigo_sustantivo_trabajo.htm" TargetMode="External"/><Relationship Id="rId21" Type="http://schemas.openxmlformats.org/officeDocument/2006/relationships/hyperlink" Target="https://normativa.colpensiones.gov.co/compilacion/docs/codigo_sustantivo_trabajo.htm" TargetMode="External"/><Relationship Id="rId22" Type="http://schemas.openxmlformats.org/officeDocument/2006/relationships/hyperlink" Target="https://normativa.colpensiones.gov.co/compilacion/docs/codigo_sustantivo_trabajo.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B12"/>
  <sheetFormatPr defaultRowHeight="15" outlineLevelRow="0" outlineLevelCol="0" x14ac:dyDescent="55"/>
  <cols>
    <col min="1" max="1" width="4" customWidth="1"/>
    <col min="2" max="2" width="110" customWidth="1"/>
  </cols>
  <sheetData>
    <row r="1" ht="28" customHeight="1" spans="1:2" x14ac:dyDescent="0.25">
      <c r="A1" s="1" t="s">
        <v>0</v>
      </c>
      <c r="B1" s="1"/>
    </row>
    <row r="3" ht="34" customHeight="1" spans="1:2" x14ac:dyDescent="0.25">
      <c r="A3" s="2">
        <v>1</v>
      </c>
      <c r="B3" s="3" t="s">
        <v>1</v>
      </c>
    </row>
    <row r="4" ht="34" customHeight="1" spans="1:2" x14ac:dyDescent="0.25">
      <c r="A4" s="2">
        <v>2</v>
      </c>
      <c r="B4" s="3" t="s">
        <v>2</v>
      </c>
    </row>
    <row r="5" ht="20" customHeight="1" spans="1:2" x14ac:dyDescent="0.25">
      <c r="A5" s="2">
        <v>3</v>
      </c>
      <c r="B5" s="3" t="s">
        <v>3</v>
      </c>
    </row>
    <row r="6" ht="34" customHeight="1" spans="1:2" x14ac:dyDescent="0.25">
      <c r="A6" s="2">
        <v>4</v>
      </c>
      <c r="B6" s="3" t="s">
        <v>4</v>
      </c>
    </row>
    <row r="7" ht="34" customHeight="1" spans="1:2" x14ac:dyDescent="0.25">
      <c r="A7" s="2">
        <v>5</v>
      </c>
      <c r="B7" s="3" t="s">
        <v>5</v>
      </c>
    </row>
    <row r="8" ht="34" customHeight="1" spans="1:2" x14ac:dyDescent="0.25">
      <c r="A8" s="2">
        <v>6</v>
      </c>
      <c r="B8" s="3" t="s">
        <v>6</v>
      </c>
    </row>
    <row r="10" ht="30" customHeight="1" spans="1:2" x14ac:dyDescent="0.25">
      <c r="A10" s="4" t="s">
        <v>7</v>
      </c>
      <c r="B10" s="4"/>
    </row>
    <row r="11" ht="30" customHeight="1" spans="1:2" x14ac:dyDescent="0.25">
      <c r="A11" s="4" t="s">
        <v>8</v>
      </c>
      <c r="B11" s="4"/>
    </row>
    <row r="12" ht="18" customHeight="1" spans="1:2" x14ac:dyDescent="0.25">
      <c r="A12" s="4" t="s">
        <v>9</v>
      </c>
      <c r="B12" s="4"/>
    </row>
  </sheetData>
  <mergeCells count="4">
    <mergeCell ref="A1:B1"/>
    <mergeCell ref="A10:B10"/>
    <mergeCell ref="A11:B11"/>
    <mergeCell ref="A12:B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4"/>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10</v>
      </c>
      <c r="B1" s="5"/>
      <c r="C1" s="5"/>
    </row>
    <row r="3" spans="5:6" x14ac:dyDescent="0.25">
      <c r="E3" s="6" t="s">
        <v>11</v>
      </c>
      <c r="F3" s="6"/>
    </row>
    <row r="4" spans="1:3" x14ac:dyDescent="0.25">
      <c r="A4" s="6" t="s">
        <v>12</v>
      </c>
      <c r="B4" s="6"/>
      <c r="C4" s="6"/>
    </row>
    <row r="5" spans="1:5" x14ac:dyDescent="0.25">
      <c r="A5" s="7" t="s">
        <v>13</v>
      </c>
      <c r="B5" s="8">
        <v>3000000</v>
      </c>
      <c r="E5" s="9" t="s">
        <v>14</v>
      </c>
    </row>
    <row r="6" spans="1:6" x14ac:dyDescent="0.25">
      <c r="A6" s="7" t="s">
        <v>15</v>
      </c>
      <c r="B6" s="10" t="s">
        <v>16</v>
      </c>
      <c r="E6" s="11" t="s">
        <v>17</v>
      </c>
      <c r="F6" s="12">
        <f>MIN(MAX(B5,'Tablas oficiales'!$C$4),'Tablas oficiales'!$C$6*'Tablas oficiales'!$C$4)</f>
      </c>
    </row>
    <row r="7" ht="30" customHeight="1" spans="1:6" x14ac:dyDescent="0.25">
      <c r="A7" s="7" t="s">
        <v>18</v>
      </c>
      <c r="B7" s="10" t="s">
        <v>19</v>
      </c>
      <c r="C7" s="13" t="s">
        <v>20</v>
      </c>
      <c r="E7" s="11" t="s">
        <v>21</v>
      </c>
      <c r="F7" s="14">
        <f>'Tablas oficiales'!$C$7*'Tablas oficiales'!$C$8/100</f>
      </c>
    </row>
    <row r="8" spans="5:6" x14ac:dyDescent="0.25">
      <c r="E8" s="11" t="s">
        <v>22</v>
      </c>
      <c r="F8" s="14">
        <f>INDEX('Tablas oficiales'!$D$11:$D$17,IFERROR(MATCH(F6/'Tablas oficiales'!$C$4,'Tablas oficiales'!$B$11:$B$17,1),1))</f>
      </c>
    </row>
    <row r="9" spans="1:6" x14ac:dyDescent="0.25">
      <c r="A9" s="6" t="s">
        <v>23</v>
      </c>
      <c r="B9" s="6"/>
      <c r="C9" s="6"/>
      <c r="E9" s="11" t="s">
        <v>24</v>
      </c>
      <c r="F9" s="12">
        <f>ROUND(F6*'Tablas oficiales'!$C$19/100,0)</f>
      </c>
    </row>
    <row r="10" spans="1:6" x14ac:dyDescent="0.25">
      <c r="A10" s="15" t="s">
        <v>25</v>
      </c>
      <c r="B10" s="16">
        <f>B5</f>
      </c>
      <c r="E10" s="11" t="s">
        <v>26</v>
      </c>
      <c r="F10" s="12">
        <f>ROUND(F6*F7/100,0)</f>
      </c>
    </row>
    <row r="11" spans="1:6" x14ac:dyDescent="0.25">
      <c r="A11" s="15" t="s">
        <v>27</v>
      </c>
      <c r="B11" s="16">
        <f>F23</f>
      </c>
      <c r="E11" s="11" t="s">
        <v>28</v>
      </c>
      <c r="F11" s="12">
        <f>ROUND(F6*F8/100,0)</f>
      </c>
    </row>
    <row r="12" spans="1:2" x14ac:dyDescent="0.25">
      <c r="A12" s="15" t="s">
        <v>29</v>
      </c>
      <c r="B12" s="16">
        <f>F9</f>
      </c>
    </row>
    <row r="13" spans="1:5" x14ac:dyDescent="0.25">
      <c r="A13" s="15" t="s">
        <v>26</v>
      </c>
      <c r="B13" s="16">
        <f>F10</f>
      </c>
      <c r="E13" s="9" t="s">
        <v>30</v>
      </c>
    </row>
    <row r="14" spans="1:6" x14ac:dyDescent="0.25">
      <c r="A14" s="15" t="s">
        <v>28</v>
      </c>
      <c r="B14" s="16">
        <f>F11</f>
      </c>
      <c r="E14" s="11" t="s">
        <v>31</v>
      </c>
      <c r="F14" s="12">
        <f>MAX(0,B5-(F9+F10+F11))</f>
      </c>
    </row>
    <row r="15" spans="1:6" x14ac:dyDescent="0.25">
      <c r="A15" s="15" t="s">
        <v>32</v>
      </c>
      <c r="B15" s="16">
        <f>F22</f>
      </c>
      <c r="E15" s="11" t="s">
        <v>33</v>
      </c>
      <c r="F15" s="12">
        <f>ROUND(IF(B7="Sí",MIN(B5*'Tablas oficiales'!$C$20/100,'Tablas oficiales'!$C$21*'Tablas oficiales'!$C$5),0),0)</f>
      </c>
    </row>
    <row r="16" spans="1:6" x14ac:dyDescent="0.25">
      <c r="A16" s="15" t="s">
        <v>34</v>
      </c>
      <c r="B16" s="16">
        <f>F24</f>
      </c>
      <c r="E16" s="11" t="s">
        <v>35</v>
      </c>
      <c r="F16" s="12">
        <f>MAX(0,F14-F15)</f>
      </c>
    </row>
    <row r="17" spans="1:6" x14ac:dyDescent="0.25">
      <c r="A17" s="17" t="s">
        <v>36</v>
      </c>
      <c r="B17" s="18">
        <f>ROUND(B5+F23-F24,0)</f>
      </c>
      <c r="E17" s="11" t="s">
        <v>37</v>
      </c>
      <c r="F17" s="12">
        <f>ROUND(MIN(F16*'Tablas oficiales'!$C$22/100,'Tablas oficiales'!$C$23/12*'Tablas oficiales'!$C$5),0)</f>
      </c>
    </row>
    <row r="18" spans="5:6" x14ac:dyDescent="0.25">
      <c r="E18" s="11" t="s">
        <v>38</v>
      </c>
      <c r="F18" s="12">
        <f>MIN(F14*'Tablas oficiales'!$C$24/100,'Tablas oficiales'!$C$25/12*'Tablas oficiales'!$C$5)</f>
      </c>
    </row>
    <row r="19" ht="36" customHeight="1" spans="1:6" x14ac:dyDescent="0.25">
      <c r="A19" s="4" t="s">
        <v>39</v>
      </c>
      <c r="B19" s="4"/>
      <c r="C19" s="4"/>
      <c r="E19" s="11" t="s">
        <v>40</v>
      </c>
      <c r="F19" s="12">
        <f>ROUND(MIN(F15+F17,F18),0)</f>
      </c>
    </row>
    <row r="20" spans="5:6" x14ac:dyDescent="0.25">
      <c r="E20" s="11" t="s">
        <v>41</v>
      </c>
      <c r="F20" s="12">
        <f>MAX(0,F14-F19)</f>
      </c>
    </row>
    <row r="21" spans="5:6" x14ac:dyDescent="0.25">
      <c r="E21" s="11" t="s">
        <v>42</v>
      </c>
      <c r="F21" s="19">
        <f>F20/'Tablas oficiales'!$C$5</f>
      </c>
    </row>
    <row r="22" spans="5:6" x14ac:dyDescent="0.25">
      <c r="E22" s="11" t="s">
        <v>32</v>
      </c>
      <c r="F22" s="12">
        <f>ROUND(IF(F21&lt;=0,0,INDEX('Tablas oficiales'!$E$28:$E$34,IFERROR(MATCH(F21,'Tablas oficiales'!$B$28:$B$34,1),1))+(F21-INDEX('Tablas oficiales'!$B$28:$B$34,IFERROR(MATCH(F21,'Tablas oficiales'!$B$28:$B$34,1),1)))*INDEX('Tablas oficiales'!$D$28:$D$34,IFERROR(MATCH(F21,'Tablas oficiales'!$B$28:$B$34,1),1))/100)*'Tablas oficiales'!$C$5,0)</f>
      </c>
    </row>
    <row r="23" spans="5:6" x14ac:dyDescent="0.25">
      <c r="E23" s="11" t="s">
        <v>43</v>
      </c>
      <c r="F23" s="12">
        <f>IF(AND(B6="Sí",B5&lt;='Tablas oficiales'!$C$36*'Tablas oficiales'!$C$4),'Tablas oficiales'!$C$37,0)</f>
      </c>
    </row>
    <row r="24" spans="5:6" x14ac:dyDescent="0.25">
      <c r="E24" s="11" t="s">
        <v>34</v>
      </c>
      <c r="F24" s="12">
        <f>ROUND(F9+F10+F11+F22,0)</f>
      </c>
    </row>
  </sheetData>
  <mergeCells count="5">
    <mergeCell ref="A1:C1"/>
    <mergeCell ref="E3:F3"/>
    <mergeCell ref="A4:C4"/>
    <mergeCell ref="A9:C9"/>
    <mergeCell ref="A19:C19"/>
  </mergeCells>
  <dataValidations count="2">
    <dataValidation type="decimal" allowBlank="1" showErrorMessage="1" error="Escribe un número mayor o igual a 0." sqref="B5">
      <formula1>0</formula1>
      <formula2>1000000000000</formula2>
    </dataValidation>
    <dataValidation type="list" showErrorMessage="1" error="Elige una opción de la lista." sqref="B6:B7">
      <formula1>"Sí,No"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3"/>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44</v>
      </c>
      <c r="B1" s="5"/>
      <c r="C1" s="5"/>
    </row>
    <row r="3" spans="5:6" x14ac:dyDescent="0.25">
      <c r="E3" s="6" t="s">
        <v>11</v>
      </c>
      <c r="F3" s="6"/>
    </row>
    <row r="4" spans="1:6" x14ac:dyDescent="0.25">
      <c r="A4" s="6" t="s">
        <v>12</v>
      </c>
      <c r="B4" s="6"/>
      <c r="C4" s="6"/>
      <c r="E4" s="11" t="s">
        <v>43</v>
      </c>
      <c r="F4" s="12">
        <f>IF(AND(B6="Sí",B5&lt;='Tablas oficiales'!$C$36*'Tablas oficiales'!$C$4),'Tablas oficiales'!$C$37,0)</f>
      </c>
    </row>
    <row r="5" spans="1:6" x14ac:dyDescent="0.25">
      <c r="A5" s="7" t="s">
        <v>13</v>
      </c>
      <c r="B5" s="8">
        <v>2000000</v>
      </c>
      <c r="E5" s="11" t="s">
        <v>45</v>
      </c>
      <c r="F5" s="12">
        <f>B5+F4</f>
      </c>
    </row>
    <row r="6" spans="1:6" x14ac:dyDescent="0.25">
      <c r="A6" s="7" t="s">
        <v>15</v>
      </c>
      <c r="B6" s="10" t="s">
        <v>16</v>
      </c>
      <c r="E6" s="11" t="s">
        <v>46</v>
      </c>
      <c r="F6" s="12">
        <f>ROUND(F5*B17/360,0)</f>
      </c>
    </row>
    <row r="7" spans="5:6" x14ac:dyDescent="0.25">
      <c r="E7" s="11" t="s">
        <v>47</v>
      </c>
      <c r="F7" s="12">
        <f>ROUND(F6*'Tablas oficiales'!$C$38/100*B17/360,0)</f>
      </c>
    </row>
    <row r="8" spans="1:3" x14ac:dyDescent="0.25">
      <c r="A8" s="6" t="s">
        <v>48</v>
      </c>
      <c r="B8" s="6"/>
      <c r="C8" s="6"/>
    </row>
    <row r="9" spans="1:3" x14ac:dyDescent="0.25">
      <c r="A9" s="7" t="s">
        <v>49</v>
      </c>
      <c r="B9" s="20">
        <v>180</v>
      </c>
      <c r="C9" s="13" t="s">
        <v>50</v>
      </c>
    </row>
    <row r="10" spans="1:2" x14ac:dyDescent="0.25">
      <c r="A10" s="15" t="s">
        <v>51</v>
      </c>
      <c r="B10" s="16">
        <f>F4</f>
      </c>
    </row>
    <row r="11" spans="1:2" x14ac:dyDescent="0.25">
      <c r="A11" s="15" t="s">
        <v>52</v>
      </c>
      <c r="B11" s="16">
        <f>F5</f>
      </c>
    </row>
    <row r="12" spans="1:2" x14ac:dyDescent="0.25">
      <c r="A12" s="17" t="s">
        <v>53</v>
      </c>
      <c r="B12" s="18">
        <f>ROUND(F5*B9/360,0)</f>
      </c>
    </row>
    <row r="14" ht="21" customHeight="1" spans="1:3" x14ac:dyDescent="0.25">
      <c r="A14" s="4" t="s">
        <v>54</v>
      </c>
      <c r="B14" s="4"/>
      <c r="C14" s="4"/>
    </row>
    <row r="16" spans="1:3" x14ac:dyDescent="0.25">
      <c r="A16" s="6" t="s">
        <v>55</v>
      </c>
      <c r="B16" s="6"/>
      <c r="C16" s="6"/>
    </row>
    <row r="17" spans="1:3" x14ac:dyDescent="0.25">
      <c r="A17" s="7" t="s">
        <v>56</v>
      </c>
      <c r="B17" s="20">
        <v>360</v>
      </c>
      <c r="C17" s="13" t="s">
        <v>57</v>
      </c>
    </row>
    <row r="18" spans="1:2" x14ac:dyDescent="0.25">
      <c r="A18" s="15" t="s">
        <v>58</v>
      </c>
      <c r="B18" s="16">
        <f>F5</f>
      </c>
    </row>
    <row r="19" spans="1:2" x14ac:dyDescent="0.25">
      <c r="A19" s="15" t="s">
        <v>59</v>
      </c>
      <c r="B19" s="16">
        <f>F6</f>
      </c>
    </row>
    <row r="20" spans="1:2" x14ac:dyDescent="0.25">
      <c r="A20" s="15" t="s">
        <v>60</v>
      </c>
      <c r="B20" s="16">
        <f>F7</f>
      </c>
    </row>
    <row r="21" spans="1:2" x14ac:dyDescent="0.25">
      <c r="A21" s="17" t="s">
        <v>61</v>
      </c>
      <c r="B21" s="18">
        <f>ROUND(F6+F7,0)</f>
      </c>
    </row>
    <row r="23" ht="36" customHeight="1" spans="1:3" x14ac:dyDescent="0.25">
      <c r="A23" s="4" t="s">
        <v>62</v>
      </c>
      <c r="B23" s="4"/>
      <c r="C23" s="4"/>
    </row>
  </sheetData>
  <mergeCells count="7">
    <mergeCell ref="A1:C1"/>
    <mergeCell ref="E3:F3"/>
    <mergeCell ref="A4:C4"/>
    <mergeCell ref="A8:C8"/>
    <mergeCell ref="A14:C14"/>
    <mergeCell ref="A16:C16"/>
    <mergeCell ref="A23:C23"/>
  </mergeCells>
  <dataValidations count="4">
    <dataValidation type="whole" allowBlank="1" showErrorMessage="1" error="Escribe un número entre 1 y 360." sqref="B17">
      <formula1>1</formula1>
      <formula2>360</formula2>
    </dataValidation>
    <dataValidation type="decimal" allowBlank="1" showErrorMessage="1" error="Escribe un número mayor o igual a 0." sqref="B5">
      <formula1>0</formula1>
      <formula2>1000000000000</formula2>
    </dataValidation>
    <dataValidation type="list" showErrorMessage="1" error="Elige una opción de la lista." sqref="B6">
      <formula1>"Sí,No"</formula1>
    </dataValidation>
    <dataValidation type="whole" allowBlank="1" showErrorMessage="1" error="Escribe un número entre 1 y 180." sqref="B9">
      <formula1>1</formula1>
      <formula2>180</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5"/>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63</v>
      </c>
      <c r="B1" s="5"/>
      <c r="C1" s="5"/>
    </row>
    <row r="3" spans="5:6" x14ac:dyDescent="0.25">
      <c r="E3" s="6" t="s">
        <v>11</v>
      </c>
      <c r="F3" s="6"/>
    </row>
    <row r="4" spans="1:3" x14ac:dyDescent="0.25">
      <c r="A4" s="6" t="s">
        <v>12</v>
      </c>
      <c r="B4" s="6"/>
      <c r="C4" s="6"/>
    </row>
    <row r="5" spans="1:5" x14ac:dyDescent="0.25">
      <c r="A5" s="7" t="s">
        <v>13</v>
      </c>
      <c r="B5" s="8">
        <v>2500000</v>
      </c>
      <c r="E5" s="9" t="s">
        <v>64</v>
      </c>
    </row>
    <row r="6" spans="1:6" x14ac:dyDescent="0.25">
      <c r="A6" s="7" t="s">
        <v>65</v>
      </c>
      <c r="B6" s="21">
        <v>45323</v>
      </c>
      <c r="E6" s="11" t="s">
        <v>43</v>
      </c>
      <c r="F6" s="12">
        <f>IF(AND(B10="Sí",B5&lt;='Tablas oficiales'!$C$36*'Tablas oficiales'!$C$4),'Tablas oficiales'!$C$37,0)</f>
      </c>
    </row>
    <row r="7" spans="1:6" x14ac:dyDescent="0.25">
      <c r="A7" s="7" t="s">
        <v>66</v>
      </c>
      <c r="B7" s="21">
        <v>46303</v>
      </c>
      <c r="E7" s="11" t="s">
        <v>45</v>
      </c>
      <c r="F7" s="12">
        <f>B5+F6</f>
      </c>
    </row>
    <row r="8" ht="30" customHeight="1" spans="1:6" x14ac:dyDescent="0.25">
      <c r="A8" s="7" t="s">
        <v>67</v>
      </c>
      <c r="B8" s="21"/>
      <c r="C8" s="13" t="s">
        <v>68</v>
      </c>
      <c r="E8" s="11" t="s">
        <v>69</v>
      </c>
      <c r="F8" s="22">
        <f>((YEAR(B7)-YEAR(MAX(B6,DATE(YEAR(B7),1,1))))*360+(MONTH(B7)-MONTH(MAX(B6,DATE(YEAR(B7),1,1))))*30+(IF(AND(MONTH(B7)=2,DAY(B7)=DAY(EOMONTH(B7,0))),30,MIN(DAY(B7),30))-MIN(DAY(MAX(B6,DATE(YEAR(B7),1,1))),30))+1)</f>
      </c>
    </row>
    <row r="9" ht="30" customHeight="1" spans="1:6" x14ac:dyDescent="0.25">
      <c r="A9" s="7" t="s">
        <v>70</v>
      </c>
      <c r="B9" s="10" t="s">
        <v>71</v>
      </c>
      <c r="C9" s="13" t="s">
        <v>72</v>
      </c>
      <c r="E9" s="11" t="s">
        <v>46</v>
      </c>
      <c r="F9" s="12">
        <f>ROUND(F7*F8/360,0)</f>
      </c>
    </row>
    <row r="10" spans="1:6" x14ac:dyDescent="0.25">
      <c r="A10" s="7" t="s">
        <v>15</v>
      </c>
      <c r="B10" s="10" t="s">
        <v>16</v>
      </c>
      <c r="E10" s="11" t="s">
        <v>47</v>
      </c>
      <c r="F10" s="12">
        <f>ROUND(F9*'Tablas oficiales'!$C$38/100*F8/360,0)</f>
      </c>
    </row>
    <row r="11" spans="5:6" x14ac:dyDescent="0.25">
      <c r="E11" s="11" t="s">
        <v>73</v>
      </c>
      <c r="F11" s="22">
        <f>((YEAR(B7)-YEAR(MAX(B6,IF(MONTH(B7)&lt;=6,DATE(YEAR(B7),1,1),DATE(YEAR(B7),7,1)))))*360+(MONTH(B7)-MONTH(MAX(B6,IF(MONTH(B7)&lt;=6,DATE(YEAR(B7),1,1),DATE(YEAR(B7),7,1)))))*30+(IF(AND(MONTH(B7)=2,DAY(B7)=DAY(EOMONTH(B7,0))),30,MIN(DAY(B7),30))-MIN(DAY(MAX(B6,IF(MONTH(B7)&lt;=6,DATE(YEAR(B7),1,1),DATE(YEAR(B7),7,1)))),30))+1)</f>
      </c>
    </row>
    <row r="12" spans="1:6" x14ac:dyDescent="0.25">
      <c r="A12" s="6" t="s">
        <v>74</v>
      </c>
      <c r="B12" s="6"/>
      <c r="C12" s="6"/>
      <c r="E12" s="11" t="s">
        <v>75</v>
      </c>
      <c r="F12" s="12">
        <f>ROUND(F7*F11/360,0)</f>
      </c>
    </row>
    <row r="13" spans="1:3" x14ac:dyDescent="0.25">
      <c r="A13" s="23">
        <f>IF(B7&lt;B6,"La fecha de retiro tiene que ser posterior a la de ingreso.",IF(AND(ISNUMBER(B8),OR(B8&lt;B6,B8&gt;B7)),"La fecha de las vacaciones tiene que estar entre tu ingreso y tu retiro.",""))</f>
      </c>
      <c r="B13" s="23"/>
      <c r="C13" s="23"/>
    </row>
    <row r="14" spans="1:5" x14ac:dyDescent="0.25">
      <c r="A14" s="15" t="s">
        <v>76</v>
      </c>
      <c r="B14" s="16">
        <f>F7</f>
      </c>
      <c r="E14" s="9" t="s">
        <v>77</v>
      </c>
    </row>
    <row r="15" spans="1:6" x14ac:dyDescent="0.25">
      <c r="A15" s="15" t="s">
        <v>69</v>
      </c>
      <c r="B15" s="24">
        <f>F8</f>
      </c>
      <c r="E15" s="11" t="s">
        <v>78</v>
      </c>
      <c r="F15" s="22">
        <f>((YEAR(B7)-YEAR(IF(ISNUMBER(B8),B8,B6)))*360+(MONTH(B7)-MONTH(IF(ISNUMBER(B8),B8,B6)))*30+(IF(AND(MONTH(B7)=2,DAY(B7)=DAY(EOMONTH(B7,0))),30,MIN(DAY(B7),30))-MIN(DAY(IF(ISNUMBER(B8),B8,B6)),30))+1)</f>
      </c>
    </row>
    <row r="16" spans="1:6" x14ac:dyDescent="0.25">
      <c r="A16" s="15" t="s">
        <v>46</v>
      </c>
      <c r="B16" s="16">
        <f>F9</f>
      </c>
      <c r="E16" s="11" t="s">
        <v>79</v>
      </c>
      <c r="F16" s="12">
        <f>ROUND(B5*F15/720,0)</f>
      </c>
    </row>
    <row r="17" spans="1:6" x14ac:dyDescent="0.25">
      <c r="A17" s="15" t="s">
        <v>47</v>
      </c>
      <c r="B17" s="16">
        <f>F10</f>
      </c>
      <c r="E17" s="11" t="s">
        <v>80</v>
      </c>
      <c r="F17" s="22">
        <f>((YEAR(B7)-YEAR(B6))*360+(MONTH(B7)-MONTH(B6))*30+(IF(AND(MONTH(B7)=2,DAY(B7)=DAY(EOMONTH(B7,0))),30,MIN(DAY(B7),30))-MIN(DAY(B6),30))+1)</f>
      </c>
    </row>
    <row r="18" spans="1:6" x14ac:dyDescent="0.25">
      <c r="A18" s="15" t="s">
        <v>81</v>
      </c>
      <c r="B18" s="24">
        <f>F11</f>
      </c>
      <c r="E18" s="11" t="s">
        <v>82</v>
      </c>
      <c r="F18" s="25">
        <f>IF(B5&gt;='Tablas oficiales'!$C$43*'Tablas oficiales'!$C$4,"Sí","No")</f>
      </c>
    </row>
    <row r="19" spans="1:6" x14ac:dyDescent="0.25">
      <c r="A19" s="15" t="s">
        <v>75</v>
      </c>
      <c r="B19" s="16">
        <f>F12</f>
      </c>
      <c r="E19" s="11" t="s">
        <v>83</v>
      </c>
      <c r="F19" s="19">
        <f>IF(F17&lt;=360,IF(F18="Sí",'Tablas oficiales'!$C$41,'Tablas oficiales'!$C$39),IF(F18="Sí",'Tablas oficiales'!$C$41,'Tablas oficiales'!$C$39)+IF(F18="Sí",'Tablas oficiales'!$C$42,'Tablas oficiales'!$C$40)*(F17-360)/360)</f>
      </c>
    </row>
    <row r="20" spans="1:6" x14ac:dyDescent="0.25">
      <c r="A20" s="15" t="s">
        <v>78</v>
      </c>
      <c r="B20" s="24">
        <f>F15</f>
      </c>
      <c r="E20" s="11" t="s">
        <v>84</v>
      </c>
      <c r="F20" s="12">
        <f>IF(B9="Despido sin justa causa (indefinido)",ROUND(B5/30*F19,0),0)</f>
      </c>
    </row>
    <row r="21" spans="1:2" x14ac:dyDescent="0.25">
      <c r="A21" s="15" t="s">
        <v>85</v>
      </c>
      <c r="B21" s="16">
        <f>F16</f>
      </c>
    </row>
    <row r="22" spans="1:2" x14ac:dyDescent="0.25">
      <c r="A22" s="15" t="s">
        <v>86</v>
      </c>
      <c r="B22" s="16">
        <f>F20</f>
      </c>
    </row>
    <row r="23" spans="1:2" x14ac:dyDescent="0.25">
      <c r="A23" s="17" t="s">
        <v>87</v>
      </c>
      <c r="B23" s="18">
        <f>ROUND(F9+F10+F12+F16+F20,0)</f>
      </c>
    </row>
    <row r="25" ht="36" customHeight="1" spans="1:3" x14ac:dyDescent="0.25">
      <c r="A25" s="4" t="s">
        <v>88</v>
      </c>
      <c r="B25" s="4"/>
      <c r="C25" s="4"/>
    </row>
  </sheetData>
  <mergeCells count="6">
    <mergeCell ref="A1:C1"/>
    <mergeCell ref="E3:F3"/>
    <mergeCell ref="A4:C4"/>
    <mergeCell ref="A12:C12"/>
    <mergeCell ref="A13:C13"/>
    <mergeCell ref="A25:C25"/>
  </mergeCells>
  <dataValidations count="4">
    <dataValidation type="list" showErrorMessage="1" error="Elige una opción de la lista." sqref="B10">
      <formula1>"Sí,No"</formula1>
    </dataValidation>
    <dataValidation type="decimal" allowBlank="1" showErrorMessage="1" error="Escribe un número mayor o igual a 0." sqref="B5">
      <formula1>0</formula1>
      <formula2>1000000000000</formula2>
    </dataValidation>
    <dataValidation type="date" operator="greaterThan" allowBlank="1" showErrorMessage="1" error="Escribe una fecha como dd/mm/aaaa." sqref="B6:B8">
      <formula1>18264</formula1>
    </dataValidation>
    <dataValidation type="list" showErrorMessage="1" error="Elige una opción de la lista." sqref="B9">
      <formula1>"Renuncia o fin del plazo,Despido sin justa causa (indefinido)"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G43"/>
  <sheetViews>
    <sheetView workbookViewId="0">
      <pane ySplit="3" topLeftCell="A4" activePane="bottomLeft" state="frozen"/>
      <selection pane="bottomLeft"/>
    </sheetView>
  </sheetViews>
  <sheetFormatPr defaultRowHeight="15" outlineLevelRow="0" outlineLevelCol="0" x14ac:dyDescent="55"/>
  <cols>
    <col min="1" max="1" width="46" customWidth="1"/>
    <col min="2" max="2" width="30" customWidth="1"/>
    <col min="3" max="3" width="18" customWidth="1"/>
    <col min="4" max="4" width="12" customWidth="1"/>
    <col min="5" max="5" width="14" customWidth="1"/>
    <col min="6" max="6" width="58" customWidth="1"/>
    <col min="7" max="7" width="14" customWidth="1"/>
  </cols>
  <sheetData>
    <row r="1" ht="28" customHeight="1" spans="1:7" x14ac:dyDescent="0.25">
      <c r="A1" s="26" t="s">
        <v>89</v>
      </c>
      <c r="B1" s="26"/>
      <c r="C1" s="26"/>
      <c r="D1" s="26"/>
      <c r="E1" s="26"/>
      <c r="F1" s="26"/>
      <c r="G1" s="26"/>
    </row>
    <row r="2" ht="30" customHeight="1" spans="1:7" x14ac:dyDescent="0.25">
      <c r="A2" s="4" t="s">
        <v>90</v>
      </c>
      <c r="B2" s="4"/>
      <c r="C2" s="4"/>
      <c r="D2" s="4"/>
      <c r="E2" s="4"/>
      <c r="F2" s="4"/>
      <c r="G2" s="4"/>
    </row>
    <row r="3" spans="1:7" x14ac:dyDescent="0.25">
      <c r="A3" s="27" t="s">
        <v>91</v>
      </c>
      <c r="B3" s="27" t="s">
        <v>92</v>
      </c>
      <c r="C3" s="27" t="s">
        <v>93</v>
      </c>
      <c r="D3" s="27" t="s">
        <v>94</v>
      </c>
      <c r="E3" s="27" t="s">
        <v>95</v>
      </c>
      <c r="F3" s="27" t="s">
        <v>96</v>
      </c>
      <c r="G3" s="27" t="s">
        <v>97</v>
      </c>
    </row>
    <row r="4" spans="1:7" x14ac:dyDescent="0.25">
      <c r="A4" s="28" t="s">
        <v>98</v>
      </c>
      <c r="B4" s="28" t="s">
        <v>99</v>
      </c>
      <c r="C4" s="29">
        <v>1750905</v>
      </c>
      <c r="D4" s="28" t="s">
        <v>100</v>
      </c>
      <c r="E4" s="28" t="s">
        <v>101</v>
      </c>
      <c r="F4" s="30" t="s">
        <v>102</v>
      </c>
      <c r="G4" s="28" t="s">
        <v>103</v>
      </c>
    </row>
    <row r="5" spans="1:7" x14ac:dyDescent="0.25">
      <c r="A5" s="31" t="s">
        <v>104</v>
      </c>
      <c r="B5" s="31" t="s">
        <v>99</v>
      </c>
      <c r="C5" s="32">
        <v>52374</v>
      </c>
      <c r="D5" s="31" t="s">
        <v>100</v>
      </c>
      <c r="E5" s="31" t="s">
        <v>101</v>
      </c>
      <c r="F5" s="33" t="s">
        <v>105</v>
      </c>
      <c r="G5" s="31" t="s">
        <v>103</v>
      </c>
    </row>
    <row r="6" spans="1:7" x14ac:dyDescent="0.25">
      <c r="A6" s="28" t="s">
        <v>106</v>
      </c>
      <c r="B6" s="28" t="s">
        <v>99</v>
      </c>
      <c r="C6" s="34">
        <v>25</v>
      </c>
      <c r="D6" s="28" t="s">
        <v>107</v>
      </c>
      <c r="E6" s="28" t="s">
        <v>108</v>
      </c>
      <c r="F6" s="30" t="s">
        <v>109</v>
      </c>
      <c r="G6" s="28" t="s">
        <v>103</v>
      </c>
    </row>
    <row r="7" spans="1:7" x14ac:dyDescent="0.25">
      <c r="A7" s="31" t="s">
        <v>110</v>
      </c>
      <c r="B7" s="31" t="s">
        <v>99</v>
      </c>
      <c r="C7" s="35">
        <v>16</v>
      </c>
      <c r="D7" s="31" t="s">
        <v>111</v>
      </c>
      <c r="E7" s="31" t="s">
        <v>112</v>
      </c>
      <c r="F7" s="33" t="s">
        <v>113</v>
      </c>
      <c r="G7" s="31" t="s">
        <v>103</v>
      </c>
    </row>
    <row r="8" spans="1:7" x14ac:dyDescent="0.25">
      <c r="A8" s="28" t="s">
        <v>114</v>
      </c>
      <c r="B8" s="28" t="s">
        <v>99</v>
      </c>
      <c r="C8" s="34">
        <v>25</v>
      </c>
      <c r="D8" s="28" t="s">
        <v>111</v>
      </c>
      <c r="E8" s="28" t="s">
        <v>108</v>
      </c>
      <c r="F8" s="30" t="s">
        <v>115</v>
      </c>
      <c r="G8" s="28" t="s">
        <v>103</v>
      </c>
    </row>
    <row r="9" spans="1:7" x14ac:dyDescent="0.25">
      <c r="A9" s="36" t="s">
        <v>116</v>
      </c>
      <c r="B9" s="37"/>
      <c r="C9" s="37"/>
      <c r="D9" s="37" t="s">
        <v>107</v>
      </c>
      <c r="E9" s="37" t="s">
        <v>108</v>
      </c>
      <c r="F9" s="38" t="s">
        <v>115</v>
      </c>
      <c r="G9" s="37" t="s">
        <v>103</v>
      </c>
    </row>
    <row r="10" spans="2:5" x14ac:dyDescent="0.25">
      <c r="B10" s="39" t="s">
        <v>117</v>
      </c>
      <c r="C10" s="39" t="s">
        <v>118</v>
      </c>
      <c r="D10" s="39" t="s">
        <v>119</v>
      </c>
      <c r="E10" s="39" t="s">
        <v>120</v>
      </c>
    </row>
    <row r="11" spans="2:5" x14ac:dyDescent="0.25">
      <c r="B11" s="40">
        <v>0</v>
      </c>
      <c r="C11" s="41">
        <v>4</v>
      </c>
      <c r="D11" s="42">
        <v>0</v>
      </c>
      <c r="E11" s="40">
        <v>0</v>
      </c>
    </row>
    <row r="12" spans="2:5" x14ac:dyDescent="0.25">
      <c r="B12" s="40">
        <v>4</v>
      </c>
      <c r="C12" s="41">
        <v>16</v>
      </c>
      <c r="D12" s="42">
        <v>1</v>
      </c>
      <c r="E12" s="40">
        <v>0</v>
      </c>
    </row>
    <row r="13" spans="2:5" x14ac:dyDescent="0.25">
      <c r="B13" s="40">
        <v>16</v>
      </c>
      <c r="C13" s="41">
        <v>17</v>
      </c>
      <c r="D13" s="42">
        <v>1.2</v>
      </c>
      <c r="E13" s="40">
        <v>0</v>
      </c>
    </row>
    <row r="14" spans="2:5" x14ac:dyDescent="0.25">
      <c r="B14" s="40">
        <v>17</v>
      </c>
      <c r="C14" s="41">
        <v>18</v>
      </c>
      <c r="D14" s="42">
        <v>1.4</v>
      </c>
      <c r="E14" s="40">
        <v>0</v>
      </c>
    </row>
    <row r="15" spans="2:5" x14ac:dyDescent="0.25">
      <c r="B15" s="40">
        <v>18</v>
      </c>
      <c r="C15" s="41">
        <v>19</v>
      </c>
      <c r="D15" s="42">
        <v>1.6</v>
      </c>
      <c r="E15" s="40">
        <v>0</v>
      </c>
    </row>
    <row r="16" spans="2:5" x14ac:dyDescent="0.25">
      <c r="B16" s="40">
        <v>19</v>
      </c>
      <c r="C16" s="41">
        <v>20</v>
      </c>
      <c r="D16" s="42">
        <v>1.8</v>
      </c>
      <c r="E16" s="40">
        <v>0</v>
      </c>
    </row>
    <row r="17" spans="2:5" x14ac:dyDescent="0.25">
      <c r="B17" s="40">
        <v>20</v>
      </c>
      <c r="C17" s="41">
        <v>1000000000000000</v>
      </c>
      <c r="D17" s="42">
        <v>2</v>
      </c>
      <c r="E17" s="40">
        <v>0</v>
      </c>
    </row>
    <row r="19" spans="1:7" x14ac:dyDescent="0.25">
      <c r="A19" s="31" t="s">
        <v>121</v>
      </c>
      <c r="B19" s="31" t="s">
        <v>99</v>
      </c>
      <c r="C19" s="35">
        <v>4</v>
      </c>
      <c r="D19" s="31" t="s">
        <v>111</v>
      </c>
      <c r="E19" s="31" t="s">
        <v>122</v>
      </c>
      <c r="F19" s="33" t="s">
        <v>109</v>
      </c>
      <c r="G19" s="31" t="s">
        <v>103</v>
      </c>
    </row>
    <row r="20" spans="1:7" x14ac:dyDescent="0.25">
      <c r="A20" s="28" t="s">
        <v>123</v>
      </c>
      <c r="B20" s="28" t="s">
        <v>99</v>
      </c>
      <c r="C20" s="34">
        <v>10</v>
      </c>
      <c r="D20" s="28" t="s">
        <v>111</v>
      </c>
      <c r="E20" s="28" t="s">
        <v>124</v>
      </c>
      <c r="F20" s="30" t="s">
        <v>125</v>
      </c>
      <c r="G20" s="28" t="s">
        <v>103</v>
      </c>
    </row>
    <row r="21" spans="1:7" x14ac:dyDescent="0.25">
      <c r="A21" s="31" t="s">
        <v>126</v>
      </c>
      <c r="B21" s="31" t="s">
        <v>99</v>
      </c>
      <c r="C21" s="35">
        <v>32</v>
      </c>
      <c r="D21" s="31" t="s">
        <v>127</v>
      </c>
      <c r="E21" s="31" t="s">
        <v>124</v>
      </c>
      <c r="F21" s="33" t="s">
        <v>125</v>
      </c>
      <c r="G21" s="31" t="s">
        <v>103</v>
      </c>
    </row>
    <row r="22" spans="1:7" x14ac:dyDescent="0.25">
      <c r="A22" s="28" t="s">
        <v>128</v>
      </c>
      <c r="B22" s="28" t="s">
        <v>99</v>
      </c>
      <c r="C22" s="34">
        <v>25</v>
      </c>
      <c r="D22" s="28" t="s">
        <v>111</v>
      </c>
      <c r="E22" s="28" t="s">
        <v>124</v>
      </c>
      <c r="F22" s="30" t="s">
        <v>125</v>
      </c>
      <c r="G22" s="28" t="s">
        <v>103</v>
      </c>
    </row>
    <row r="23" spans="1:7" x14ac:dyDescent="0.25">
      <c r="A23" s="31" t="s">
        <v>129</v>
      </c>
      <c r="B23" s="31" t="s">
        <v>99</v>
      </c>
      <c r="C23" s="35">
        <v>790</v>
      </c>
      <c r="D23" s="31" t="s">
        <v>127</v>
      </c>
      <c r="E23" s="31" t="s">
        <v>124</v>
      </c>
      <c r="F23" s="33" t="s">
        <v>125</v>
      </c>
      <c r="G23" s="31" t="s">
        <v>103</v>
      </c>
    </row>
    <row r="24" spans="1:7" x14ac:dyDescent="0.25">
      <c r="A24" s="28" t="s">
        <v>130</v>
      </c>
      <c r="B24" s="28" t="s">
        <v>99</v>
      </c>
      <c r="C24" s="34">
        <v>40</v>
      </c>
      <c r="D24" s="28" t="s">
        <v>111</v>
      </c>
      <c r="E24" s="28" t="s">
        <v>124</v>
      </c>
      <c r="F24" s="30" t="s">
        <v>125</v>
      </c>
      <c r="G24" s="28" t="s">
        <v>103</v>
      </c>
    </row>
    <row r="25" spans="1:7" x14ac:dyDescent="0.25">
      <c r="A25" s="31" t="s">
        <v>131</v>
      </c>
      <c r="B25" s="31" t="s">
        <v>99</v>
      </c>
      <c r="C25" s="35">
        <v>1340</v>
      </c>
      <c r="D25" s="31" t="s">
        <v>127</v>
      </c>
      <c r="E25" s="31" t="s">
        <v>124</v>
      </c>
      <c r="F25" s="33" t="s">
        <v>125</v>
      </c>
      <c r="G25" s="31" t="s">
        <v>103</v>
      </c>
    </row>
    <row r="26" spans="1:7" x14ac:dyDescent="0.25">
      <c r="A26" s="36" t="s">
        <v>132</v>
      </c>
      <c r="B26" s="37"/>
      <c r="C26" s="37"/>
      <c r="D26" s="37" t="s">
        <v>127</v>
      </c>
      <c r="E26" s="37" t="s">
        <v>124</v>
      </c>
      <c r="F26" s="38" t="s">
        <v>125</v>
      </c>
      <c r="G26" s="37" t="s">
        <v>103</v>
      </c>
    </row>
    <row r="27" spans="2:5" x14ac:dyDescent="0.25">
      <c r="B27" s="39" t="s">
        <v>117</v>
      </c>
      <c r="C27" s="39" t="s">
        <v>118</v>
      </c>
      <c r="D27" s="39" t="s">
        <v>119</v>
      </c>
      <c r="E27" s="39" t="s">
        <v>120</v>
      </c>
    </row>
    <row r="28" spans="2:5" x14ac:dyDescent="0.25">
      <c r="B28" s="40">
        <v>0</v>
      </c>
      <c r="C28" s="41">
        <v>95</v>
      </c>
      <c r="D28" s="42">
        <v>0</v>
      </c>
      <c r="E28" s="40">
        <v>0</v>
      </c>
    </row>
    <row r="29" spans="2:5" x14ac:dyDescent="0.25">
      <c r="B29" s="40">
        <v>95</v>
      </c>
      <c r="C29" s="41">
        <v>150</v>
      </c>
      <c r="D29" s="42">
        <v>19</v>
      </c>
      <c r="E29" s="40">
        <v>0</v>
      </c>
    </row>
    <row r="30" spans="2:5" x14ac:dyDescent="0.25">
      <c r="B30" s="40">
        <v>150</v>
      </c>
      <c r="C30" s="41">
        <v>360</v>
      </c>
      <c r="D30" s="42">
        <v>28</v>
      </c>
      <c r="E30" s="40">
        <v>10</v>
      </c>
    </row>
    <row r="31" spans="2:5" x14ac:dyDescent="0.25">
      <c r="B31" s="40">
        <v>360</v>
      </c>
      <c r="C31" s="41">
        <v>640</v>
      </c>
      <c r="D31" s="42">
        <v>33</v>
      </c>
      <c r="E31" s="40">
        <v>69</v>
      </c>
    </row>
    <row r="32" spans="2:5" x14ac:dyDescent="0.25">
      <c r="B32" s="40">
        <v>640</v>
      </c>
      <c r="C32" s="41">
        <v>945</v>
      </c>
      <c r="D32" s="42">
        <v>35</v>
      </c>
      <c r="E32" s="40">
        <v>162</v>
      </c>
    </row>
    <row r="33" spans="2:5" x14ac:dyDescent="0.25">
      <c r="B33" s="40">
        <v>945</v>
      </c>
      <c r="C33" s="41">
        <v>2300</v>
      </c>
      <c r="D33" s="42">
        <v>37</v>
      </c>
      <c r="E33" s="40">
        <v>268</v>
      </c>
    </row>
    <row r="34" spans="2:5" x14ac:dyDescent="0.25">
      <c r="B34" s="40">
        <v>2300</v>
      </c>
      <c r="C34" s="41">
        <v>1000000000000000</v>
      </c>
      <c r="D34" s="42">
        <v>39</v>
      </c>
      <c r="E34" s="40">
        <v>770</v>
      </c>
    </row>
    <row r="36" spans="1:7" x14ac:dyDescent="0.25">
      <c r="A36" s="28" t="s">
        <v>133</v>
      </c>
      <c r="B36" s="28" t="s">
        <v>99</v>
      </c>
      <c r="C36" s="34">
        <v>2</v>
      </c>
      <c r="D36" s="28" t="s">
        <v>107</v>
      </c>
      <c r="E36" s="28" t="s">
        <v>101</v>
      </c>
      <c r="F36" s="30" t="s">
        <v>134</v>
      </c>
      <c r="G36" s="28" t="s">
        <v>103</v>
      </c>
    </row>
    <row r="37" spans="1:7" x14ac:dyDescent="0.25">
      <c r="A37" s="31" t="s">
        <v>135</v>
      </c>
      <c r="B37" s="31" t="s">
        <v>99</v>
      </c>
      <c r="C37" s="32">
        <v>249095</v>
      </c>
      <c r="D37" s="31" t="s">
        <v>100</v>
      </c>
      <c r="E37" s="31" t="s">
        <v>101</v>
      </c>
      <c r="F37" s="33" t="s">
        <v>134</v>
      </c>
      <c r="G37" s="31" t="s">
        <v>103</v>
      </c>
    </row>
    <row r="38" spans="1:7" x14ac:dyDescent="0.25">
      <c r="A38" s="28" t="s">
        <v>47</v>
      </c>
      <c r="B38" s="28" t="s">
        <v>99</v>
      </c>
      <c r="C38" s="34">
        <v>12</v>
      </c>
      <c r="D38" s="28" t="s">
        <v>111</v>
      </c>
      <c r="E38" s="28" t="s">
        <v>136</v>
      </c>
      <c r="F38" s="30" t="s">
        <v>137</v>
      </c>
      <c r="G38" s="28" t="s">
        <v>103</v>
      </c>
    </row>
    <row r="39" spans="1:7" x14ac:dyDescent="0.25">
      <c r="A39" s="31" t="s">
        <v>138</v>
      </c>
      <c r="B39" s="31" t="s">
        <v>139</v>
      </c>
      <c r="C39" s="35">
        <v>30</v>
      </c>
      <c r="D39" s="31" t="s">
        <v>140</v>
      </c>
      <c r="E39" s="31" t="s">
        <v>141</v>
      </c>
      <c r="F39" s="33" t="s">
        <v>142</v>
      </c>
      <c r="G39" s="31" t="s">
        <v>103</v>
      </c>
    </row>
    <row r="40" spans="1:7" x14ac:dyDescent="0.25">
      <c r="A40" s="28" t="s">
        <v>138</v>
      </c>
      <c r="B40" s="28" t="s">
        <v>143</v>
      </c>
      <c r="C40" s="34">
        <v>20</v>
      </c>
      <c r="D40" s="28" t="s">
        <v>140</v>
      </c>
      <c r="E40" s="28" t="s">
        <v>141</v>
      </c>
      <c r="F40" s="30" t="s">
        <v>142</v>
      </c>
      <c r="G40" s="28" t="s">
        <v>103</v>
      </c>
    </row>
    <row r="41" spans="1:7" x14ac:dyDescent="0.25">
      <c r="A41" s="31" t="s">
        <v>138</v>
      </c>
      <c r="B41" s="31" t="s">
        <v>144</v>
      </c>
      <c r="C41" s="35">
        <v>20</v>
      </c>
      <c r="D41" s="31" t="s">
        <v>140</v>
      </c>
      <c r="E41" s="31" t="s">
        <v>141</v>
      </c>
      <c r="F41" s="33" t="s">
        <v>142</v>
      </c>
      <c r="G41" s="31" t="s">
        <v>103</v>
      </c>
    </row>
    <row r="42" spans="1:7" x14ac:dyDescent="0.25">
      <c r="A42" s="28" t="s">
        <v>138</v>
      </c>
      <c r="B42" s="28" t="s">
        <v>145</v>
      </c>
      <c r="C42" s="34">
        <v>15</v>
      </c>
      <c r="D42" s="28" t="s">
        <v>140</v>
      </c>
      <c r="E42" s="28" t="s">
        <v>141</v>
      </c>
      <c r="F42" s="30" t="s">
        <v>142</v>
      </c>
      <c r="G42" s="28" t="s">
        <v>103</v>
      </c>
    </row>
    <row r="43" spans="1:7" x14ac:dyDescent="0.25">
      <c r="A43" s="31" t="s">
        <v>146</v>
      </c>
      <c r="B43" s="31" t="s">
        <v>99</v>
      </c>
      <c r="C43" s="35">
        <v>10</v>
      </c>
      <c r="D43" s="31" t="s">
        <v>107</v>
      </c>
      <c r="E43" s="31" t="s">
        <v>141</v>
      </c>
      <c r="F43" s="33" t="s">
        <v>142</v>
      </c>
      <c r="G43" s="31" t="s">
        <v>103</v>
      </c>
    </row>
  </sheetData>
  <mergeCells count="2">
    <mergeCell ref="A1:G1"/>
    <mergeCell ref="A2:G2"/>
  </mergeCells>
  <hyperlinks>
    <hyperlink ref="F4" r:id="rId1"/>
    <hyperlink ref="F5" r:id="rId2"/>
    <hyperlink ref="F6" r:id="rId3"/>
    <hyperlink ref="F7" r:id="rId4"/>
    <hyperlink ref="F8" r:id="rId5"/>
    <hyperlink ref="F9" r:id="rId6"/>
    <hyperlink ref="F19" r:id="rId7"/>
    <hyperlink ref="F20" r:id="rId8"/>
    <hyperlink ref="F21" r:id="rId9"/>
    <hyperlink ref="F22" r:id="rId10"/>
    <hyperlink ref="F23" r:id="rId11"/>
    <hyperlink ref="F24" r:id="rId12"/>
    <hyperlink ref="F25" r:id="rId13"/>
    <hyperlink ref="F26" r:id="rId14"/>
    <hyperlink ref="F36" r:id="rId15"/>
    <hyperlink ref="F37" r:id="rId16"/>
    <hyperlink ref="F38" r:id="rId17"/>
    <hyperlink ref="F39" r:id="rId18"/>
    <hyperlink ref="F40" r:id="rId19"/>
    <hyperlink ref="F41" r:id="rId20"/>
    <hyperlink ref="F42" r:id="rId21"/>
    <hyperlink ref="F43" r:id="rId2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Instrucciones</vt:lpstr>
      <vt:lpstr>Salario neto</vt:lpstr>
      <vt:lpstr>Prima y cesantías</vt:lpstr>
      <vt:lpstr>Liquidación</vt:lpstr>
      <vt:lpstr>Tablas oficiales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CalcularYa (calcularya.com)</dc:creator>
  <dc:title>Planilla de salario y liquidación Colombia 2026</dc:title>
  <dc:subject/>
  <dc:description/>
  <cp:keywords/>
  <cp:category/>
  <cp:lastModifiedBy>Unknown</cp:lastModifiedBy>
  <dcterms:created xsi:type="dcterms:W3CDTF">2026-10-08T12:00:00Z</dcterms:created>
  <dcterms:modified xsi:type="dcterms:W3CDTF">2026-10-08T12:00:00Z</dcterms:modified>
</cp:coreProperties>
</file>