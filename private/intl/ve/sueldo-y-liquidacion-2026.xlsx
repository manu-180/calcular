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Utilidades y vacaciones" state="visible" r:id="rId5"/>
    <sheet sheetId="3" name="Liquidación" state="visible" r:id="rId6"/>
    <sheet sheetId="4" name="Tablas oficiales" state="visible" r:id="rId7"/>
  </sheets>
  <calcPr calcId="171027"/>
</workbook>
</file>

<file path=xl/sharedStrings.xml><?xml version="1.0" encoding="utf-8"?>
<sst xmlns="http://schemas.openxmlformats.org/spreadsheetml/2006/main" count="204" uniqueCount="127">
  <si>
    <t>Planilla de prestaciones y liquidación Venezuela 2026</t>
  </si>
  <si>
    <t>Las celdas amarillas son para tus datos. Las verdes se calculan solas, con las fórmulas de la ley. A la derecha de cada hoja está el paso a paso de la cuenta.</t>
  </si>
  <si>
    <t>«Utilidades y vacaciones»: calcula las utilidades del año y el pago de vacaciones con su bono vacacional.</t>
  </si>
  <si>
    <t>«Liquidación»: pones tus fechas y tu salario, y te dice las prestaciones sociales (garantía o retroactivo), la indemnización, las vacaciones y las utilidades fraccionadas.</t>
  </si>
  <si>
    <t>«Tablas oficiales» tiene cada valor oficial que usan las fórmulas, con el enlace a su fuente y la fecha en que lo verificamos. Los valores son los vigentes al 16/10/2026.</t>
  </si>
  <si>
    <t>Cuando cambia un valor oficial, actualizamos la planilla y el mismo enlace de descarga te baja la versión nueva.</t>
  </si>
  <si>
    <t>Da los mismos números que las calculadoras gratuitas de calcularya.com. Antes de publicar cada versión, una verificación automática recalcula este archivo y lo compara con ellas.</t>
  </si>
  <si>
    <t>Es una referencia de cálculo con sus fuentes, no asesoría legal. Tu contrato o tu empresa pueden darte más que el mínimo de ley.</t>
  </si>
  <si>
    <t>Las fechas van como dd/mm/aaaa. Si tu Excel está en inglés y las lee al revés, escríbelas como aaaa-mm-dd.</t>
  </si>
  <si>
    <t>Utilidades, vacaciones y bono vacacional</t>
  </si>
  <si>
    <t>Paso a paso</t>
  </si>
  <si>
    <t>TUS DATOS</t>
  </si>
  <si>
    <t>Salario diario (entre 30)</t>
  </si>
  <si>
    <t>En qué moneda está tu salario</t>
  </si>
  <si>
    <t>Dólares ($)</t>
  </si>
  <si>
    <t>Los montos salen en la misma moneda.</t>
  </si>
  <si>
    <t>Utilidades</t>
  </si>
  <si>
    <t>Salario mensual</t>
  </si>
  <si>
    <t>Solo la parte salarial. El cestaticket y el bono de guerra económica no cuentan.</t>
  </si>
  <si>
    <t>Salario diario (si cobras en bolívares)</t>
  </si>
  <si>
    <t>Salario diario (si cobras en dólares)</t>
  </si>
  <si>
    <t>UTILIDADES</t>
  </si>
  <si>
    <t>Utilidades (si cobras en bolívares)</t>
  </si>
  <si>
    <t>Días de utilidades que paga tu empresa al año</t>
  </si>
  <si>
    <t>Si no lo sabes, deja el mínimo de ley.</t>
  </si>
  <si>
    <t>Utilidades (si cobras en dólares)</t>
  </si>
  <si>
    <t>Meses completos trabajados en el año</t>
  </si>
  <si>
    <t>Días de vacaciones</t>
  </si>
  <si>
    <t>Días de utilidades que te tocan</t>
  </si>
  <si>
    <t>Días de bono vacacional</t>
  </si>
  <si>
    <t>Pago de vacaciones</t>
  </si>
  <si>
    <t>Bono vacacional</t>
  </si>
  <si>
    <t>Van de 30 a 120 días de salario por año. Si no trabajaste el año completo, cobras la parte de los meses completos.</t>
  </si>
  <si>
    <t>Pago de vacaciones (si cobras en bolívares)</t>
  </si>
  <si>
    <t>Pago de vacaciones (si cobras en dólares)</t>
  </si>
  <si>
    <t>VACACIONES Y BONO VACACIONAL</t>
  </si>
  <si>
    <t>Bono vacacional (si cobras en bolívares)</t>
  </si>
  <si>
    <t>Años de servicio que cumples con estas vacaciones</t>
  </si>
  <si>
    <t>Si es tu primer año completo, pon 1.</t>
  </si>
  <si>
    <t>Bono vacacional (si cobras en dólares)</t>
  </si>
  <si>
    <t>Días hábiles de vacaciones</t>
  </si>
  <si>
    <t>Vacaciones más bono (si cobras en bolívares)</t>
  </si>
  <si>
    <t>Vacaciones más bono (si cobras en dólares)</t>
  </si>
  <si>
    <t>Total</t>
  </si>
  <si>
    <t>15 días hábiles el primer año y uno más por año, hasta 15 adicionales. El bono vacacional va de 15 a 30 días.</t>
  </si>
  <si>
    <t>Prestaciones sociales y liquidación</t>
  </si>
  <si>
    <t>Tiempo trabajado: años completos</t>
  </si>
  <si>
    <t>Tiempo trabajado: último aniversario</t>
  </si>
  <si>
    <t>Último salario mensual</t>
  </si>
  <si>
    <t>Tiempo trabajado: meses</t>
  </si>
  <si>
    <t>Fecha de ingreso</t>
  </si>
  <si>
    <t>Tiempo trabajado: días</t>
  </si>
  <si>
    <t>Último día de trabajo</t>
  </si>
  <si>
    <t>Garantía de prestaciones depositada, sin intereses (opcional)</t>
  </si>
  <si>
    <t>Sale de tu fideicomiso o del informe trimestral de la empresa. Si lo dejas vacío, se estima con tu último salario.</t>
  </si>
  <si>
    <t>Prestaciones sociales</t>
  </si>
  <si>
    <t>Salario integral diario</t>
  </si>
  <si>
    <t>PRESTACIONES SOCIALES</t>
  </si>
  <si>
    <t>Meses trabajados</t>
  </si>
  <si>
    <t>Días de garantía</t>
  </si>
  <si>
    <t>Tiempo trabajado</t>
  </si>
  <si>
    <t>Días del cálculo retroactivo</t>
  </si>
  <si>
    <t>Cálculo retroactivo</t>
  </si>
  <si>
    <t>Garantía</t>
  </si>
  <si>
    <t>Prestaciones sociales (la mayor)</t>
  </si>
  <si>
    <t>Salario integral diario (si cobras en bolívares)</t>
  </si>
  <si>
    <t>Prestaciones sociales (la mayor de las dos)</t>
  </si>
  <si>
    <t>Salario integral diario (si cobras en dólares)</t>
  </si>
  <si>
    <t>Garantía (si cobras en bolívares)</t>
  </si>
  <si>
    <t>LIQUIDACIÓN COMPLETA</t>
  </si>
  <si>
    <t>Garantía (si cobras en dólares)</t>
  </si>
  <si>
    <t>Cómo terminó la relación de trabajo</t>
  </si>
  <si>
    <t>Despido sin causa justificada</t>
  </si>
  <si>
    <t>Despido sin causa justificada y sin pedir el reenganche.</t>
  </si>
  <si>
    <t>Retroactivo (si cobras en bolívares)</t>
  </si>
  <si>
    <t>Años de vacaciones vencidas que no disfrutaste ni te pagaron</t>
  </si>
  <si>
    <t>Retroactivo (si cobras en dólares)</t>
  </si>
  <si>
    <t>Prestaciones sociales (si cobras en bolívares)</t>
  </si>
  <si>
    <t>Prestaciones sociales (si cobras en dólares)</t>
  </si>
  <si>
    <t>Indemnización por despido</t>
  </si>
  <si>
    <t>Vacaciones y bono vacacional</t>
  </si>
  <si>
    <t>Liquidación</t>
  </si>
  <si>
    <t>Meses de utilidades</t>
  </si>
  <si>
    <t>Utilidades fraccionadas</t>
  </si>
  <si>
    <t>Días de vacaciones y bono a pagar</t>
  </si>
  <si>
    <t>Total de la liquidación</t>
  </si>
  <si>
    <t>Vacaciones y bono</t>
  </si>
  <si>
    <t>Ejercicio de utilidades: años completos</t>
  </si>
  <si>
    <t>La indemnización por despido es igual a tus prestaciones sociales (art. 92 de la LOTTT). Las utilidades se toman del año calendario. No incluye intereses de prestaciones ni salarios pendientes. Los montos van en la moneda de tu salario.</t>
  </si>
  <si>
    <t>Ejercicio de utilidades: último aniversario</t>
  </si>
  <si>
    <t>Ejercicio de utilidades: meses</t>
  </si>
  <si>
    <t>Ejercicio de utilidades: días</t>
  </si>
  <si>
    <t>Meses completos del ejercicio</t>
  </si>
  <si>
    <t>Indemnización (si cobras en bolívares)</t>
  </si>
  <si>
    <t>Indemnización (si cobras en dólares)</t>
  </si>
  <si>
    <t>Vacaciones (si cobras en bolívares)</t>
  </si>
  <si>
    <t>Vacaciones (si cobras en dólares)</t>
  </si>
  <si>
    <t>Total (si cobras en bolívares)</t>
  </si>
  <si>
    <t>Total (si cobras en dólares)</t>
  </si>
  <si>
    <t>Tablas oficiales de Venezuela</t>
  </si>
  <si>
    <t>Son los valores que usan las fórmulas de esta planilla, vigentes al 16/10/2026. Cada uno trae el enlace a la norma o al organismo que lo publica y la fecha en que lo verificamos.</t>
  </si>
  <si>
    <t>Dato</t>
  </si>
  <si>
    <t>Detalle</t>
  </si>
  <si>
    <t>Valor</t>
  </si>
  <si>
    <t>Unidad</t>
  </si>
  <si>
    <t>Vigente desde</t>
  </si>
  <si>
    <t>Fuente oficial</t>
  </si>
  <si>
    <t>Verificado el</t>
  </si>
  <si>
    <t>Días por los que se divide el salario mensual</t>
  </si>
  <si>
    <t/>
  </si>
  <si>
    <t>días</t>
  </si>
  <si>
    <t>15/3/2022</t>
  </si>
  <si>
    <t>https://www.presidencia.gob.ve/Site/Web/Principal/paginas/classMostrarEvento3.php?id_evento=20553</t>
  </si>
  <si>
    <t>7/10/2026</t>
  </si>
  <si>
    <t>Días hábiles de vacaciones al cumplir el primer año</t>
  </si>
  <si>
    <t>7/5/2012</t>
  </si>
  <si>
    <t>https://www.mpppst.gob.ve/mpppstweb/wp-content/uploads/2014/03/LEY_ORGANICA_DEL_TRABAJO_LOS_TRABAJADORES_Y_LAS_TRABAJADORAS.pdf</t>
  </si>
  <si>
    <t>Tope de días adicionales de vacaciones (uno por año)</t>
  </si>
  <si>
    <t>Bono vacacional: días mínimos de salario normal</t>
  </si>
  <si>
    <t>Bono vacacional: tope de días de salario normal</t>
  </si>
  <si>
    <t>Días adicionales de garantía por año, después del primero</t>
  </si>
  <si>
    <t>Tope de días adicionales de garantía por año</t>
  </si>
  <si>
    <t>Días de garantía de prestaciones por trimestre</t>
  </si>
  <si>
    <t>Días de prestaciones por mes si la relación dura menos de tres meses</t>
  </si>
  <si>
    <t>Días de prestaciones por año en el cálculo final (retroactivo)</t>
  </si>
  <si>
    <t>Utilidades: mínimo de días de salario por año</t>
  </si>
  <si>
    <t>Utilidades: máximo de días de salario por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</si>
</sst>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
    <numFmt numFmtId="165" formatCode="#,##0.##"/>
    <numFmt numFmtId="166" formatCode="dd/mm/yyyy"/>
  </numFmts>
  <fonts count="10" x14ac:knownFonts="1">
    <font>
      <color theme="1"/>
      <family val="2"/>
      <scheme val="minor"/>
      <sz val="11"/>
      <name val="Calibri"/>
    </font>
    <font>
      <b/>
      <color rgb="FFFFFFFF"/>
      <sz val="13"/>
    </font>
    <font>
      <b/>
      <color rgb="FFFFFFFF"/>
    </font>
    <font>
      <i/>
      <color rgb="FF777777"/>
      <sz val="9"/>
    </font>
    <font>
      <b/>
      <color rgb="FFFFFFFF"/>
      <sz val="11"/>
    </font>
    <font>
      <sz val="10"/>
    </font>
    <font>
      <b/>
    </font>
    <font>
      <b/>
      <color rgb="FF1B5E20"/>
      <sz val="10"/>
    </font>
    <font>
      <b/>
      <color rgb="FFB71C1C"/>
    </font>
    <font>
      <u/>
      <color rgb="FF1565C0"/>
    </font>
  </fonts>
  <fills count="11">
    <fill>
      <patternFill patternType="none"/>
    </fill>
    <fill>
      <patternFill patternType="gray125"/>
    </fill>
    <fill>
      <patternFill patternType="solid">
        <fgColor rgb="FFE65100"/>
      </patternFill>
    </fill>
    <fill>
      <patternFill patternType="solid">
        <fgColor rgb="FF1B5E20"/>
      </patternFill>
    </fill>
    <fill>
      <patternFill patternType="solid">
        <fgColor rgb="FFF5F5F5"/>
      </patternFill>
    </fill>
    <fill>
      <patternFill patternType="solid">
        <fgColor rgb="FFFFFFFF"/>
      </patternFill>
    </fill>
    <fill>
      <patternFill patternType="solid">
        <fgColor rgb="FFFFFDE7"/>
      </patternFill>
    </fill>
    <fill>
      <patternFill patternType="solid">
        <fgColor rgb="FFE8F5E9"/>
      </patternFill>
    </fill>
    <fill>
      <patternFill patternType="solid">
        <fgColor rgb="FFC8E6C9"/>
      </patternFill>
    </fill>
    <fill>
      <patternFill patternType="solid">
        <fgColor rgb="FF37474F"/>
      </patternFill>
    </fill>
    <fill>
      <patternFill patternType="solid">
        <fgColor rgb="FF546E7A"/>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center" wrapText="1" indent="1"/>
    </xf>
    <xf numFmtId="0" fontId="3" fillId="0" borderId="0" xfId="0" applyFont="1" applyAlignment="1">
      <alignment vertical="top" wrapText="1"/>
    </xf>
    <xf numFmtId="0" fontId="1" fillId="3" borderId="0" xfId="0" applyFont="1" applyFill="1" applyAlignment="1">
      <alignment horizontal="center" vertical="center"/>
    </xf>
    <xf numFmtId="0" fontId="4" fillId="3" borderId="0" xfId="0" applyFont="1" applyFill="1" applyAlignment="1">
      <alignment horizontal="left" indent="1"/>
    </xf>
    <xf numFmtId="0" fontId="5" fillId="4" borderId="1" xfId="0" applyFont="1" applyFill="1" applyBorder="1" applyAlignment="1">
      <alignment horizontal="left" wrapText="1" indent="1"/>
    </xf>
    <xf numFmtId="164" fontId="5" fillId="5" borderId="1" xfId="0" applyNumberFormat="1" applyFont="1" applyFill="1" applyBorder="1" applyAlignment="1">
      <alignment horizontal="right"/>
    </xf>
    <xf numFmtId="0" fontId="0" fillId="4" borderId="1" xfId="0" applyFill="1" applyBorder="1" applyAlignment="1">
      <alignment horizontal="left" vertical="center" wrapText="1" indent="1"/>
    </xf>
    <xf numFmtId="0" fontId="6" fillId="6" borderId="1" xfId="0" applyFont="1" applyFill="1" applyBorder="1" applyAlignment="1">
      <alignment horizontal="left" indent="1"/>
    </xf>
    <xf numFmtId="0" fontId="3" fillId="0" borderId="0" xfId="0" applyFont="1" applyAlignment="1">
      <alignment vertical="center" wrapText="1"/>
    </xf>
    <xf numFmtId="164" fontId="6" fillId="6" borderId="1" xfId="0" applyNumberFormat="1" applyFont="1" applyFill="1" applyBorder="1" applyAlignment="1">
      <alignment horizontal="right"/>
    </xf>
    <xf numFmtId="165" fontId="6" fillId="6" borderId="1" xfId="0" applyNumberFormat="1" applyFont="1" applyFill="1" applyBorder="1" applyAlignment="1">
      <alignment horizontal="right"/>
    </xf>
    <xf numFmtId="165" fontId="5" fillId="5" borderId="1" xfId="0" applyNumberFormat="1" applyFont="1" applyFill="1" applyBorder="1" applyAlignment="1">
      <alignment horizontal="right"/>
    </xf>
    <xf numFmtId="0" fontId="0" fillId="7" borderId="1" xfId="0" applyFill="1" applyBorder="1" applyAlignment="1">
      <alignment horizontal="left" wrapText="1" indent="1"/>
    </xf>
    <xf numFmtId="164" fontId="0" fillId="7" borderId="1" xfId="0" applyNumberFormat="1" applyFill="1" applyBorder="1" applyAlignment="1">
      <alignment horizontal="right"/>
    </xf>
    <xf numFmtId="0" fontId="6" fillId="8" borderId="1" xfId="0" applyFont="1" applyFill="1" applyBorder="1" applyAlignment="1">
      <alignment horizontal="left" wrapText="1" indent="1"/>
    </xf>
    <xf numFmtId="164" fontId="6" fillId="8" borderId="1" xfId="0" applyNumberFormat="1" applyFont="1" applyFill="1" applyBorder="1" applyAlignment="1">
      <alignment horizontal="right"/>
    </xf>
    <xf numFmtId="165" fontId="0" fillId="7" borderId="1" xfId="0" applyNumberFormat="1" applyFill="1" applyBorder="1" applyAlignment="1">
      <alignment horizontal="right"/>
    </xf>
    <xf numFmtId="166" fontId="5" fillId="5" borderId="1" xfId="0" applyNumberFormat="1" applyFont="1" applyFill="1" applyBorder="1" applyAlignment="1">
      <alignment horizontal="right"/>
    </xf>
    <xf numFmtId="166" fontId="6" fillId="6" borderId="1" xfId="0" applyNumberFormat="1" applyFont="1" applyFill="1" applyBorder="1" applyAlignment="1">
      <alignment horizontal="right"/>
    </xf>
    <xf numFmtId="0" fontId="7" fillId="0" borderId="0" xfId="0" applyFont="1"/>
    <xf numFmtId="0" fontId="8" fillId="0" borderId="0" xfId="0" applyFont="1" applyAlignment="1">
      <alignment wrapText="1"/>
    </xf>
    <xf numFmtId="0" fontId="0" fillId="7" borderId="1" xfId="0" applyFill="1" applyBorder="1" applyAlignment="1">
      <alignment horizontal="right"/>
    </xf>
    <xf numFmtId="0" fontId="1" fillId="9" borderId="0" xfId="0" applyFont="1" applyFill="1" applyAlignment="1">
      <alignment horizontal="center" vertical="center"/>
    </xf>
    <xf numFmtId="0" fontId="2" fillId="10" borderId="1" xfId="0" applyFont="1" applyFill="1" applyBorder="1"/>
    <xf numFmtId="0" fontId="0" fillId="5" borderId="1" xfId="0" applyFill="1" applyBorder="1" applyAlignment="1">
      <alignment vertical="top" wrapText="1"/>
    </xf>
    <xf numFmtId="164" fontId="0" fillId="5" borderId="1" xfId="0" applyNumberFormat="1" applyFill="1" applyBorder="1" applyAlignment="1">
      <alignment vertical="top"/>
    </xf>
    <xf numFmtId="0" fontId="9" fillId="5" borderId="1" xfId="0" applyFont="1" applyFill="1" applyBorder="1" applyAlignment="1">
      <alignment vertical="top" wrapText="1"/>
    </xf>
    <xf numFmtId="0" fontId="0" fillId="4" borderId="1" xfId="0" applyFill="1" applyBorder="1" applyAlignment="1">
      <alignment vertical="top" wrapText="1"/>
    </xf>
    <xf numFmtId="164" fontId="0" fillId="4" borderId="1" xfId="0" applyNumberFormat="1" applyFill="1" applyBorder="1" applyAlignment="1">
      <alignment vertical="top"/>
    </xf>
    <xf numFmtId="0" fontId="9"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presidencia.gob.ve/Site/Web/Principal/paginas/classMostrarEvento3.php?id_evento=20553" TargetMode="External"/><Relationship Id="rId2" Type="http://schemas.openxmlformats.org/officeDocument/2006/relationships/hyperlink" Target="https://www.mpppst.gob.ve/mpppstweb/wp-content/uploads/2014/03/LEY_ORGANICA_DEL_TRABAJO_LOS_TRABAJADORES_Y_LAS_TRABAJADORAS.pdf" TargetMode="External"/><Relationship Id="rId3" Type="http://schemas.openxmlformats.org/officeDocument/2006/relationships/hyperlink" Target="https://www.mpppst.gob.ve/mpppstweb/wp-content/uploads/2014/03/LEY_ORGANICA_DEL_TRABAJO_LOS_TRABAJADORES_Y_LAS_TRABAJADORAS.pdf" TargetMode="External"/><Relationship Id="rId4" Type="http://schemas.openxmlformats.org/officeDocument/2006/relationships/hyperlink" Target="https://www.mpppst.gob.ve/mpppstweb/wp-content/uploads/2014/03/LEY_ORGANICA_DEL_TRABAJO_LOS_TRABAJADORES_Y_LAS_TRABAJADORAS.pdf" TargetMode="External"/><Relationship Id="rId5" Type="http://schemas.openxmlformats.org/officeDocument/2006/relationships/hyperlink" Target="https://www.mpppst.gob.ve/mpppstweb/wp-content/uploads/2014/03/LEY_ORGANICA_DEL_TRABAJO_LOS_TRABAJADORES_Y_LAS_TRABAJADORAS.pdf" TargetMode="External"/><Relationship Id="rId6" Type="http://schemas.openxmlformats.org/officeDocument/2006/relationships/hyperlink" Target="https://www.mpppst.gob.ve/mpppstweb/wp-content/uploads/2014/03/LEY_ORGANICA_DEL_TRABAJO_LOS_TRABAJADORES_Y_LAS_TRABAJADORAS.pdf" TargetMode="External"/><Relationship Id="rId7" Type="http://schemas.openxmlformats.org/officeDocument/2006/relationships/hyperlink" Target="https://www.mpppst.gob.ve/mpppstweb/wp-content/uploads/2014/03/LEY_ORGANICA_DEL_TRABAJO_LOS_TRABAJADORES_Y_LAS_TRABAJADORAS.pdf" TargetMode="External"/><Relationship Id="rId8" Type="http://schemas.openxmlformats.org/officeDocument/2006/relationships/hyperlink" Target="https://www.mpppst.gob.ve/mpppstweb/wp-content/uploads/2014/03/LEY_ORGANICA_DEL_TRABAJO_LOS_TRABAJADORES_Y_LAS_TRABAJADORAS.pdf" TargetMode="External"/><Relationship Id="rId9" Type="http://schemas.openxmlformats.org/officeDocument/2006/relationships/hyperlink" Target="https://www.mpppst.gob.ve/mpppstweb/wp-content/uploads/2014/03/LEY_ORGANICA_DEL_TRABAJO_LOS_TRABAJADORES_Y_LAS_TRABAJADORAS.pdf" TargetMode="External"/><Relationship Id="rId10" Type="http://schemas.openxmlformats.org/officeDocument/2006/relationships/hyperlink" Target="https://www.mpppst.gob.ve/mpppstweb/wp-content/uploads/2014/03/LEY_ORGANICA_DEL_TRABAJO_LOS_TRABAJADORES_Y_LAS_TRABAJADORAS.pdf" TargetMode="External"/><Relationship Id="rId11" Type="http://schemas.openxmlformats.org/officeDocument/2006/relationships/hyperlink" Target="https://www.mpppst.gob.ve/mpppstweb/wp-content/uploads/2014/03/LEY_ORGANICA_DEL_TRABAJO_LOS_TRABAJADORES_Y_LAS_TRABAJADORAS.pdf" TargetMode="External"/><Relationship Id="rId12" Type="http://schemas.openxmlformats.org/officeDocument/2006/relationships/hyperlink" Target="https://www.mpppst.gob.ve/mpppstweb/wp-content/uploads/2014/03/LEY_ORGANICA_DEL_TRABAJO_LOS_TRABAJADORES_Y_LAS_TRABAJADORA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5100"/>
  </sheetPr>
  <dimension ref="A1:B11"/>
  <sheetFormatPr defaultRowHeight="15" outlineLevelRow="0" outlineLevelCol="0" x14ac:dyDescent="55"/>
  <cols>
    <col min="1" max="1" width="4" customWidth="1"/>
    <col min="2" max="2" width="110" customWidth="1"/>
  </cols>
  <sheetData>
    <row r="1" ht="28" customHeight="1" spans="1:2" x14ac:dyDescent="0.25">
      <c r="A1" s="1" t="s">
        <v>0</v>
      </c>
      <c r="B1" s="1"/>
    </row>
    <row r="3" ht="34" customHeight="1" spans="1:2" x14ac:dyDescent="0.25">
      <c r="A3" s="2">
        <v>1</v>
      </c>
      <c r="B3" s="3" t="s">
        <v>1</v>
      </c>
    </row>
    <row r="4" ht="20" customHeight="1" spans="1:2" x14ac:dyDescent="0.25">
      <c r="A4" s="2">
        <v>2</v>
      </c>
      <c r="B4" s="3" t="s">
        <v>2</v>
      </c>
    </row>
    <row r="5" ht="34" customHeight="1" spans="1:2" x14ac:dyDescent="0.25">
      <c r="A5" s="2">
        <v>3</v>
      </c>
      <c r="B5" s="3" t="s">
        <v>3</v>
      </c>
    </row>
    <row r="6" ht="34" customHeight="1" spans="1:2" x14ac:dyDescent="0.25">
      <c r="A6" s="2">
        <v>4</v>
      </c>
      <c r="B6" s="3" t="s">
        <v>4</v>
      </c>
    </row>
    <row r="7" ht="34" customHeight="1" spans="1:2" x14ac:dyDescent="0.25">
      <c r="A7" s="2">
        <v>5</v>
      </c>
      <c r="B7" s="3" t="s">
        <v>5</v>
      </c>
    </row>
    <row r="9" ht="30" customHeight="1" spans="1:2" x14ac:dyDescent="0.25">
      <c r="A9" s="4" t="s">
        <v>6</v>
      </c>
      <c r="B9" s="4"/>
    </row>
    <row r="10" ht="30" customHeight="1" spans="1:2" x14ac:dyDescent="0.25">
      <c r="A10" s="4" t="s">
        <v>7</v>
      </c>
      <c r="B10" s="4"/>
    </row>
    <row r="11" ht="18" customHeight="1" spans="1:2" x14ac:dyDescent="0.25">
      <c r="A11" s="4" t="s">
        <v>8</v>
      </c>
      <c r="B11" s="4"/>
    </row>
  </sheetData>
  <mergeCells count="4">
    <mergeCell ref="A1:B1"/>
    <mergeCell ref="A9:B9"/>
    <mergeCell ref="A10:B10"/>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24"/>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9</v>
      </c>
      <c r="B1" s="5"/>
      <c r="C1" s="5"/>
    </row>
    <row r="3" spans="5:6" x14ac:dyDescent="0.25">
      <c r="E3" s="6" t="s">
        <v>10</v>
      </c>
      <c r="F3" s="6"/>
    </row>
    <row r="4" spans="1:6" x14ac:dyDescent="0.25">
      <c r="A4" s="6" t="s">
        <v>11</v>
      </c>
      <c r="B4" s="6"/>
      <c r="C4" s="6"/>
      <c r="E4" s="7" t="s">
        <v>12</v>
      </c>
      <c r="F4" s="8">
        <f>B6/'Tablas oficiales'!$C$4</f>
      </c>
    </row>
    <row r="5" spans="1:6" x14ac:dyDescent="0.25">
      <c r="A5" s="9" t="s">
        <v>13</v>
      </c>
      <c r="B5" s="10" t="s">
        <v>14</v>
      </c>
      <c r="C5" s="11" t="s">
        <v>15</v>
      </c>
      <c r="E5" s="7" t="s">
        <v>16</v>
      </c>
      <c r="F5" s="8">
        <f>ROUND(B9*B10*F4/12,2)</f>
      </c>
    </row>
    <row r="6" ht="30" customHeight="1" spans="1:6" x14ac:dyDescent="0.25">
      <c r="A6" s="9" t="s">
        <v>17</v>
      </c>
      <c r="B6" s="12">
        <v>200</v>
      </c>
      <c r="C6" s="11" t="s">
        <v>18</v>
      </c>
      <c r="E6" s="7" t="s">
        <v>19</v>
      </c>
      <c r="F6" s="8">
        <f>IF(B5="Bolívares (Bs.)",ROUND(F4,2),"")</f>
      </c>
    </row>
    <row r="7" spans="5:6" x14ac:dyDescent="0.25">
      <c r="E7" s="7" t="s">
        <v>20</v>
      </c>
      <c r="F7" s="8">
        <f>IF(B5="Bolívares (Bs.)","",ROUND(F4,2))</f>
      </c>
    </row>
    <row r="8" spans="1:6" x14ac:dyDescent="0.25">
      <c r="A8" s="6" t="s">
        <v>21</v>
      </c>
      <c r="B8" s="6"/>
      <c r="C8" s="6"/>
      <c r="E8" s="7" t="s">
        <v>22</v>
      </c>
      <c r="F8" s="8">
        <f>IF(B5="Bolívares (Bs.)",F5,"")</f>
      </c>
    </row>
    <row r="9" spans="1:6" x14ac:dyDescent="0.25">
      <c r="A9" s="9" t="s">
        <v>23</v>
      </c>
      <c r="B9" s="13">
        <v>30</v>
      </c>
      <c r="C9" s="11" t="s">
        <v>24</v>
      </c>
      <c r="E9" s="7" t="s">
        <v>25</v>
      </c>
      <c r="F9" s="8">
        <f>IF(B5="Bolívares (Bs.)","",F5)</f>
      </c>
    </row>
    <row r="10" spans="1:6" x14ac:dyDescent="0.25">
      <c r="A10" s="9" t="s">
        <v>26</v>
      </c>
      <c r="B10" s="13">
        <v>12</v>
      </c>
      <c r="E10" s="7" t="s">
        <v>27</v>
      </c>
      <c r="F10" s="14">
        <f>('Tablas oficiales'!$C$5+MIN(MAX(0,B17-1),'Tablas oficiales'!$C$6))</f>
      </c>
    </row>
    <row r="11" spans="1:6" x14ac:dyDescent="0.25">
      <c r="A11" s="15" t="s">
        <v>28</v>
      </c>
      <c r="B11" s="16">
        <f>ROUND(B9*B10/12,2)</f>
      </c>
      <c r="E11" s="7" t="s">
        <v>29</v>
      </c>
      <c r="F11" s="14">
        <f>MIN('Tablas oficiales'!$C$7+MAX(0,B17-1),'Tablas oficiales'!$C$8)</f>
      </c>
    </row>
    <row r="12" spans="1:6" x14ac:dyDescent="0.25">
      <c r="A12" s="17" t="s">
        <v>16</v>
      </c>
      <c r="B12" s="18">
        <f>F5</f>
      </c>
      <c r="E12" s="7" t="s">
        <v>30</v>
      </c>
      <c r="F12" s="8">
        <f>ROUND(F10*F4,2)</f>
      </c>
    </row>
    <row r="13" spans="5:6" x14ac:dyDescent="0.25">
      <c r="E13" s="7" t="s">
        <v>31</v>
      </c>
      <c r="F13" s="8">
        <f>ROUND(F11*F4,2)</f>
      </c>
    </row>
    <row r="14" ht="36" customHeight="1" spans="1:6" x14ac:dyDescent="0.25">
      <c r="A14" s="4" t="s">
        <v>32</v>
      </c>
      <c r="B14" s="4"/>
      <c r="C14" s="4"/>
      <c r="E14" s="7" t="s">
        <v>33</v>
      </c>
      <c r="F14" s="8">
        <f>IF(B5="Bolívares (Bs.)",F12,"")</f>
      </c>
    </row>
    <row r="15" spans="5:6" x14ac:dyDescent="0.25">
      <c r="E15" s="7" t="s">
        <v>34</v>
      </c>
      <c r="F15" s="8">
        <f>IF(B5="Bolívares (Bs.)","",F12)</f>
      </c>
    </row>
    <row r="16" spans="1:6" x14ac:dyDescent="0.25">
      <c r="A16" s="6" t="s">
        <v>35</v>
      </c>
      <c r="B16" s="6"/>
      <c r="C16" s="6"/>
      <c r="E16" s="7" t="s">
        <v>36</v>
      </c>
      <c r="F16" s="8">
        <f>IF(B5="Bolívares (Bs.)",F13,"")</f>
      </c>
    </row>
    <row r="17" spans="1:6" x14ac:dyDescent="0.25">
      <c r="A17" s="9" t="s">
        <v>37</v>
      </c>
      <c r="B17" s="13">
        <v>1</v>
      </c>
      <c r="C17" s="11" t="s">
        <v>38</v>
      </c>
      <c r="E17" s="7" t="s">
        <v>39</v>
      </c>
      <c r="F17" s="8">
        <f>IF(B5="Bolívares (Bs.)","",F13)</f>
      </c>
    </row>
    <row r="18" spans="1:6" x14ac:dyDescent="0.25">
      <c r="A18" s="15" t="s">
        <v>40</v>
      </c>
      <c r="B18" s="19">
        <f>F10</f>
      </c>
      <c r="E18" s="7" t="s">
        <v>41</v>
      </c>
      <c r="F18" s="8">
        <f>IF(B5="Bolívares (Bs.)",ROUND(F12+F13,2),"")</f>
      </c>
    </row>
    <row r="19" spans="1:6" x14ac:dyDescent="0.25">
      <c r="A19" s="15" t="s">
        <v>29</v>
      </c>
      <c r="B19" s="19">
        <f>F11</f>
      </c>
      <c r="E19" s="7" t="s">
        <v>42</v>
      </c>
      <c r="F19" s="8">
        <f>IF(B5="Bolívares (Bs.)","",ROUND(F12+F13,2))</f>
      </c>
    </row>
    <row r="20" spans="1:2" x14ac:dyDescent="0.25">
      <c r="A20" s="15" t="s">
        <v>30</v>
      </c>
      <c r="B20" s="16">
        <f>F12</f>
      </c>
    </row>
    <row r="21" spans="1:2" x14ac:dyDescent="0.25">
      <c r="A21" s="15" t="s">
        <v>31</v>
      </c>
      <c r="B21" s="16">
        <f>F13</f>
      </c>
    </row>
    <row r="22" spans="1:2" x14ac:dyDescent="0.25">
      <c r="A22" s="17" t="s">
        <v>43</v>
      </c>
      <c r="B22" s="18">
        <f>ROUND(F12+F13,2)</f>
      </c>
    </row>
    <row r="24" ht="21" customHeight="1" spans="1:3" x14ac:dyDescent="0.25">
      <c r="A24" s="4" t="s">
        <v>44</v>
      </c>
      <c r="B24" s="4"/>
      <c r="C24" s="4"/>
    </row>
  </sheetData>
  <mergeCells count="7">
    <mergeCell ref="A1:C1"/>
    <mergeCell ref="E3:F3"/>
    <mergeCell ref="A4:C4"/>
    <mergeCell ref="A8:C8"/>
    <mergeCell ref="A14:C14"/>
    <mergeCell ref="A16:C16"/>
    <mergeCell ref="A24:C24"/>
  </mergeCells>
  <dataValidations count="5">
    <dataValidation type="whole" allowBlank="1" showErrorMessage="1" error="Escribe un número entre 0 y 12." sqref="B10">
      <formula1>0</formula1>
      <formula2>12</formula2>
    </dataValidation>
    <dataValidation type="whole" allowBlank="1" showErrorMessage="1" error="Escribe un número entre 1 y 60." sqref="B17">
      <formula1>1</formula1>
      <formula2>60</formula2>
    </dataValidation>
    <dataValidation type="list" showErrorMessage="1" error="Elige una opción de la lista." sqref="B5">
      <formula1>"Bolívares (Bs.),Dólares ($)"</formula1>
    </dataValidation>
    <dataValidation type="decimal" allowBlank="1" showErrorMessage="1" error="Escribe un número mayor o igual a 0." sqref="B6">
      <formula1>0</formula1>
      <formula2>1000000000000</formula2>
    </dataValidation>
    <dataValidation type="whole" allowBlank="1" showErrorMessage="1" error="Escribe un número entre 30 y 120." sqref="B9">
      <formula1>30</formula1>
      <formula2>120</formula2>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46"/>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45</v>
      </c>
      <c r="B1" s="5"/>
      <c r="C1" s="5"/>
    </row>
    <row r="3" spans="5:6" x14ac:dyDescent="0.25">
      <c r="E3" s="6" t="s">
        <v>10</v>
      </c>
      <c r="F3" s="6"/>
    </row>
    <row r="4" spans="1:6" x14ac:dyDescent="0.25">
      <c r="A4" s="6" t="s">
        <v>11</v>
      </c>
      <c r="B4" s="6"/>
      <c r="C4" s="6"/>
      <c r="E4" s="7" t="s">
        <v>46</v>
      </c>
      <c r="F4" s="14">
        <f>IF(EDATE(B7,12*(YEAR((B8+1))-YEAR(B7)))&gt;(B8+1),(YEAR((B8+1))-YEAR(B7))-1,(YEAR((B8+1))-YEAR(B7)))</f>
      </c>
    </row>
    <row r="5" spans="1:6" x14ac:dyDescent="0.25">
      <c r="A5" s="9" t="s">
        <v>13</v>
      </c>
      <c r="B5" s="10" t="s">
        <v>14</v>
      </c>
      <c r="C5" s="11" t="s">
        <v>15</v>
      </c>
      <c r="E5" s="7" t="s">
        <v>47</v>
      </c>
      <c r="F5" s="20">
        <f>EDATE(B7,12*F4)</f>
      </c>
    </row>
    <row r="6" ht="30" customHeight="1" spans="1:6" x14ac:dyDescent="0.25">
      <c r="A6" s="9" t="s">
        <v>48</v>
      </c>
      <c r="B6" s="12">
        <v>200</v>
      </c>
      <c r="C6" s="11" t="s">
        <v>18</v>
      </c>
      <c r="E6" s="7" t="s">
        <v>49</v>
      </c>
      <c r="F6" s="14">
        <f>MIN(12,IF(EDATE(F5,((YEAR((B8+1))-YEAR(F5))*12+MONTH((B8+1))-MONTH(F5)))&gt;(B8+1),((YEAR((B8+1))-YEAR(F5))*12+MONTH((B8+1))-MONTH(F5))-1,((YEAR((B8+1))-YEAR(F5))*12+MONTH((B8+1))-MONTH(F5))))</f>
      </c>
    </row>
    <row r="7" spans="1:6" x14ac:dyDescent="0.25">
      <c r="A7" s="9" t="s">
        <v>50</v>
      </c>
      <c r="B7" s="21">
        <v>44256</v>
      </c>
      <c r="E7" s="7" t="s">
        <v>51</v>
      </c>
      <c r="F7" s="14">
        <f>(B8+1)-EDATE(F5,F6)</f>
      </c>
    </row>
    <row r="8" spans="1:6" x14ac:dyDescent="0.25">
      <c r="A8" s="9" t="s">
        <v>52</v>
      </c>
      <c r="B8" s="21">
        <v>46311</v>
      </c>
      <c r="E8" s="7" t="s">
        <v>12</v>
      </c>
      <c r="F8" s="8">
        <f>B6/'Tablas oficiales'!$C$4</f>
      </c>
    </row>
    <row r="9" spans="1:3" x14ac:dyDescent="0.25">
      <c r="A9" s="9" t="s">
        <v>23</v>
      </c>
      <c r="B9" s="13">
        <v>30</v>
      </c>
      <c r="C9" s="11" t="s">
        <v>24</v>
      </c>
    </row>
    <row r="10" ht="30" customHeight="1" spans="1:5" x14ac:dyDescent="0.25">
      <c r="A10" s="9" t="s">
        <v>53</v>
      </c>
      <c r="B10" s="12"/>
      <c r="C10" s="11" t="s">
        <v>54</v>
      </c>
      <c r="E10" s="22" t="s">
        <v>55</v>
      </c>
    </row>
    <row r="11" spans="5:6" x14ac:dyDescent="0.25">
      <c r="E11" s="7" t="s">
        <v>56</v>
      </c>
      <c r="F11" s="8">
        <f>ROUND(F8+F8*B9/360+F8*MIN('Tablas oficiales'!$C$7+MAX(0,(F4+1)-1),'Tablas oficiales'!$C$8)/360,2)</f>
      </c>
    </row>
    <row r="12" spans="1:6" x14ac:dyDescent="0.25">
      <c r="A12" s="6" t="s">
        <v>57</v>
      </c>
      <c r="B12" s="6"/>
      <c r="C12" s="6"/>
      <c r="E12" s="7" t="s">
        <v>58</v>
      </c>
      <c r="F12" s="14">
        <f>F4*12+F6</f>
      </c>
    </row>
    <row r="13" spans="1:6" x14ac:dyDescent="0.25">
      <c r="A13" s="23">
        <f>IF(B8&lt;B7,"La fecha de salida tiene que ser igual o posterior a la de ingreso.","")&amp;IF(OR(B9&lt;'Tablas oficiales'!$C$14,B9&gt;'Tablas oficiales'!$C$15),"Las utilidades van de 30 a 120 días por año.","")</f>
      </c>
      <c r="B13" s="23"/>
      <c r="C13" s="23"/>
      <c r="E13" s="7" t="s">
        <v>59</v>
      </c>
      <c r="F13" s="14">
        <f>IF(F12&lt;3,0,(INT(F12/3)+IF(OR(MOD(F12,3)&gt;0,F7&gt;0),1,0))*'Tablas oficiales'!$C$11+('Tablas oficiales'!$C$9*MIN(MAX(0,F4-1),INT('Tablas oficiales'!$C$10/'Tablas oficiales'!$C$9))*(MIN(MAX(0,F4-1),INT('Tablas oficiales'!$C$10/'Tablas oficiales'!$C$9))+1)/2+'Tablas oficiales'!$C$10*MAX(0,MAX(0,F4-1)-MIN(MAX(0,F4-1),INT('Tablas oficiales'!$C$10/'Tablas oficiales'!$C$9)))))</f>
      </c>
    </row>
    <row r="14" spans="1:6" x14ac:dyDescent="0.25">
      <c r="A14" s="15" t="s">
        <v>60</v>
      </c>
      <c r="B14" s="24">
        <f>F4&amp;" años, "&amp;F6&amp;" meses y "&amp;F7&amp;" días"</f>
      </c>
      <c r="E14" s="7" t="s">
        <v>61</v>
      </c>
      <c r="F14" s="14">
        <f>IF(F12&lt;3,MAX(1,F6+IF(F7&gt;0,1,0))*'Tablas oficiales'!$C$12,(F4+IF(OR(F6&gt;6,AND(F6=6,F7&gt;0)),1,0))*'Tablas oficiales'!$C$13)</f>
      </c>
    </row>
    <row r="15" spans="1:6" x14ac:dyDescent="0.25">
      <c r="A15" s="15" t="s">
        <v>59</v>
      </c>
      <c r="B15" s="19">
        <f>F13</f>
      </c>
      <c r="E15" s="7" t="s">
        <v>62</v>
      </c>
      <c r="F15" s="8">
        <f>ROUND(F14*F11,2)</f>
      </c>
    </row>
    <row r="16" spans="1:6" x14ac:dyDescent="0.25">
      <c r="A16" s="15" t="s">
        <v>61</v>
      </c>
      <c r="B16" s="19">
        <f>F14</f>
      </c>
      <c r="E16" s="7" t="s">
        <v>63</v>
      </c>
      <c r="F16" s="8">
        <f>IF(F12&lt;3,0,IF(ISNUMBER(B10),B10,ROUND(F13*F11,2)))</f>
      </c>
    </row>
    <row r="17" spans="1:6" x14ac:dyDescent="0.25">
      <c r="A17" s="15" t="s">
        <v>63</v>
      </c>
      <c r="B17" s="16">
        <f>IF(F12&lt;3,"",F16)</f>
      </c>
      <c r="E17" s="7" t="s">
        <v>64</v>
      </c>
      <c r="F17" s="8">
        <f>MAX(F16,F15)</f>
      </c>
    </row>
    <row r="18" spans="1:6" x14ac:dyDescent="0.25">
      <c r="A18" s="15" t="s">
        <v>62</v>
      </c>
      <c r="B18" s="16">
        <f>F15</f>
      </c>
      <c r="E18" s="7" t="s">
        <v>65</v>
      </c>
      <c r="F18" s="8">
        <f>IF(B5="Bolívares (Bs.)",F11,"")</f>
      </c>
    </row>
    <row r="19" spans="1:6" x14ac:dyDescent="0.25">
      <c r="A19" s="17" t="s">
        <v>66</v>
      </c>
      <c r="B19" s="18">
        <f>F17</f>
      </c>
      <c r="E19" s="7" t="s">
        <v>67</v>
      </c>
      <c r="F19" s="8">
        <f>IF(B5="Bolívares (Bs.)","",F11)</f>
      </c>
    </row>
    <row r="20" spans="5:6" x14ac:dyDescent="0.25">
      <c r="E20" s="7" t="s">
        <v>68</v>
      </c>
      <c r="F20" s="8">
        <f>IF(B5="Bolívares (Bs.)",IF(F12&lt;3,"",F16),"")</f>
      </c>
    </row>
    <row r="21" spans="1:6" x14ac:dyDescent="0.25">
      <c r="A21" s="6" t="s">
        <v>69</v>
      </c>
      <c r="B21" s="6"/>
      <c r="C21" s="6"/>
      <c r="E21" s="7" t="s">
        <v>70</v>
      </c>
      <c r="F21" s="8">
        <f>IF(B5="Bolívares (Bs.)","",IF(F12&lt;3,"",F16))</f>
      </c>
    </row>
    <row r="22" spans="1:6" x14ac:dyDescent="0.25">
      <c r="A22" s="9" t="s">
        <v>71</v>
      </c>
      <c r="B22" s="10" t="s">
        <v>72</v>
      </c>
      <c r="C22" s="11" t="s">
        <v>73</v>
      </c>
      <c r="E22" s="7" t="s">
        <v>74</v>
      </c>
      <c r="F22" s="8">
        <f>IF(B5="Bolívares (Bs.)",F15,"")</f>
      </c>
    </row>
    <row r="23" spans="1:6" x14ac:dyDescent="0.25">
      <c r="A23" s="9" t="s">
        <v>75</v>
      </c>
      <c r="B23" s="13">
        <v>0</v>
      </c>
      <c r="E23" s="7" t="s">
        <v>76</v>
      </c>
      <c r="F23" s="8">
        <f>IF(B5="Bolívares (Bs.)","",F15)</f>
      </c>
    </row>
    <row r="24" spans="1:6" x14ac:dyDescent="0.25">
      <c r="A24" s="23">
        <f>IF(B23&gt;F4,"No puedes tener más años de vacaciones vencidas que años trabajados.","")</f>
      </c>
      <c r="B24" s="23"/>
      <c r="C24" s="23"/>
      <c r="E24" s="7" t="s">
        <v>77</v>
      </c>
      <c r="F24" s="8">
        <f>IF(B5="Bolívares (Bs.)",F17,"")</f>
      </c>
    </row>
    <row r="25" spans="1:6" x14ac:dyDescent="0.25">
      <c r="A25" s="15" t="s">
        <v>55</v>
      </c>
      <c r="B25" s="16">
        <f>F17</f>
      </c>
      <c r="E25" s="7" t="s">
        <v>78</v>
      </c>
      <c r="F25" s="8">
        <f>IF(B5="Bolívares (Bs.)","",F17)</f>
      </c>
    </row>
    <row r="26" spans="1:2" x14ac:dyDescent="0.25">
      <c r="A26" s="15" t="s">
        <v>79</v>
      </c>
      <c r="B26" s="16">
        <f>F28</f>
      </c>
    </row>
    <row r="27" spans="1:5" x14ac:dyDescent="0.25">
      <c r="A27" s="15" t="s">
        <v>80</v>
      </c>
      <c r="B27" s="16">
        <f>F30</f>
      </c>
      <c r="E27" s="22" t="s">
        <v>81</v>
      </c>
    </row>
    <row r="28" spans="1:6" x14ac:dyDescent="0.25">
      <c r="A28" s="15" t="s">
        <v>82</v>
      </c>
      <c r="B28" s="19">
        <f>F35</f>
      </c>
      <c r="E28" s="7" t="s">
        <v>79</v>
      </c>
      <c r="F28" s="8">
        <f>IF(B22="Despido sin causa justificada",F17,0)</f>
      </c>
    </row>
    <row r="29" spans="1:6" x14ac:dyDescent="0.25">
      <c r="A29" s="15" t="s">
        <v>83</v>
      </c>
      <c r="B29" s="16">
        <f>F36</f>
      </c>
      <c r="E29" s="7" t="s">
        <v>84</v>
      </c>
      <c r="F29" s="8">
        <f>(('Tablas oficiales'!$C$5+MIN(MAX(0,(F4+1)-1),'Tablas oficiales'!$C$6))+MIN('Tablas oficiales'!$C$7+MAX(0,(F4+1)-1),'Tablas oficiales'!$C$8))*F6/12+IF(0&lt;B23,('Tablas oficiales'!$C$5+MIN(MAX(0,(F4-0)-1),'Tablas oficiales'!$C$6))+MIN('Tablas oficiales'!$C$7+MAX(0,(F4-0)-1),'Tablas oficiales'!$C$8),0)+IF(1&lt;B23,('Tablas oficiales'!$C$5+MIN(MAX(0,(F4-1)-1),'Tablas oficiales'!$C$6))+MIN('Tablas oficiales'!$C$7+MAX(0,(F4-1)-1),'Tablas oficiales'!$C$8),0)+IF(2&lt;B23,('Tablas oficiales'!$C$5+MIN(MAX(0,(F4-2)-1),'Tablas oficiales'!$C$6))+MIN('Tablas oficiales'!$C$7+MAX(0,(F4-2)-1),'Tablas oficiales'!$C$8),0)+IF(3&lt;B23,('Tablas oficiales'!$C$5+MIN(MAX(0,(F4-3)-1),'Tablas oficiales'!$C$6))+MIN('Tablas oficiales'!$C$7+MAX(0,(F4-3)-1),'Tablas oficiales'!$C$8),0)+IF(4&lt;B23,('Tablas oficiales'!$C$5+MIN(MAX(0,(F4-4)-1),'Tablas oficiales'!$C$6))+MIN('Tablas oficiales'!$C$7+MAX(0,(F4-4)-1),'Tablas oficiales'!$C$8),0)+IF(5&lt;B23,('Tablas oficiales'!$C$5+MIN(MAX(0,(F4-5)-1),'Tablas oficiales'!$C$6))+MIN('Tablas oficiales'!$C$7+MAX(0,(F4-5)-1),'Tablas oficiales'!$C$8),0)+IF(6&lt;B23,('Tablas oficiales'!$C$5+MIN(MAX(0,(F4-6)-1),'Tablas oficiales'!$C$6))+MIN('Tablas oficiales'!$C$7+MAX(0,(F4-6)-1),'Tablas oficiales'!$C$8),0)+IF(7&lt;B23,('Tablas oficiales'!$C$5+MIN(MAX(0,(F4-7)-1),'Tablas oficiales'!$C$6))+MIN('Tablas oficiales'!$C$7+MAX(0,(F4-7)-1),'Tablas oficiales'!$C$8),0)+IF(8&lt;B23,('Tablas oficiales'!$C$5+MIN(MAX(0,(F4-8)-1),'Tablas oficiales'!$C$6))+MIN('Tablas oficiales'!$C$7+MAX(0,(F4-8)-1),'Tablas oficiales'!$C$8),0)+IF(9&lt;B23,('Tablas oficiales'!$C$5+MIN(MAX(0,(F4-9)-1),'Tablas oficiales'!$C$6))+MIN('Tablas oficiales'!$C$7+MAX(0,(F4-9)-1),'Tablas oficiales'!$C$8),0)</f>
      </c>
    </row>
    <row r="30" spans="1:6" x14ac:dyDescent="0.25">
      <c r="A30" s="17" t="s">
        <v>85</v>
      </c>
      <c r="B30" s="18">
        <f>ROUND(F17+F28+F30+F36,2)</f>
      </c>
      <c r="E30" s="7" t="s">
        <v>86</v>
      </c>
      <c r="F30" s="8">
        <f>ROUND(F29*F8,2)</f>
      </c>
    </row>
    <row r="31" spans="5:6" x14ac:dyDescent="0.25">
      <c r="E31" s="7" t="s">
        <v>87</v>
      </c>
      <c r="F31" s="14">
        <f>IF(EDATE(MAX(B7,DATE(YEAR(B8),1,1)),12*(YEAR((B8+1))-YEAR(MAX(B7,DATE(YEAR(B8),1,1)))))&gt;(B8+1),(YEAR((B8+1))-YEAR(MAX(B7,DATE(YEAR(B8),1,1))))-1,(YEAR((B8+1))-YEAR(MAX(B7,DATE(YEAR(B8),1,1)))))</f>
      </c>
    </row>
    <row r="32" ht="51" customHeight="1" spans="1:6" x14ac:dyDescent="0.25">
      <c r="A32" s="4" t="s">
        <v>88</v>
      </c>
      <c r="B32" s="4"/>
      <c r="C32" s="4"/>
      <c r="E32" s="7" t="s">
        <v>89</v>
      </c>
      <c r="F32" s="20">
        <f>EDATE(MAX(B7,DATE(YEAR(B8),1,1)),12*F31)</f>
      </c>
    </row>
    <row r="33" spans="5:6" x14ac:dyDescent="0.25">
      <c r="E33" s="7" t="s">
        <v>90</v>
      </c>
      <c r="F33" s="14">
        <f>MIN(12,IF(EDATE(F32,((YEAR((B8+1))-YEAR(F32))*12+MONTH((B8+1))-MONTH(F32)))&gt;(B8+1),((YEAR((B8+1))-YEAR(F32))*12+MONTH((B8+1))-MONTH(F32))-1,((YEAR((B8+1))-YEAR(F32))*12+MONTH((B8+1))-MONTH(F32))))</f>
      </c>
    </row>
    <row r="34" spans="5:6" x14ac:dyDescent="0.25">
      <c r="E34" s="7" t="s">
        <v>91</v>
      </c>
      <c r="F34" s="14">
        <f>(B8+1)-EDATE(F32,F33)</f>
      </c>
    </row>
    <row r="35" spans="5:6" x14ac:dyDescent="0.25">
      <c r="E35" s="7" t="s">
        <v>92</v>
      </c>
      <c r="F35" s="14">
        <f>MIN(12,F31*12+F33)</f>
      </c>
    </row>
    <row r="36" spans="5:6" x14ac:dyDescent="0.25">
      <c r="E36" s="7" t="s">
        <v>83</v>
      </c>
      <c r="F36" s="8">
        <f>ROUND(B9*F35*F8/12,2)</f>
      </c>
    </row>
    <row r="37" spans="5:6" x14ac:dyDescent="0.25">
      <c r="E37" s="7" t="s">
        <v>77</v>
      </c>
      <c r="F37" s="8">
        <f>IF(B5="Bolívares (Bs.)",F17,"")</f>
      </c>
    </row>
    <row r="38" spans="5:6" x14ac:dyDescent="0.25">
      <c r="E38" s="7" t="s">
        <v>78</v>
      </c>
      <c r="F38" s="8">
        <f>IF(B5="Bolívares (Bs.)","",F17)</f>
      </c>
    </row>
    <row r="39" spans="5:6" x14ac:dyDescent="0.25">
      <c r="E39" s="7" t="s">
        <v>93</v>
      </c>
      <c r="F39" s="8">
        <f>IF(B5="Bolívares (Bs.)",F28,"")</f>
      </c>
    </row>
    <row r="40" spans="5:6" x14ac:dyDescent="0.25">
      <c r="E40" s="7" t="s">
        <v>94</v>
      </c>
      <c r="F40" s="8">
        <f>IF(B5="Bolívares (Bs.)","",F28)</f>
      </c>
    </row>
    <row r="41" spans="5:6" x14ac:dyDescent="0.25">
      <c r="E41" s="7" t="s">
        <v>95</v>
      </c>
      <c r="F41" s="8">
        <f>IF(B5="Bolívares (Bs.)",F30,"")</f>
      </c>
    </row>
    <row r="42" spans="5:6" x14ac:dyDescent="0.25">
      <c r="E42" s="7" t="s">
        <v>96</v>
      </c>
      <c r="F42" s="8">
        <f>IF(B5="Bolívares (Bs.)","",F30)</f>
      </c>
    </row>
    <row r="43" spans="5:6" x14ac:dyDescent="0.25">
      <c r="E43" s="7" t="s">
        <v>22</v>
      </c>
      <c r="F43" s="8">
        <f>IF(B5="Bolívares (Bs.)",F36,"")</f>
      </c>
    </row>
    <row r="44" spans="5:6" x14ac:dyDescent="0.25">
      <c r="E44" s="7" t="s">
        <v>25</v>
      </c>
      <c r="F44" s="8">
        <f>IF(B5="Bolívares (Bs.)","",F36)</f>
      </c>
    </row>
    <row r="45" spans="5:6" x14ac:dyDescent="0.25">
      <c r="E45" s="7" t="s">
        <v>97</v>
      </c>
      <c r="F45" s="8">
        <f>IF(B5="Bolívares (Bs.)",ROUND(F17+F28+F30+F36,2),"")</f>
      </c>
    </row>
    <row r="46" spans="5:6" x14ac:dyDescent="0.25">
      <c r="E46" s="7" t="s">
        <v>98</v>
      </c>
      <c r="F46" s="8">
        <f>IF(B5="Bolívares (Bs.)","",ROUND(F17+F28+F30+F36,2))</f>
      </c>
    </row>
  </sheetData>
  <mergeCells count="8">
    <mergeCell ref="A1:C1"/>
    <mergeCell ref="E3:F3"/>
    <mergeCell ref="A4:C4"/>
    <mergeCell ref="A12:C12"/>
    <mergeCell ref="A13:C13"/>
    <mergeCell ref="A21:C21"/>
    <mergeCell ref="A24:C24"/>
    <mergeCell ref="A32:C32"/>
  </mergeCells>
  <dataValidations count="7">
    <dataValidation type="decimal" allowBlank="1" showErrorMessage="1" error="Escribe un número mayor o igual a 0." sqref="B10">
      <formula1>0</formula1>
      <formula2>1000000000000</formula2>
    </dataValidation>
    <dataValidation type="list" showErrorMessage="1" error="Elige una opción de la lista." sqref="B22">
      <formula1>"Despido sin causa justificada,Renuncia,Despido con causa justificada"</formula1>
    </dataValidation>
    <dataValidation type="whole" allowBlank="1" showErrorMessage="1" error="Escribe un número entre 0 y 10." sqref="B23">
      <formula1>0</formula1>
      <formula2>10</formula2>
    </dataValidation>
    <dataValidation type="list" showErrorMessage="1" error="Elige una opción de la lista." sqref="B5">
      <formula1>"Bolívares (Bs.),Dólares ($)"</formula1>
    </dataValidation>
    <dataValidation type="decimal" allowBlank="1" showErrorMessage="1" error="Escribe un número mayor o igual a 0." sqref="B6">
      <formula1>0</formula1>
      <formula2>1000000000000</formula2>
    </dataValidation>
    <dataValidation type="date" operator="greaterThan" allowBlank="1" showErrorMessage="1" error="Escribe una fecha como dd/mm/aaaa." sqref="B7:B8">
      <formula1>18264</formula1>
    </dataValidation>
    <dataValidation type="whole" allowBlank="1" showErrorMessage="1" error="Escribe un número entre 30 y 120." sqref="B9">
      <formula1>30</formula1>
      <formula2>120</formula2>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G15"/>
  <sheetViews>
    <sheetView workbookViewId="0">
      <pane ySplit="3" topLeftCell="A4" activePane="bottomLeft" state="frozen"/>
      <selection pane="bottomLeft"/>
    </sheetView>
  </sheetViews>
  <sheetFormatPr defaultRowHeight="15" outlineLevelRow="0" outlineLevelCol="0" x14ac:dyDescent="55"/>
  <cols>
    <col min="1" max="1" width="46" customWidth="1"/>
    <col min="2" max="2" width="30" customWidth="1"/>
    <col min="3" max="3" width="18" customWidth="1"/>
    <col min="4" max="4" width="12" customWidth="1"/>
    <col min="5" max="5" width="14" customWidth="1"/>
    <col min="6" max="6" width="58" customWidth="1"/>
    <col min="7" max="7" width="14" customWidth="1"/>
  </cols>
  <sheetData>
    <row r="1" ht="28" customHeight="1" spans="1:7" x14ac:dyDescent="0.25">
      <c r="A1" s="25" t="s">
        <v>99</v>
      </c>
      <c r="B1" s="25"/>
      <c r="C1" s="25"/>
      <c r="D1" s="25"/>
      <c r="E1" s="25"/>
      <c r="F1" s="25"/>
      <c r="G1" s="25"/>
    </row>
    <row r="2" ht="30" customHeight="1" spans="1:7" x14ac:dyDescent="0.25">
      <c r="A2" s="4" t="s">
        <v>100</v>
      </c>
      <c r="B2" s="4"/>
      <c r="C2" s="4"/>
      <c r="D2" s="4"/>
      <c r="E2" s="4"/>
      <c r="F2" s="4"/>
      <c r="G2" s="4"/>
    </row>
    <row r="3" spans="1:7" x14ac:dyDescent="0.25">
      <c r="A3" s="26" t="s">
        <v>101</v>
      </c>
      <c r="B3" s="26" t="s">
        <v>102</v>
      </c>
      <c r="C3" s="26" t="s">
        <v>103</v>
      </c>
      <c r="D3" s="26" t="s">
        <v>104</v>
      </c>
      <c r="E3" s="26" t="s">
        <v>105</v>
      </c>
      <c r="F3" s="26" t="s">
        <v>106</v>
      </c>
      <c r="G3" s="26" t="s">
        <v>107</v>
      </c>
    </row>
    <row r="4" spans="1:7" x14ac:dyDescent="0.25">
      <c r="A4" s="27" t="s">
        <v>108</v>
      </c>
      <c r="B4" s="27" t="s">
        <v>109</v>
      </c>
      <c r="C4" s="28">
        <v>30</v>
      </c>
      <c r="D4" s="27" t="s">
        <v>110</v>
      </c>
      <c r="E4" s="27" t="s">
        <v>111</v>
      </c>
      <c r="F4" s="29" t="s">
        <v>112</v>
      </c>
      <c r="G4" s="27" t="s">
        <v>113</v>
      </c>
    </row>
    <row r="5" spans="1:7" x14ac:dyDescent="0.25">
      <c r="A5" s="30" t="s">
        <v>114</v>
      </c>
      <c r="B5" s="30" t="s">
        <v>109</v>
      </c>
      <c r="C5" s="31">
        <v>15</v>
      </c>
      <c r="D5" s="30" t="s">
        <v>110</v>
      </c>
      <c r="E5" s="30" t="s">
        <v>115</v>
      </c>
      <c r="F5" s="32" t="s">
        <v>116</v>
      </c>
      <c r="G5" s="30" t="s">
        <v>113</v>
      </c>
    </row>
    <row r="6" spans="1:7" x14ac:dyDescent="0.25">
      <c r="A6" s="27" t="s">
        <v>117</v>
      </c>
      <c r="B6" s="27" t="s">
        <v>109</v>
      </c>
      <c r="C6" s="28">
        <v>15</v>
      </c>
      <c r="D6" s="27" t="s">
        <v>110</v>
      </c>
      <c r="E6" s="27" t="s">
        <v>115</v>
      </c>
      <c r="F6" s="29" t="s">
        <v>116</v>
      </c>
      <c r="G6" s="27" t="s">
        <v>113</v>
      </c>
    </row>
    <row r="7" spans="1:7" x14ac:dyDescent="0.25">
      <c r="A7" s="30" t="s">
        <v>118</v>
      </c>
      <c r="B7" s="30" t="s">
        <v>109</v>
      </c>
      <c r="C7" s="31">
        <v>15</v>
      </c>
      <c r="D7" s="30" t="s">
        <v>110</v>
      </c>
      <c r="E7" s="30" t="s">
        <v>115</v>
      </c>
      <c r="F7" s="32" t="s">
        <v>116</v>
      </c>
      <c r="G7" s="30" t="s">
        <v>113</v>
      </c>
    </row>
    <row r="8" spans="1:7" x14ac:dyDescent="0.25">
      <c r="A8" s="27" t="s">
        <v>119</v>
      </c>
      <c r="B8" s="27" t="s">
        <v>109</v>
      </c>
      <c r="C8" s="28">
        <v>30</v>
      </c>
      <c r="D8" s="27" t="s">
        <v>110</v>
      </c>
      <c r="E8" s="27" t="s">
        <v>115</v>
      </c>
      <c r="F8" s="29" t="s">
        <v>116</v>
      </c>
      <c r="G8" s="27" t="s">
        <v>113</v>
      </c>
    </row>
    <row r="9" spans="1:7" x14ac:dyDescent="0.25">
      <c r="A9" s="30" t="s">
        <v>120</v>
      </c>
      <c r="B9" s="30" t="s">
        <v>109</v>
      </c>
      <c r="C9" s="31">
        <v>2</v>
      </c>
      <c r="D9" s="30" t="s">
        <v>110</v>
      </c>
      <c r="E9" s="30" t="s">
        <v>115</v>
      </c>
      <c r="F9" s="32" t="s">
        <v>116</v>
      </c>
      <c r="G9" s="30" t="s">
        <v>113</v>
      </c>
    </row>
    <row r="10" spans="1:7" x14ac:dyDescent="0.25">
      <c r="A10" s="27" t="s">
        <v>121</v>
      </c>
      <c r="B10" s="27" t="s">
        <v>109</v>
      </c>
      <c r="C10" s="28">
        <v>30</v>
      </c>
      <c r="D10" s="27" t="s">
        <v>110</v>
      </c>
      <c r="E10" s="27" t="s">
        <v>115</v>
      </c>
      <c r="F10" s="29" t="s">
        <v>116</v>
      </c>
      <c r="G10" s="27" t="s">
        <v>113</v>
      </c>
    </row>
    <row r="11" spans="1:7" x14ac:dyDescent="0.25">
      <c r="A11" s="30" t="s">
        <v>122</v>
      </c>
      <c r="B11" s="30" t="s">
        <v>109</v>
      </c>
      <c r="C11" s="31">
        <v>15</v>
      </c>
      <c r="D11" s="30" t="s">
        <v>110</v>
      </c>
      <c r="E11" s="30" t="s">
        <v>115</v>
      </c>
      <c r="F11" s="32" t="s">
        <v>116</v>
      </c>
      <c r="G11" s="30" t="s">
        <v>113</v>
      </c>
    </row>
    <row r="12" spans="1:7" x14ac:dyDescent="0.25">
      <c r="A12" s="27" t="s">
        <v>123</v>
      </c>
      <c r="B12" s="27" t="s">
        <v>109</v>
      </c>
      <c r="C12" s="28">
        <v>5</v>
      </c>
      <c r="D12" s="27" t="s">
        <v>110</v>
      </c>
      <c r="E12" s="27" t="s">
        <v>115</v>
      </c>
      <c r="F12" s="29" t="s">
        <v>116</v>
      </c>
      <c r="G12" s="27" t="s">
        <v>113</v>
      </c>
    </row>
    <row r="13" spans="1:7" x14ac:dyDescent="0.25">
      <c r="A13" s="30" t="s">
        <v>124</v>
      </c>
      <c r="B13" s="30" t="s">
        <v>109</v>
      </c>
      <c r="C13" s="31">
        <v>30</v>
      </c>
      <c r="D13" s="30" t="s">
        <v>110</v>
      </c>
      <c r="E13" s="30" t="s">
        <v>115</v>
      </c>
      <c r="F13" s="32" t="s">
        <v>116</v>
      </c>
      <c r="G13" s="30" t="s">
        <v>113</v>
      </c>
    </row>
    <row r="14" spans="1:7" x14ac:dyDescent="0.25">
      <c r="A14" s="27" t="s">
        <v>125</v>
      </c>
      <c r="B14" s="27" t="s">
        <v>109</v>
      </c>
      <c r="C14" s="28">
        <v>30</v>
      </c>
      <c r="D14" s="27" t="s">
        <v>110</v>
      </c>
      <c r="E14" s="27" t="s">
        <v>115</v>
      </c>
      <c r="F14" s="29" t="s">
        <v>116</v>
      </c>
      <c r="G14" s="27" t="s">
        <v>113</v>
      </c>
    </row>
    <row r="15" spans="1:7" x14ac:dyDescent="0.25">
      <c r="A15" s="30" t="s">
        <v>126</v>
      </c>
      <c r="B15" s="30" t="s">
        <v>109</v>
      </c>
      <c r="C15" s="31">
        <v>120</v>
      </c>
      <c r="D15" s="30" t="s">
        <v>110</v>
      </c>
      <c r="E15" s="30" t="s">
        <v>115</v>
      </c>
      <c r="F15" s="32" t="s">
        <v>116</v>
      </c>
      <c r="G15" s="30" t="s">
        <v>113</v>
      </c>
    </row>
  </sheetData>
  <mergeCells count="2">
    <mergeCell ref="A1:G1"/>
    <mergeCell ref="A2:G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Instrucciones</vt:lpstr>
      <vt:lpstr>Utilidades y vacaciones</vt:lpstr>
      <vt:lpstr>Liquidación</vt:lpstr>
      <vt:lpstr>Tablas oficiales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CalcularYa (calcularya.com)</dc:creator>
  <dc:title>Planilla de prestaciones y liquidación Venezuela 2026</dc:title>
  <dc:subject/>
  <dc:description/>
  <cp:keywords/>
  <cp:category/>
  <cp:lastModifiedBy>Unknown</cp:lastModifiedBy>
  <dcterms:created xsi:type="dcterms:W3CDTF">2026-10-16T12:00:00Z</dcterms:created>
  <dcterms:modified xsi:type="dcterms:W3CDTF">2026-10-16T12:00:00Z</dcterms:modified>
</cp:coreProperties>
</file>