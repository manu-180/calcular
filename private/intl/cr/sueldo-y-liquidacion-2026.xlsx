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ciones" state="visible" r:id="rId4"/>
    <sheet sheetId="2" name="Salario neto" state="visible" r:id="rId5"/>
    <sheet sheetId="3" name="Aguinaldo" state="visible" r:id="rId6"/>
    <sheet sheetId="4" name="Liquidación" state="visible" r:id="rId7"/>
    <sheet sheetId="5" name="Tablas oficiales" state="visible" r:id="rId8"/>
  </sheets>
  <calcPr calcId="171027"/>
</workbook>
</file>

<file path=xl/sharedStrings.xml><?xml version="1.0" encoding="utf-8"?>
<sst xmlns="http://schemas.openxmlformats.org/spreadsheetml/2006/main" count="269" uniqueCount="135">
  <si>
    <t>Planilla de salario y liquidación Costa Rica 2026</t>
  </si>
  <si>
    <t>Las celdas amarillas son para sus datos. Las verdes se calculan solas, con las fórmulas de la ley. A la derecha de cada hoja está el paso a paso de la cuenta.</t>
  </si>
  <si>
    <t>«Salario neto»: pone su salario bruto y le dice las cuotas de la Caja, el aporte al Banco Popular, el impuesto al salario y su salario neto.</t>
  </si>
  <si>
    <t>«Aguinaldo»: calcula el aguinaldo de diciembre, completo o proporcional.</t>
  </si>
  <si>
    <t>«Liquidación»: pone sus fechas, su salario y cómo terminó la relación, y le dice el preaviso, la cesantía, las vacaciones y el aguinaldo proporcional.</t>
  </si>
  <si>
    <t>«Tablas oficiales» tiene cada valor oficial que usan las fórmulas, con el enlace a su fuente y la fecha en que lo verificamos. Los valores son los vigentes al 8/10/2026.</t>
  </si>
  <si>
    <t>Cuando cambia un valor oficial, actualizamos la planilla y el mismo enlace de descarga le baja la versión nueva.</t>
  </si>
  <si>
    <t>Da los mismos números que las calculadoras gratuitas de calcularya.com. Antes de publicar cada versión, una verificación automática recalcula este archivo y lo compara con ellas.</t>
  </si>
  <si>
    <t>Es una referencia de cálculo con sus fuentes, no asesoría legal. Su contrato o su empresa pueden darle más que el mínimo de ley.</t>
  </si>
  <si>
    <t>Las fechas van como dd/mm/aaaa. Si su Excel está en inglés y las lee al revés, escríbalas como aaaa-mm-dd.</t>
  </si>
  <si>
    <t>Salario neto: cargas sociales e impuesto al salario</t>
  </si>
  <si>
    <t>Paso a paso</t>
  </si>
  <si>
    <t>SUS DATOS</t>
  </si>
  <si>
    <t>Salario bruto mensual</t>
  </si>
  <si>
    <t>Lo que dice el contrato, antes de rebajos.</t>
  </si>
  <si>
    <t>Cargas sociales</t>
  </si>
  <si>
    <t>Hijos que declara para el crédito fiscal</t>
  </si>
  <si>
    <t>Seguro de Salud (SEM)</t>
  </si>
  <si>
    <t>Declara el crédito por cónyuge</t>
  </si>
  <si>
    <t>No</t>
  </si>
  <si>
    <t>Invalidez, Vejez y Muerte (IVM)</t>
  </si>
  <si>
    <t>Banco Popular</t>
  </si>
  <si>
    <t>SU SALARIO NETO</t>
  </si>
  <si>
    <t>Total de cargas sociales</t>
  </si>
  <si>
    <t>Impuesto al salario</t>
  </si>
  <si>
    <t>Impuesto por tramos: tramo 1</t>
  </si>
  <si>
    <t>Impuesto por tramos: tramo 2</t>
  </si>
  <si>
    <t>Impuesto por tramos: tramo 3</t>
  </si>
  <si>
    <t>Salario neto</t>
  </si>
  <si>
    <t>Impuesto por tramos: tramo 4</t>
  </si>
  <si>
    <t>Impuesto por tramos: tramo 5</t>
  </si>
  <si>
    <t>El impuesto se calcula sobre el salario bruto: las cuotas de la Caja no se restan antes.</t>
  </si>
  <si>
    <t>Impuesto por tramos: total</t>
  </si>
  <si>
    <t>Créditos fiscales</t>
  </si>
  <si>
    <t>Aguinaldo</t>
  </si>
  <si>
    <t>Total devengado en el período</t>
  </si>
  <si>
    <t>Sin rebajos. Si su salario cambió durante el año, use el promedio.</t>
  </si>
  <si>
    <t>Meses trabajados entre el 1 de diciembre y el 30 de noviembre</t>
  </si>
  <si>
    <t>Puede usar decimales: medio mes es 0,5.</t>
  </si>
  <si>
    <t>Horas extra, comisiones y bonos del mismo período (opcional)</t>
  </si>
  <si>
    <t>Si no tuvo, déjelo vacío.</t>
  </si>
  <si>
    <t>SU AGUINALDO</t>
  </si>
  <si>
    <t>Se paga en los primeros 20 días de diciembre. No paga impuesto sobre la renta ni cuotas de la Caja, así que se recibe completo. Con menos de un mes trabajado no hay aguinaldo.</t>
  </si>
  <si>
    <t>Liquidación: preaviso, cesantía, vacaciones y aguinaldo</t>
  </si>
  <si>
    <t>Tiempo trabajado: años completos</t>
  </si>
  <si>
    <t>Salario promedio mensual de los últimos seis meses</t>
  </si>
  <si>
    <t>Bruto, con horas extra y comisiones incluidas.</t>
  </si>
  <si>
    <t>Tiempo trabajado: último aniversario</t>
  </si>
  <si>
    <t>Fecha de ingreso</t>
  </si>
  <si>
    <t>Tiempo trabajado: meses</t>
  </si>
  <si>
    <t>Último día de trabajo</t>
  </si>
  <si>
    <t>Tiempo trabajado: días</t>
  </si>
  <si>
    <t>Cómo terminó la relación laboral</t>
  </si>
  <si>
    <t>Despido sin justa causa (con responsabilidad patronal)</t>
  </si>
  <si>
    <t>El patrono le avisó del despido con la anticipación de ley</t>
  </si>
  <si>
    <t>Si lo despidieron de un día para otro, marque que no.</t>
  </si>
  <si>
    <t>Preaviso y cesantía</t>
  </si>
  <si>
    <t>Días de vacaciones que no disfrutó</t>
  </si>
  <si>
    <t>Si no lo sabe, cuente un día por cada mes trabajado desde sus últimas vacaciones.</t>
  </si>
  <si>
    <t>Días de preaviso</t>
  </si>
  <si>
    <t>Salarios ganados desde el 1 de diciembre (opcional)</t>
  </si>
  <si>
    <t>Si lo deja vacío, se estima con su salario promedio.</t>
  </si>
  <si>
    <t>Años computables (más de seis meses suman uno)</t>
  </si>
  <si>
    <t>Días de cesantía</t>
  </si>
  <si>
    <t>SU LIQUIDACIÓN</t>
  </si>
  <si>
    <t>Salario diario</t>
  </si>
  <si>
    <t>Tiempo trabajado</t>
  </si>
  <si>
    <t>Aguinaldo proporcional</t>
  </si>
  <si>
    <t>Período del aguinaldo: años completos</t>
  </si>
  <si>
    <t>Período del aguinaldo: último aniversario</t>
  </si>
  <si>
    <t>Preaviso</t>
  </si>
  <si>
    <t>Período del aguinaldo: meses</t>
  </si>
  <si>
    <t>Período del aguinaldo: días</t>
  </si>
  <si>
    <t>Cesantía</t>
  </si>
  <si>
    <t>Meses en el período del aguinaldo</t>
  </si>
  <si>
    <t>Vacaciones no disfrutadas</t>
  </si>
  <si>
    <t>Salarios del período</t>
  </si>
  <si>
    <t>Total de la liquidación</t>
  </si>
  <si>
    <t>Vacaciones</t>
  </si>
  <si>
    <t>La cesantía se paga por 8 años como máximo. Si renunció sin dar el preaviso, el patrono puede rebajarlo de la liquidación. Las vacaciones se calculan con el salario promedio entre 30: la ley usa el promedio de las últimas 50 semanas.</t>
  </si>
  <si>
    <t>Tablas oficiales de Costa Rica</t>
  </si>
  <si>
    <t>Son los valores que usan las fórmulas de esta planilla, vigentes al 8/10/2026. Cada uno trae el enlace a la norma o al organismo que lo publica y la fecha en que lo verificamos.</t>
  </si>
  <si>
    <t>Dato</t>
  </si>
  <si>
    <t>Detalle</t>
  </si>
  <si>
    <t>Valor</t>
  </si>
  <si>
    <t>Unidad</t>
  </si>
  <si>
    <t>Vigente desde</t>
  </si>
  <si>
    <t>Fuente oficial</t>
  </si>
  <si>
    <t>Verificado el</t>
  </si>
  <si>
    <t>Cuota del trabajador al Seguro de Salud (SEM)</t>
  </si>
  <si>
    <t/>
  </si>
  <si>
    <t>%</t>
  </si>
  <si>
    <t>1/1/2026</t>
  </si>
  <si>
    <t>https://sinalevi.go.cr/ResultadosNormativa/Informacion?param1=43463&amp;param2=146812&amp;param3=1</t>
  </si>
  <si>
    <t>7/10/2026</t>
  </si>
  <si>
    <t>Cuota del trabajador al Seguro de Invalidez, Vejez y Muerte (IVM)</t>
  </si>
  <si>
    <t>https://www.imprentanacional.go.cr/pub/2019/08/28/ALCA191_28_08_2019.pdf</t>
  </si>
  <si>
    <t>Aporte del trabajador al Banco Popular</t>
  </si>
  <si>
    <t>https://sinalevi.go.cr/ResultadosNormativa/Informacion?param1=35582&amp;param2=130484&amp;param3=1</t>
  </si>
  <si>
    <t>Impuesto al salario, tramos mensuales</t>
  </si>
  <si>
    <t>CRC</t>
  </si>
  <si>
    <t>https://sinalevi.go.cr/ResultadosNormativa/Informacion?param1=105834&amp;param2=148657&amp;param3=1</t>
  </si>
  <si>
    <t>Desde</t>
  </si>
  <si>
    <t>Hasta</t>
  </si>
  <si>
    <t>Tasa %</t>
  </si>
  <si>
    <t>Cuota fija</t>
  </si>
  <si>
    <t>Crédito fiscal mensual por cada hijo</t>
  </si>
  <si>
    <t>Crédito fiscal mensual por el cónyuge</t>
  </si>
  <si>
    <t>Días de preaviso según el tiempo trabajado</t>
  </si>
  <si>
    <t>De 3 a 6 meses</t>
  </si>
  <si>
    <t>días</t>
  </si>
  <si>
    <t>https://sinalevi.go.cr/ResultadosNormativa/Informacion?param1=8045&amp;param2=151754&amp;param3=1</t>
  </si>
  <si>
    <t>Más de 6 meses y hasta un año</t>
  </si>
  <si>
    <t>Más de un año</t>
  </si>
  <si>
    <t>Días de cesantía con menos de un año trabajado</t>
  </si>
  <si>
    <t>3-a-6-meses</t>
  </si>
  <si>
    <t>6-a-12-meses</t>
  </si>
  <si>
    <t>Días de cesantía por año laborado según la antigüedad</t>
  </si>
  <si>
    <t>1</t>
  </si>
  <si>
    <t>2</t>
  </si>
  <si>
    <t>3</t>
  </si>
  <si>
    <t>4</t>
  </si>
  <si>
    <t>5</t>
  </si>
  <si>
    <t>6</t>
  </si>
  <si>
    <t>7</t>
  </si>
  <si>
    <t>8</t>
  </si>
  <si>
    <t>9</t>
  </si>
  <si>
    <t>10</t>
  </si>
  <si>
    <t>11</t>
  </si>
  <si>
    <t>12</t>
  </si>
  <si>
    <t>13</t>
  </si>
  <si>
    <t>Años máximos que se indemnizan por cesantía</t>
  </si>
  <si>
    <t>años</t>
  </si>
  <si>
    <t>Días que paga un salario mensual</t>
  </si>
  <si>
    <t>https://sinalevi.go.cr/ResultadosNormativa/Informacion?param1=105838&amp;param2=148681&amp;param3=1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</si>
</sst>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quot;₡ &quot;#,##0.00"/>
    <numFmt numFmtId="165" formatCode="#,##0.##"/>
    <numFmt numFmtId="166" formatCode="#,##0.00##"/>
    <numFmt numFmtId="167" formatCode="dd/mm/yyyy"/>
    <numFmt numFmtId="168" formatCode="[&gt;=100000000000000]&quot;en adelante&quot;;&quot;₡ &quot;#,##0.00"/>
    <numFmt numFmtId="169" formatCode="0.00##"/>
  </numFmts>
  <fonts count="11" x14ac:knownFonts="1">
    <font>
      <color theme="1"/>
      <family val="2"/>
      <scheme val="minor"/>
      <sz val="11"/>
      <name val="Calibri"/>
    </font>
    <font>
      <b/>
      <color rgb="FFFFFFFF"/>
      <sz val="13"/>
    </font>
    <font>
      <b/>
      <color rgb="FFFFFFFF"/>
    </font>
    <font>
      <i/>
      <color rgb="FF777777"/>
      <sz val="9"/>
    </font>
    <font>
      <b/>
      <color rgb="FFFFFFFF"/>
      <sz val="11"/>
    </font>
    <font>
      <b/>
    </font>
    <font>
      <b/>
      <color rgb="FF1B5E20"/>
      <sz val="10"/>
    </font>
    <font>
      <sz val="10"/>
    </font>
    <font>
      <b/>
      <color rgb="FFB71C1C"/>
    </font>
    <font>
      <u/>
      <color rgb="FF1565C0"/>
    </font>
    <font>
      <b/>
      <sz val="9"/>
    </font>
  </fonts>
  <fills count="12">
    <fill>
      <patternFill patternType="none"/>
    </fill>
    <fill>
      <patternFill patternType="gray125"/>
    </fill>
    <fill>
      <patternFill patternType="solid">
        <fgColor rgb="FFE65100"/>
      </patternFill>
    </fill>
    <fill>
      <patternFill patternType="solid">
        <fgColor rgb="FF1B5E20"/>
      </patternFill>
    </fill>
    <fill>
      <patternFill patternType="solid">
        <fgColor rgb="FFF5F5F5"/>
      </patternFill>
    </fill>
    <fill>
      <patternFill patternType="solid">
        <fgColor rgb="FFFFFDE7"/>
      </patternFill>
    </fill>
    <fill>
      <patternFill patternType="solid">
        <fgColor rgb="FFFFFFFF"/>
      </patternFill>
    </fill>
    <fill>
      <patternFill patternType="solid">
        <fgColor rgb="FFE8F5E9"/>
      </patternFill>
    </fill>
    <fill>
      <patternFill patternType="solid">
        <fgColor rgb="FFC8E6C9"/>
      </patternFill>
    </fill>
    <fill>
      <patternFill patternType="solid">
        <fgColor rgb="FF37474F"/>
      </patternFill>
    </fill>
    <fill>
      <patternFill patternType="solid">
        <fgColor rgb="FF546E7A"/>
      </patternFill>
    </fill>
    <fill>
      <patternFill patternType="solid">
        <fgColor rgb="FFF3F8FF"/>
      </patternFill>
    </fill>
  </fills>
  <borders count="2">
    <border>
      <left/>
      <right/>
      <top/>
      <bottom/>
      <diagonal/>
    </border>
    <border>
      <left style="thin">
        <color rgb="FFB0BEC5"/>
      </left>
      <right style="thin">
        <color rgb="FFB0BEC5"/>
      </right>
      <top style="thin">
        <color rgb="FFB0BEC5"/>
      </top>
      <bottom style="thin">
        <color rgb="FFB0BEC5"/>
      </bottom>
      <diagonal/>
    </border>
  </borders>
  <cellStyleXfs count="1">
    <xf numFmtId="0" fontId="0" fillId="0" borderId="0"/>
  </cellStyleXfs>
  <cellXfs count="44">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Alignment="1">
      <alignment vertical="center" wrapText="1" indent="1"/>
    </xf>
    <xf numFmtId="0" fontId="3" fillId="0" borderId="0" xfId="0" applyFont="1" applyAlignment="1">
      <alignment vertical="top" wrapText="1"/>
    </xf>
    <xf numFmtId="0" fontId="1" fillId="3" borderId="0" xfId="0" applyFont="1" applyFill="1" applyAlignment="1">
      <alignment horizontal="center" vertical="center"/>
    </xf>
    <xf numFmtId="0" fontId="4" fillId="3" borderId="0" xfId="0" applyFont="1" applyFill="1" applyAlignment="1">
      <alignment horizontal="left" indent="1"/>
    </xf>
    <xf numFmtId="0" fontId="0" fillId="4" borderId="1" xfId="0" applyFill="1" applyBorder="1" applyAlignment="1">
      <alignment horizontal="left" vertical="center" wrapText="1" indent="1"/>
    </xf>
    <xf numFmtId="164" fontId="5" fillId="5" borderId="1" xfId="0" applyNumberFormat="1" applyFont="1" applyFill="1" applyBorder="1" applyAlignment="1">
      <alignment horizontal="right"/>
    </xf>
    <xf numFmtId="0" fontId="3" fillId="0" borderId="0" xfId="0" applyFont="1" applyAlignment="1">
      <alignment vertical="center" wrapText="1"/>
    </xf>
    <xf numFmtId="0" fontId="6" fillId="0" borderId="0" xfId="0" applyFont="1"/>
    <xf numFmtId="165" fontId="5" fillId="5" borderId="1" xfId="0" applyNumberFormat="1" applyFont="1" applyFill="1" applyBorder="1" applyAlignment="1">
      <alignment horizontal="right"/>
    </xf>
    <xf numFmtId="0" fontId="7" fillId="4" borderId="1" xfId="0" applyFont="1" applyFill="1" applyBorder="1" applyAlignment="1">
      <alignment horizontal="left" wrapText="1" indent="1"/>
    </xf>
    <xf numFmtId="164" fontId="7" fillId="6" borderId="1" xfId="0" applyNumberFormat="1" applyFont="1" applyFill="1" applyBorder="1" applyAlignment="1">
      <alignment horizontal="right"/>
    </xf>
    <xf numFmtId="0" fontId="5" fillId="5" borderId="1" xfId="0" applyFont="1" applyFill="1" applyBorder="1" applyAlignment="1">
      <alignment horizontal="left" indent="1"/>
    </xf>
    <xf numFmtId="0" fontId="0" fillId="7" borderId="1" xfId="0" applyFill="1" applyBorder="1" applyAlignment="1">
      <alignment horizontal="left" wrapText="1" indent="1"/>
    </xf>
    <xf numFmtId="164" fontId="0" fillId="7" borderId="1" xfId="0" applyNumberFormat="1" applyFill="1" applyBorder="1" applyAlignment="1">
      <alignment horizontal="right"/>
    </xf>
    <xf numFmtId="0" fontId="5" fillId="8" borderId="1" xfId="0" applyFont="1" applyFill="1" applyBorder="1" applyAlignment="1">
      <alignment horizontal="left" wrapText="1" indent="1"/>
    </xf>
    <xf numFmtId="164" fontId="5" fillId="8" borderId="1" xfId="0" applyNumberFormat="1" applyFont="1" applyFill="1" applyBorder="1" applyAlignment="1">
      <alignment horizontal="right"/>
    </xf>
    <xf numFmtId="166" fontId="5" fillId="5" borderId="1" xfId="0" applyNumberFormat="1" applyFont="1" applyFill="1" applyBorder="1" applyAlignment="1">
      <alignment horizontal="right"/>
    </xf>
    <xf numFmtId="165" fontId="7" fillId="6" borderId="1" xfId="0" applyNumberFormat="1" applyFont="1" applyFill="1" applyBorder="1" applyAlignment="1">
      <alignment horizontal="right"/>
    </xf>
    <xf numFmtId="167" fontId="7" fillId="6" borderId="1" xfId="0" applyNumberFormat="1" applyFont="1" applyFill="1" applyBorder="1" applyAlignment="1">
      <alignment horizontal="right"/>
    </xf>
    <xf numFmtId="167" fontId="5" fillId="5" borderId="1" xfId="0" applyNumberFormat="1" applyFont="1" applyFill="1" applyBorder="1" applyAlignment="1">
      <alignment horizontal="right"/>
    </xf>
    <xf numFmtId="166" fontId="7" fillId="6" borderId="1" xfId="0" applyNumberFormat="1" applyFont="1" applyFill="1" applyBorder="1" applyAlignment="1">
      <alignment horizontal="right"/>
    </xf>
    <xf numFmtId="0" fontId="8" fillId="0" borderId="0" xfId="0" applyFont="1" applyAlignment="1">
      <alignment wrapText="1"/>
    </xf>
    <xf numFmtId="0" fontId="0" fillId="7" borderId="1" xfId="0" applyFill="1" applyBorder="1" applyAlignment="1">
      <alignment horizontal="right"/>
    </xf>
    <xf numFmtId="166" fontId="0" fillId="7" borderId="1" xfId="0" applyNumberFormat="1" applyFill="1" applyBorder="1" applyAlignment="1">
      <alignment horizontal="right"/>
    </xf>
    <xf numFmtId="0" fontId="1" fillId="9" borderId="0" xfId="0" applyFont="1" applyFill="1" applyAlignment="1">
      <alignment horizontal="center" vertical="center"/>
    </xf>
    <xf numFmtId="0" fontId="2" fillId="10" borderId="1" xfId="0" applyFont="1" applyFill="1" applyBorder="1"/>
    <xf numFmtId="0" fontId="0" fillId="6" borderId="1" xfId="0" applyFill="1" applyBorder="1" applyAlignment="1">
      <alignment vertical="top" wrapText="1"/>
    </xf>
    <xf numFmtId="166" fontId="0" fillId="6" borderId="1" xfId="0" applyNumberFormat="1" applyFill="1" applyBorder="1" applyAlignment="1">
      <alignment vertical="top"/>
    </xf>
    <xf numFmtId="0" fontId="9" fillId="6" borderId="1" xfId="0" applyFont="1" applyFill="1" applyBorder="1" applyAlignment="1">
      <alignment vertical="top" wrapText="1"/>
    </xf>
    <xf numFmtId="0" fontId="0" fillId="4" borderId="1" xfId="0" applyFill="1" applyBorder="1" applyAlignment="1">
      <alignment vertical="top" wrapText="1"/>
    </xf>
    <xf numFmtId="166" fontId="0" fillId="4" borderId="1" xfId="0" applyNumberFormat="1" applyFill="1" applyBorder="1" applyAlignment="1">
      <alignment vertical="top"/>
    </xf>
    <xf numFmtId="0" fontId="9" fillId="4" borderId="1" xfId="0" applyFont="1" applyFill="1" applyBorder="1" applyAlignment="1">
      <alignment vertical="top" wrapText="1"/>
    </xf>
    <xf numFmtId="0" fontId="5" fillId="11" borderId="1" xfId="0" applyFont="1" applyFill="1" applyBorder="1" applyAlignment="1">
      <alignment vertical="top" wrapText="1"/>
    </xf>
    <xf numFmtId="0" fontId="0" fillId="11" borderId="1" xfId="0" applyFill="1" applyBorder="1" applyAlignment="1">
      <alignment vertical="top" wrapText="1"/>
    </xf>
    <xf numFmtId="0" fontId="9" fillId="11" borderId="1" xfId="0" applyFont="1" applyFill="1" applyBorder="1" applyAlignment="1">
      <alignment vertical="top" wrapText="1"/>
    </xf>
    <xf numFmtId="0" fontId="10" fillId="4" borderId="1" xfId="0" applyFont="1" applyFill="1" applyBorder="1"/>
    <xf numFmtId="164" fontId="0" fillId="0" borderId="1" xfId="0" applyNumberFormat="1" applyBorder="1"/>
    <xf numFmtId="168" fontId="0" fillId="0" borderId="1" xfId="0" applyNumberFormat="1" applyBorder="1"/>
    <xf numFmtId="169" fontId="0" fillId="0" borderId="1" xfId="0" applyNumberFormat="1" applyBorder="1"/>
    <xf numFmtId="164" fontId="0" fillId="4" borderId="1" xfId="0" applyNumberFormat="1" applyFill="1" applyBorder="1" applyAlignment="1">
      <alignment vertical="top"/>
    </xf>
    <xf numFmtId="164" fontId="0" fillId="6" borderId="1" xfId="0" applyNumberForma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sinalevi.go.cr/ResultadosNormativa/Informacion?param1=43463&amp;param2=146812&amp;param3=1" TargetMode="External"/><Relationship Id="rId2" Type="http://schemas.openxmlformats.org/officeDocument/2006/relationships/hyperlink" Target="https://www.imprentanacional.go.cr/pub/2019/08/28/ALCA191_28_08_2019.pdf" TargetMode="External"/><Relationship Id="rId3" Type="http://schemas.openxmlformats.org/officeDocument/2006/relationships/hyperlink" Target="https://sinalevi.go.cr/ResultadosNormativa/Informacion?param1=35582&amp;param2=130484&amp;param3=1" TargetMode="External"/><Relationship Id="rId4" Type="http://schemas.openxmlformats.org/officeDocument/2006/relationships/hyperlink" Target="https://sinalevi.go.cr/ResultadosNormativa/Informacion?param1=105834&amp;param2=148657&amp;param3=1" TargetMode="External"/><Relationship Id="rId5" Type="http://schemas.openxmlformats.org/officeDocument/2006/relationships/hyperlink" Target="https://sinalevi.go.cr/ResultadosNormativa/Informacion?param1=105834&amp;param2=148657&amp;param3=1" TargetMode="External"/><Relationship Id="rId6" Type="http://schemas.openxmlformats.org/officeDocument/2006/relationships/hyperlink" Target="https://sinalevi.go.cr/ResultadosNormativa/Informacion?param1=105834&amp;param2=148657&amp;param3=1" TargetMode="External"/><Relationship Id="rId7" Type="http://schemas.openxmlformats.org/officeDocument/2006/relationships/hyperlink" Target="https://sinalevi.go.cr/ResultadosNormativa/Informacion?param1=8045&amp;param2=151754&amp;param3=1" TargetMode="External"/><Relationship Id="rId8" Type="http://schemas.openxmlformats.org/officeDocument/2006/relationships/hyperlink" Target="https://sinalevi.go.cr/ResultadosNormativa/Informacion?param1=8045&amp;param2=151754&amp;param3=1" TargetMode="External"/><Relationship Id="rId9" Type="http://schemas.openxmlformats.org/officeDocument/2006/relationships/hyperlink" Target="https://sinalevi.go.cr/ResultadosNormativa/Informacion?param1=8045&amp;param2=151754&amp;param3=1" TargetMode="External"/><Relationship Id="rId10" Type="http://schemas.openxmlformats.org/officeDocument/2006/relationships/hyperlink" Target="https://sinalevi.go.cr/ResultadosNormativa/Informacion?param1=8045&amp;param2=151754&amp;param3=1" TargetMode="External"/><Relationship Id="rId11" Type="http://schemas.openxmlformats.org/officeDocument/2006/relationships/hyperlink" Target="https://sinalevi.go.cr/ResultadosNormativa/Informacion?param1=8045&amp;param2=151754&amp;param3=1" TargetMode="External"/><Relationship Id="rId12" Type="http://schemas.openxmlformats.org/officeDocument/2006/relationships/hyperlink" Target="https://sinalevi.go.cr/ResultadosNormativa/Informacion?param1=8045&amp;param2=151754&amp;param3=1" TargetMode="External"/><Relationship Id="rId13" Type="http://schemas.openxmlformats.org/officeDocument/2006/relationships/hyperlink" Target="https://sinalevi.go.cr/ResultadosNormativa/Informacion?param1=8045&amp;param2=151754&amp;param3=1" TargetMode="External"/><Relationship Id="rId14" Type="http://schemas.openxmlformats.org/officeDocument/2006/relationships/hyperlink" Target="https://sinalevi.go.cr/ResultadosNormativa/Informacion?param1=8045&amp;param2=151754&amp;param3=1" TargetMode="External"/><Relationship Id="rId15" Type="http://schemas.openxmlformats.org/officeDocument/2006/relationships/hyperlink" Target="https://sinalevi.go.cr/ResultadosNormativa/Informacion?param1=8045&amp;param2=151754&amp;param3=1" TargetMode="External"/><Relationship Id="rId16" Type="http://schemas.openxmlformats.org/officeDocument/2006/relationships/hyperlink" Target="https://sinalevi.go.cr/ResultadosNormativa/Informacion?param1=8045&amp;param2=151754&amp;param3=1" TargetMode="External"/><Relationship Id="rId17" Type="http://schemas.openxmlformats.org/officeDocument/2006/relationships/hyperlink" Target="https://sinalevi.go.cr/ResultadosNormativa/Informacion?param1=8045&amp;param2=151754&amp;param3=1" TargetMode="External"/><Relationship Id="rId18" Type="http://schemas.openxmlformats.org/officeDocument/2006/relationships/hyperlink" Target="https://sinalevi.go.cr/ResultadosNormativa/Informacion?param1=8045&amp;param2=151754&amp;param3=1" TargetMode="External"/><Relationship Id="rId19" Type="http://schemas.openxmlformats.org/officeDocument/2006/relationships/hyperlink" Target="https://sinalevi.go.cr/ResultadosNormativa/Informacion?param1=8045&amp;param2=151754&amp;param3=1" TargetMode="External"/><Relationship Id="rId20" Type="http://schemas.openxmlformats.org/officeDocument/2006/relationships/hyperlink" Target="https://sinalevi.go.cr/ResultadosNormativa/Informacion?param1=8045&amp;param2=151754&amp;param3=1" TargetMode="External"/><Relationship Id="rId21" Type="http://schemas.openxmlformats.org/officeDocument/2006/relationships/hyperlink" Target="https://sinalevi.go.cr/ResultadosNormativa/Informacion?param1=8045&amp;param2=151754&amp;param3=1" TargetMode="External"/><Relationship Id="rId22" Type="http://schemas.openxmlformats.org/officeDocument/2006/relationships/hyperlink" Target="https://sinalevi.go.cr/ResultadosNormativa/Informacion?param1=8045&amp;param2=151754&amp;param3=1" TargetMode="External"/><Relationship Id="rId23" Type="http://schemas.openxmlformats.org/officeDocument/2006/relationships/hyperlink" Target="https://sinalevi.go.cr/ResultadosNormativa/Informacion?param1=8045&amp;param2=151754&amp;param3=1" TargetMode="External"/><Relationship Id="rId24" Type="http://schemas.openxmlformats.org/officeDocument/2006/relationships/hyperlink" Target="https://sinalevi.go.cr/ResultadosNormativa/Informacion?param1=8045&amp;param2=151754&amp;param3=1" TargetMode="External"/><Relationship Id="rId25" Type="http://schemas.openxmlformats.org/officeDocument/2006/relationships/hyperlink" Target="https://sinalevi.go.cr/ResultadosNormativa/Informacion?param1=8045&amp;param2=151754&amp;param3=1" TargetMode="External"/><Relationship Id="rId26" Type="http://schemas.openxmlformats.org/officeDocument/2006/relationships/hyperlink" Target="https://sinalevi.go.cr/ResultadosNormativa/Informacion?param1=105838&amp;param2=148681&amp;param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65100"/>
  </sheetPr>
  <dimension ref="A1:B12"/>
  <sheetFormatPr defaultRowHeight="15" outlineLevelRow="0" outlineLevelCol="0" x14ac:dyDescent="55"/>
  <cols>
    <col min="1" max="1" width="4" customWidth="1"/>
    <col min="2" max="2" width="110" customWidth="1"/>
  </cols>
  <sheetData>
    <row r="1" ht="28" customHeight="1" spans="1:2" x14ac:dyDescent="0.25">
      <c r="A1" s="1" t="s">
        <v>0</v>
      </c>
      <c r="B1" s="1"/>
    </row>
    <row r="3" ht="34" customHeight="1" spans="1:2" x14ac:dyDescent="0.25">
      <c r="A3" s="2">
        <v>1</v>
      </c>
      <c r="B3" s="3" t="s">
        <v>1</v>
      </c>
    </row>
    <row r="4" ht="34" customHeight="1" spans="1:2" x14ac:dyDescent="0.25">
      <c r="A4" s="2">
        <v>2</v>
      </c>
      <c r="B4" s="3" t="s">
        <v>2</v>
      </c>
    </row>
    <row r="5" ht="20" customHeight="1" spans="1:2" x14ac:dyDescent="0.25">
      <c r="A5" s="2">
        <v>3</v>
      </c>
      <c r="B5" s="3" t="s">
        <v>3</v>
      </c>
    </row>
    <row r="6" ht="34" customHeight="1" spans="1:2" x14ac:dyDescent="0.25">
      <c r="A6" s="2">
        <v>4</v>
      </c>
      <c r="B6" s="3" t="s">
        <v>4</v>
      </c>
    </row>
    <row r="7" ht="34" customHeight="1" spans="1:2" x14ac:dyDescent="0.25">
      <c r="A7" s="2">
        <v>5</v>
      </c>
      <c r="B7" s="3" t="s">
        <v>5</v>
      </c>
    </row>
    <row r="8" ht="34" customHeight="1" spans="1:2" x14ac:dyDescent="0.25">
      <c r="A8" s="2">
        <v>6</v>
      </c>
      <c r="B8" s="3" t="s">
        <v>6</v>
      </c>
    </row>
    <row r="10" ht="30" customHeight="1" spans="1:2" x14ac:dyDescent="0.25">
      <c r="A10" s="4" t="s">
        <v>7</v>
      </c>
      <c r="B10" s="4"/>
    </row>
    <row r="11" ht="30" customHeight="1" spans="1:2" x14ac:dyDescent="0.25">
      <c r="A11" s="4" t="s">
        <v>8</v>
      </c>
      <c r="B11" s="4"/>
    </row>
    <row r="12" ht="18" customHeight="1" spans="1:2" x14ac:dyDescent="0.25">
      <c r="A12" s="4" t="s">
        <v>9</v>
      </c>
      <c r="B12" s="4"/>
    </row>
  </sheetData>
  <mergeCells count="4">
    <mergeCell ref="A1:B1"/>
    <mergeCell ref="A10:B10"/>
    <mergeCell ref="A11:B11"/>
    <mergeCell ref="A12:B1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F19"/>
  <sheetFormatPr defaultRowHeight="15" outlineLevelRow="0" outlineLevelCol="0" x14ac:dyDescent="55"/>
  <cols>
    <col min="1" max="1" width="50" customWidth="1"/>
    <col min="2" max="2" width="18" customWidth="1"/>
    <col min="3" max="3" width="52" customWidth="1"/>
    <col min="4" max="4" width="3" customWidth="1"/>
    <col min="5" max="5" width="50" customWidth="1"/>
    <col min="6" max="6" width="18" customWidth="1"/>
  </cols>
  <sheetData>
    <row r="1" ht="28" customHeight="1" spans="1:3" x14ac:dyDescent="0.25">
      <c r="A1" s="5" t="s">
        <v>10</v>
      </c>
      <c r="B1" s="5"/>
      <c r="C1" s="5"/>
    </row>
    <row r="3" spans="5:6" x14ac:dyDescent="0.25">
      <c r="E3" s="6" t="s">
        <v>11</v>
      </c>
      <c r="F3" s="6"/>
    </row>
    <row r="4" spans="1:3" x14ac:dyDescent="0.25">
      <c r="A4" s="6" t="s">
        <v>12</v>
      </c>
      <c r="B4" s="6"/>
      <c r="C4" s="6"/>
    </row>
    <row r="5" spans="1:5" x14ac:dyDescent="0.25">
      <c r="A5" s="7" t="s">
        <v>13</v>
      </c>
      <c r="B5" s="8">
        <v>1200000</v>
      </c>
      <c r="C5" s="9" t="s">
        <v>14</v>
      </c>
      <c r="E5" s="10" t="s">
        <v>15</v>
      </c>
    </row>
    <row r="6" spans="1:6" x14ac:dyDescent="0.25">
      <c r="A6" s="7" t="s">
        <v>16</v>
      </c>
      <c r="B6" s="11">
        <v>0</v>
      </c>
      <c r="E6" s="12" t="s">
        <v>17</v>
      </c>
      <c r="F6" s="13">
        <f>ROUND(B5*'Tablas oficiales'!$C$4/100,2)</f>
      </c>
    </row>
    <row r="7" spans="1:6" x14ac:dyDescent="0.25">
      <c r="A7" s="7" t="s">
        <v>18</v>
      </c>
      <c r="B7" s="14" t="s">
        <v>19</v>
      </c>
      <c r="E7" s="12" t="s">
        <v>20</v>
      </c>
      <c r="F7" s="13">
        <f>ROUND(B5*'Tablas oficiales'!$C$5/100,2)</f>
      </c>
    </row>
    <row r="8" spans="5:6" x14ac:dyDescent="0.25">
      <c r="E8" s="12" t="s">
        <v>21</v>
      </c>
      <c r="F8" s="13">
        <f>ROUND(B5*'Tablas oficiales'!$C$6/100,2)</f>
      </c>
    </row>
    <row r="9" spans="1:6" x14ac:dyDescent="0.25">
      <c r="A9" s="6" t="s">
        <v>22</v>
      </c>
      <c r="B9" s="6"/>
      <c r="C9" s="6"/>
      <c r="E9" s="12" t="s">
        <v>23</v>
      </c>
      <c r="F9" s="13">
        <f>ROUND(F6+F7+F8,2)</f>
      </c>
    </row>
    <row r="10" spans="1:2" x14ac:dyDescent="0.25">
      <c r="A10" s="15" t="s">
        <v>17</v>
      </c>
      <c r="B10" s="16">
        <f>F6</f>
      </c>
    </row>
    <row r="11" spans="1:5" x14ac:dyDescent="0.25">
      <c r="A11" s="15" t="s">
        <v>20</v>
      </c>
      <c r="B11" s="16">
        <f>F7</f>
      </c>
      <c r="E11" s="10" t="s">
        <v>24</v>
      </c>
    </row>
    <row r="12" spans="1:6" x14ac:dyDescent="0.25">
      <c r="A12" s="15" t="s">
        <v>21</v>
      </c>
      <c r="B12" s="16">
        <f>F8</f>
      </c>
      <c r="E12" s="12" t="s">
        <v>25</v>
      </c>
      <c r="F12" s="13">
        <f>MAX(0,MIN(B5,'Tablas oficiales'!$C$9)-'Tablas oficiales'!$B$9)*'Tablas oficiales'!$D$9/100</f>
      </c>
    </row>
    <row r="13" spans="1:6" x14ac:dyDescent="0.25">
      <c r="A13" s="15" t="s">
        <v>23</v>
      </c>
      <c r="B13" s="16">
        <f>F9</f>
      </c>
      <c r="E13" s="12" t="s">
        <v>26</v>
      </c>
      <c r="F13" s="13">
        <f>MAX(0,MIN(B5,'Tablas oficiales'!$C$10)-'Tablas oficiales'!$B$10)*'Tablas oficiales'!$D$10/100</f>
      </c>
    </row>
    <row r="14" spans="1:6" x14ac:dyDescent="0.25">
      <c r="A14" s="15" t="s">
        <v>24</v>
      </c>
      <c r="B14" s="16">
        <f>F19</f>
      </c>
      <c r="E14" s="12" t="s">
        <v>27</v>
      </c>
      <c r="F14" s="13">
        <f>MAX(0,MIN(B5,'Tablas oficiales'!$C$11)-'Tablas oficiales'!$B$11)*'Tablas oficiales'!$D$11/100</f>
      </c>
    </row>
    <row r="15" spans="1:6" x14ac:dyDescent="0.25">
      <c r="A15" s="17" t="s">
        <v>28</v>
      </c>
      <c r="B15" s="18">
        <f>ROUND(B5-F9-F19,2)</f>
      </c>
      <c r="E15" s="12" t="s">
        <v>29</v>
      </c>
      <c r="F15" s="13">
        <f>MAX(0,MIN(B5,'Tablas oficiales'!$C$12)-'Tablas oficiales'!$B$12)*'Tablas oficiales'!$D$12/100</f>
      </c>
    </row>
    <row r="16" spans="5:6" x14ac:dyDescent="0.25">
      <c r="E16" s="12" t="s">
        <v>30</v>
      </c>
      <c r="F16" s="13">
        <f>MAX(0,MIN(B5,'Tablas oficiales'!$C$13)-'Tablas oficiales'!$B$13)*'Tablas oficiales'!$D$13/100</f>
      </c>
    </row>
    <row r="17" ht="21" customHeight="1" spans="1:6" x14ac:dyDescent="0.25">
      <c r="A17" s="4" t="s">
        <v>31</v>
      </c>
      <c r="B17" s="4"/>
      <c r="C17" s="4"/>
      <c r="E17" s="12" t="s">
        <v>32</v>
      </c>
      <c r="F17" s="13">
        <f>SUM(F12,F13,F14,F15,F16)</f>
      </c>
    </row>
    <row r="18" spans="5:6" x14ac:dyDescent="0.25">
      <c r="E18" s="12" t="s">
        <v>33</v>
      </c>
      <c r="F18" s="13">
        <f>B6*'Tablas oficiales'!$C$15+IF(B7="Sí",'Tablas oficiales'!$C$16,0)</f>
      </c>
    </row>
    <row r="19" spans="5:6" x14ac:dyDescent="0.25">
      <c r="E19" s="12" t="s">
        <v>24</v>
      </c>
      <c r="F19" s="13">
        <f>MAX(0,ROUND(F17-F18,2))</f>
      </c>
    </row>
  </sheetData>
  <mergeCells count="5">
    <mergeCell ref="A1:C1"/>
    <mergeCell ref="E3:F3"/>
    <mergeCell ref="A4:C4"/>
    <mergeCell ref="A9:C9"/>
    <mergeCell ref="A17:C17"/>
  </mergeCells>
  <dataValidations count="3">
    <dataValidation type="decimal" allowBlank="1" showErrorMessage="1" error="Escribe un número mayor o igual a 0." sqref="B5">
      <formula1>0</formula1>
      <formula2>1000000000000</formula2>
    </dataValidation>
    <dataValidation type="whole" allowBlank="1" showErrorMessage="1" error="Escribe un número entre 0 y 20." sqref="B6">
      <formula1>0</formula1>
      <formula2>20</formula2>
    </dataValidation>
    <dataValidation type="list" showErrorMessage="1" error="Elige una opción de la lista." sqref="B7">
      <formula1>"Sí,No"</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F13"/>
  <sheetFormatPr defaultRowHeight="15" outlineLevelRow="0" outlineLevelCol="0" x14ac:dyDescent="55"/>
  <cols>
    <col min="1" max="1" width="50" customWidth="1"/>
    <col min="2" max="2" width="18" customWidth="1"/>
    <col min="3" max="3" width="52" customWidth="1"/>
    <col min="4" max="4" width="3" customWidth="1"/>
    <col min="5" max="5" width="50" customWidth="1"/>
    <col min="6" max="6" width="18" customWidth="1"/>
  </cols>
  <sheetData>
    <row r="1" ht="28" customHeight="1" spans="1:3" x14ac:dyDescent="0.25">
      <c r="A1" s="5" t="s">
        <v>34</v>
      </c>
      <c r="B1" s="5"/>
      <c r="C1" s="5"/>
    </row>
    <row r="3" spans="5:6" x14ac:dyDescent="0.25">
      <c r="E3" s="6" t="s">
        <v>11</v>
      </c>
      <c r="F3" s="6"/>
    </row>
    <row r="4" spans="1:6" x14ac:dyDescent="0.25">
      <c r="A4" s="6" t="s">
        <v>12</v>
      </c>
      <c r="B4" s="6"/>
      <c r="C4" s="6"/>
      <c r="E4" s="12" t="s">
        <v>35</v>
      </c>
      <c r="F4" s="13">
        <f>ROUND(B5*B6+IF(ISNUMBER(B7),B7,0),2)</f>
      </c>
    </row>
    <row r="5" spans="1:3" x14ac:dyDescent="0.25">
      <c r="A5" s="7" t="s">
        <v>13</v>
      </c>
      <c r="B5" s="8">
        <v>600000</v>
      </c>
      <c r="C5" s="9" t="s">
        <v>36</v>
      </c>
    </row>
    <row r="6" spans="1:3" x14ac:dyDescent="0.25">
      <c r="A6" s="7" t="s">
        <v>37</v>
      </c>
      <c r="B6" s="19">
        <v>12</v>
      </c>
      <c r="C6" s="9" t="s">
        <v>38</v>
      </c>
    </row>
    <row r="7" spans="1:3" x14ac:dyDescent="0.25">
      <c r="A7" s="7" t="s">
        <v>39</v>
      </c>
      <c r="B7" s="8"/>
      <c r="C7" s="9" t="s">
        <v>40</v>
      </c>
    </row>
    <row r="9" spans="1:3" x14ac:dyDescent="0.25">
      <c r="A9" s="6" t="s">
        <v>41</v>
      </c>
      <c r="B9" s="6"/>
      <c r="C9" s="6"/>
    </row>
    <row r="10" spans="1:2" x14ac:dyDescent="0.25">
      <c r="A10" s="15" t="s">
        <v>35</v>
      </c>
      <c r="B10" s="16">
        <f>F4</f>
      </c>
    </row>
    <row r="11" spans="1:2" x14ac:dyDescent="0.25">
      <c r="A11" s="17" t="s">
        <v>34</v>
      </c>
      <c r="B11" s="18">
        <f>IF(B6&gt;=1,ROUND(F4/12,2),0)</f>
      </c>
    </row>
    <row r="13" ht="36" customHeight="1" spans="1:3" x14ac:dyDescent="0.25">
      <c r="A13" s="4" t="s">
        <v>42</v>
      </c>
      <c r="B13" s="4"/>
      <c r="C13" s="4"/>
    </row>
  </sheetData>
  <mergeCells count="5">
    <mergeCell ref="A1:C1"/>
    <mergeCell ref="E3:F3"/>
    <mergeCell ref="A4:C4"/>
    <mergeCell ref="A9:C9"/>
    <mergeCell ref="A13:C13"/>
  </mergeCells>
  <dataValidations count="3">
    <dataValidation type="decimal" allowBlank="1" showErrorMessage="1" error="Escribe un número mayor o igual a 0." sqref="B5">
      <formula1>0</formula1>
      <formula2>1000000000000</formula2>
    </dataValidation>
    <dataValidation type="decimal" allowBlank="1" showErrorMessage="1" error="Escribe un número entre 0 y 12." sqref="B6">
      <formula1>0</formula1>
      <formula2>12</formula2>
    </dataValidation>
    <dataValidation type="decimal" allowBlank="1" showErrorMessage="1" error="Escribe un número mayor o igual a 0." sqref="B7">
      <formula1>0</formula1>
      <formula2>1000000000000</formula2>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F25"/>
  <sheetFormatPr defaultRowHeight="15" outlineLevelRow="0" outlineLevelCol="0" x14ac:dyDescent="55"/>
  <cols>
    <col min="1" max="1" width="50" customWidth="1"/>
    <col min="2" max="2" width="18" customWidth="1"/>
    <col min="3" max="3" width="52" customWidth="1"/>
    <col min="4" max="4" width="3" customWidth="1"/>
    <col min="5" max="5" width="50" customWidth="1"/>
    <col min="6" max="6" width="18" customWidth="1"/>
  </cols>
  <sheetData>
    <row r="1" ht="28" customHeight="1" spans="1:3" x14ac:dyDescent="0.25">
      <c r="A1" s="5" t="s">
        <v>43</v>
      </c>
      <c r="B1" s="5"/>
      <c r="C1" s="5"/>
    </row>
    <row r="3" spans="5:6" x14ac:dyDescent="0.25">
      <c r="E3" s="6" t="s">
        <v>11</v>
      </c>
      <c r="F3" s="6"/>
    </row>
    <row r="4" spans="1:6" x14ac:dyDescent="0.25">
      <c r="A4" s="6" t="s">
        <v>12</v>
      </c>
      <c r="B4" s="6"/>
      <c r="C4" s="6"/>
      <c r="E4" s="12" t="s">
        <v>44</v>
      </c>
      <c r="F4" s="20">
        <f>IF(EDATE(B6,12*(YEAR((B7+1))-YEAR(B6)))&gt;(B7+1),(YEAR((B7+1))-YEAR(B6))-1,(YEAR((B7+1))-YEAR(B6)))</f>
      </c>
    </row>
    <row r="5" spans="1:6" x14ac:dyDescent="0.25">
      <c r="A5" s="7" t="s">
        <v>45</v>
      </c>
      <c r="B5" s="8">
        <v>600000</v>
      </c>
      <c r="C5" s="9" t="s">
        <v>46</v>
      </c>
      <c r="E5" s="12" t="s">
        <v>47</v>
      </c>
      <c r="F5" s="21">
        <f>EDATE(B6,12*F4)</f>
      </c>
    </row>
    <row r="6" spans="1:6" x14ac:dyDescent="0.25">
      <c r="A6" s="7" t="s">
        <v>48</v>
      </c>
      <c r="B6" s="22">
        <v>44621</v>
      </c>
      <c r="E6" s="12" t="s">
        <v>49</v>
      </c>
      <c r="F6" s="20">
        <f>MIN(12,IF(EDATE(F5,((YEAR((B7+1))-YEAR(F5))*12+MONTH((B7+1))-MONTH(F5)))&gt;(B7+1),((YEAR((B7+1))-YEAR(F5))*12+MONTH((B7+1))-MONTH(F5))-1,((YEAR((B7+1))-YEAR(F5))*12+MONTH((B7+1))-MONTH(F5))))</f>
      </c>
    </row>
    <row r="7" spans="1:6" x14ac:dyDescent="0.25">
      <c r="A7" s="7" t="s">
        <v>50</v>
      </c>
      <c r="B7" s="22">
        <v>46303</v>
      </c>
      <c r="E7" s="12" t="s">
        <v>51</v>
      </c>
      <c r="F7" s="20">
        <f>(B7+1)-EDATE(F5,F6)</f>
      </c>
    </row>
    <row r="8" spans="1:2" x14ac:dyDescent="0.25">
      <c r="A8" s="7" t="s">
        <v>52</v>
      </c>
      <c r="B8" s="14" t="s">
        <v>53</v>
      </c>
    </row>
    <row r="9" spans="1:5" x14ac:dyDescent="0.25">
      <c r="A9" s="7" t="s">
        <v>54</v>
      </c>
      <c r="B9" s="14" t="s">
        <v>19</v>
      </c>
      <c r="C9" s="9" t="s">
        <v>55</v>
      </c>
      <c r="E9" s="10" t="s">
        <v>56</v>
      </c>
    </row>
    <row r="10" ht="30" customHeight="1" spans="1:6" x14ac:dyDescent="0.25">
      <c r="A10" s="7" t="s">
        <v>57</v>
      </c>
      <c r="B10" s="19">
        <v>0</v>
      </c>
      <c r="C10" s="9" t="s">
        <v>58</v>
      </c>
      <c r="E10" s="12" t="s">
        <v>59</v>
      </c>
      <c r="F10" s="23">
        <f>IF(AND(B8="Despido sin justa causa (con responsabilidad patronal)",B9="No"),IF(F4=0,IF(F6&lt;3,0,IF(OR(F6&gt;6,AND(F6=6,F7&gt;0)),'Tablas oficiales'!$C$18,'Tablas oficiales'!$C$17)),IF(AND(F4=1,F6=0,F7=0),'Tablas oficiales'!$C$18,'Tablas oficiales'!$C$19)),0)</f>
      </c>
    </row>
    <row r="11" spans="1:6" x14ac:dyDescent="0.25">
      <c r="A11" s="7" t="s">
        <v>60</v>
      </c>
      <c r="B11" s="8"/>
      <c r="C11" s="9" t="s">
        <v>61</v>
      </c>
      <c r="E11" s="12" t="s">
        <v>62</v>
      </c>
      <c r="F11" s="20">
        <f>F4+IF(OR(F6&gt;6,AND(F6=6,F7&gt;0)),1,0)</f>
      </c>
    </row>
    <row r="12" spans="5:6" x14ac:dyDescent="0.25">
      <c r="E12" s="12" t="s">
        <v>63</v>
      </c>
      <c r="F12" s="23">
        <f>IF(B8="Despido sin justa causa (con responsabilidad patronal)",IF(F4=0,IF(F6&lt;3,0,IF(OR(F6&gt;6,AND(F6=6,F7&gt;0)),'Tablas oficiales'!$C$21,'Tablas oficiales'!$C$20)),CHOOSE(MIN(F11,13),'Tablas oficiales'!$C$22,'Tablas oficiales'!$C$23,'Tablas oficiales'!$C$24,'Tablas oficiales'!$C$25,'Tablas oficiales'!$C$26,'Tablas oficiales'!$C$27,'Tablas oficiales'!$C$28,'Tablas oficiales'!$C$29,'Tablas oficiales'!$C$30,'Tablas oficiales'!$C$31,'Tablas oficiales'!$C$32,'Tablas oficiales'!$C$33,'Tablas oficiales'!$C$34)*MIN(F11,'Tablas oficiales'!$C$35)),0)</f>
      </c>
    </row>
    <row r="13" spans="1:6" x14ac:dyDescent="0.25">
      <c r="A13" s="6" t="s">
        <v>64</v>
      </c>
      <c r="B13" s="6"/>
      <c r="C13" s="6"/>
      <c r="E13" s="12" t="s">
        <v>65</v>
      </c>
      <c r="F13" s="13">
        <f>B5/'Tablas oficiales'!$C$36</f>
      </c>
    </row>
    <row r="14" spans="1:3" x14ac:dyDescent="0.25">
      <c r="A14" s="24">
        <f>IF(B7&lt;B6,"La fecha de salida tiene que ser igual o posterior a la de ingreso.","")</f>
      </c>
      <c r="B14" s="24"/>
      <c r="C14" s="24"/>
    </row>
    <row r="15" spans="1:5" x14ac:dyDescent="0.25">
      <c r="A15" s="15" t="s">
        <v>66</v>
      </c>
      <c r="B15" s="25">
        <f>F4&amp;" años, "&amp;F6&amp;" meses y "&amp;F7&amp;" días"</f>
      </c>
      <c r="E15" s="10" t="s">
        <v>67</v>
      </c>
    </row>
    <row r="16" spans="1:6" x14ac:dyDescent="0.25">
      <c r="A16" s="15" t="s">
        <v>65</v>
      </c>
      <c r="B16" s="16">
        <f>ROUND(F13,2)</f>
      </c>
      <c r="E16" s="12" t="s">
        <v>68</v>
      </c>
      <c r="F16" s="20">
        <f>IF(EDATE(MAX(B6,IF(MONTH(B7)=12,DATE(YEAR(B7),12,1),DATE(YEAR(B7)-1,12,1))),12*(YEAR((B7+1))-YEAR(MAX(B6,IF(MONTH(B7)=12,DATE(YEAR(B7),12,1),DATE(YEAR(B7)-1,12,1))))))&gt;(B7+1),(YEAR((B7+1))-YEAR(MAX(B6,IF(MONTH(B7)=12,DATE(YEAR(B7),12,1),DATE(YEAR(B7)-1,12,1)))))-1,(YEAR((B7+1))-YEAR(MAX(B6,IF(MONTH(B7)=12,DATE(YEAR(B7),12,1),DATE(YEAR(B7)-1,12,1))))))</f>
      </c>
    </row>
    <row r="17" spans="1:6" x14ac:dyDescent="0.25">
      <c r="A17" s="15" t="s">
        <v>59</v>
      </c>
      <c r="B17" s="26">
        <f>F10</f>
      </c>
      <c r="E17" s="12" t="s">
        <v>69</v>
      </c>
      <c r="F17" s="21">
        <f>EDATE(MAX(B6,IF(MONTH(B7)=12,DATE(YEAR(B7),12,1),DATE(YEAR(B7)-1,12,1))),12*F16)</f>
      </c>
    </row>
    <row r="18" spans="1:6" x14ac:dyDescent="0.25">
      <c r="A18" s="15" t="s">
        <v>70</v>
      </c>
      <c r="B18" s="16">
        <f>F22</f>
      </c>
      <c r="E18" s="12" t="s">
        <v>71</v>
      </c>
      <c r="F18" s="20">
        <f>MIN(12,IF(EDATE(F17,((YEAR((B7+1))-YEAR(F17))*12+MONTH((B7+1))-MONTH(F17)))&gt;(B7+1),((YEAR((B7+1))-YEAR(F17))*12+MONTH((B7+1))-MONTH(F17))-1,((YEAR((B7+1))-YEAR(F17))*12+MONTH((B7+1))-MONTH(F17))))</f>
      </c>
    </row>
    <row r="19" spans="1:6" x14ac:dyDescent="0.25">
      <c r="A19" s="15" t="s">
        <v>63</v>
      </c>
      <c r="B19" s="26">
        <f>F12</f>
      </c>
      <c r="E19" s="12" t="s">
        <v>72</v>
      </c>
      <c r="F19" s="20">
        <f>(B7+1)-EDATE(F17,F18)</f>
      </c>
    </row>
    <row r="20" spans="1:6" x14ac:dyDescent="0.25">
      <c r="A20" s="15" t="s">
        <v>73</v>
      </c>
      <c r="B20" s="16">
        <f>F23</f>
      </c>
      <c r="E20" s="12" t="s">
        <v>74</v>
      </c>
      <c r="F20" s="23">
        <f>MIN(12,F16*12+F18+F19/30)</f>
      </c>
    </row>
    <row r="21" spans="1:6" x14ac:dyDescent="0.25">
      <c r="A21" s="15" t="s">
        <v>75</v>
      </c>
      <c r="B21" s="16">
        <f>F24</f>
      </c>
      <c r="E21" s="12" t="s">
        <v>76</v>
      </c>
      <c r="F21" s="13">
        <f>IF(ISNUMBER(B11),B11,B5*F20)</f>
      </c>
    </row>
    <row r="22" spans="1:6" x14ac:dyDescent="0.25">
      <c r="A22" s="15" t="s">
        <v>67</v>
      </c>
      <c r="B22" s="16">
        <f>F25</f>
      </c>
      <c r="E22" s="12" t="s">
        <v>70</v>
      </c>
      <c r="F22" s="13">
        <f>ROUND(F13*F10,2)</f>
      </c>
    </row>
    <row r="23" spans="1:6" x14ac:dyDescent="0.25">
      <c r="A23" s="17" t="s">
        <v>77</v>
      </c>
      <c r="B23" s="18">
        <f>ROUND(F22+F23+F24+F25,2)</f>
      </c>
      <c r="E23" s="12" t="s">
        <v>73</v>
      </c>
      <c r="F23" s="13">
        <f>ROUND(F13*F12,2)</f>
      </c>
    </row>
    <row r="24" spans="5:6" x14ac:dyDescent="0.25">
      <c r="E24" s="12" t="s">
        <v>78</v>
      </c>
      <c r="F24" s="13">
        <f>ROUND(F13*B10,2)</f>
      </c>
    </row>
    <row r="25" ht="51" customHeight="1" spans="1:6" x14ac:dyDescent="0.25">
      <c r="A25" s="4" t="s">
        <v>79</v>
      </c>
      <c r="B25" s="4"/>
      <c r="C25" s="4"/>
      <c r="E25" s="12" t="s">
        <v>34</v>
      </c>
      <c r="F25" s="13">
        <f>IF(F4*12+F6&gt;=1,ROUND(F21/12,2),0)</f>
      </c>
    </row>
  </sheetData>
  <mergeCells count="6">
    <mergeCell ref="A1:C1"/>
    <mergeCell ref="E3:F3"/>
    <mergeCell ref="A4:C4"/>
    <mergeCell ref="A13:C13"/>
    <mergeCell ref="A14:C14"/>
    <mergeCell ref="A25:C25"/>
  </mergeCells>
  <dataValidations count="5">
    <dataValidation type="decimal" allowBlank="1" showErrorMessage="1" error="Escribe un número mayor o igual a 0." sqref="B10:B11">
      <formula1>0</formula1>
      <formula2>1000000000000</formula2>
    </dataValidation>
    <dataValidation type="decimal" allowBlank="1" showErrorMessage="1" error="Escribe un número mayor o igual a 0." sqref="B5">
      <formula1>0</formula1>
      <formula2>1000000000000</formula2>
    </dataValidation>
    <dataValidation type="date" operator="greaterThan" allowBlank="1" showErrorMessage="1" error="Escribe una fecha como dd/mm/aaaa." sqref="B6:B7">
      <formula1>18264</formula1>
    </dataValidation>
    <dataValidation type="list" showErrorMessage="1" error="Elige una opción de la lista." sqref="B8">
      <formula1>"Despido sin justa causa (con responsabilidad patronal),Renuncia,Despido con justa causa"</formula1>
    </dataValidation>
    <dataValidation type="list" showErrorMessage="1" error="Elige una opción de la lista." sqref="B9">
      <formula1>"Sí,No"</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7474F"/>
  </sheetPr>
  <dimension ref="A1:G36"/>
  <sheetViews>
    <sheetView workbookViewId="0">
      <pane ySplit="3" topLeftCell="A4" activePane="bottomLeft" state="frozen"/>
      <selection pane="bottomLeft"/>
    </sheetView>
  </sheetViews>
  <sheetFormatPr defaultRowHeight="15" outlineLevelRow="0" outlineLevelCol="0" x14ac:dyDescent="55"/>
  <cols>
    <col min="1" max="1" width="46" customWidth="1"/>
    <col min="2" max="2" width="30" customWidth="1"/>
    <col min="3" max="3" width="18" customWidth="1"/>
    <col min="4" max="4" width="12" customWidth="1"/>
    <col min="5" max="5" width="14" customWidth="1"/>
    <col min="6" max="6" width="58" customWidth="1"/>
    <col min="7" max="7" width="14" customWidth="1"/>
  </cols>
  <sheetData>
    <row r="1" ht="28" customHeight="1" spans="1:7" x14ac:dyDescent="0.25">
      <c r="A1" s="27" t="s">
        <v>80</v>
      </c>
      <c r="B1" s="27"/>
      <c r="C1" s="27"/>
      <c r="D1" s="27"/>
      <c r="E1" s="27"/>
      <c r="F1" s="27"/>
      <c r="G1" s="27"/>
    </row>
    <row r="2" ht="30" customHeight="1" spans="1:7" x14ac:dyDescent="0.25">
      <c r="A2" s="4" t="s">
        <v>81</v>
      </c>
      <c r="B2" s="4"/>
      <c r="C2" s="4"/>
      <c r="D2" s="4"/>
      <c r="E2" s="4"/>
      <c r="F2" s="4"/>
      <c r="G2" s="4"/>
    </row>
    <row r="3" spans="1:7" x14ac:dyDescent="0.25">
      <c r="A3" s="28" t="s">
        <v>82</v>
      </c>
      <c r="B3" s="28" t="s">
        <v>83</v>
      </c>
      <c r="C3" s="28" t="s">
        <v>84</v>
      </c>
      <c r="D3" s="28" t="s">
        <v>85</v>
      </c>
      <c r="E3" s="28" t="s">
        <v>86</v>
      </c>
      <c r="F3" s="28" t="s">
        <v>87</v>
      </c>
      <c r="G3" s="28" t="s">
        <v>88</v>
      </c>
    </row>
    <row r="4" spans="1:7" x14ac:dyDescent="0.25">
      <c r="A4" s="29" t="s">
        <v>89</v>
      </c>
      <c r="B4" s="29" t="s">
        <v>90</v>
      </c>
      <c r="C4" s="30">
        <v>5.5</v>
      </c>
      <c r="D4" s="29" t="s">
        <v>91</v>
      </c>
      <c r="E4" s="29" t="s">
        <v>92</v>
      </c>
      <c r="F4" s="31" t="s">
        <v>93</v>
      </c>
      <c r="G4" s="29" t="s">
        <v>94</v>
      </c>
    </row>
    <row r="5" spans="1:7" x14ac:dyDescent="0.25">
      <c r="A5" s="32" t="s">
        <v>95</v>
      </c>
      <c r="B5" s="32" t="s">
        <v>90</v>
      </c>
      <c r="C5" s="33">
        <v>4.33</v>
      </c>
      <c r="D5" s="32" t="s">
        <v>91</v>
      </c>
      <c r="E5" s="32" t="s">
        <v>92</v>
      </c>
      <c r="F5" s="34" t="s">
        <v>96</v>
      </c>
      <c r="G5" s="32" t="s">
        <v>94</v>
      </c>
    </row>
    <row r="6" spans="1:7" x14ac:dyDescent="0.25">
      <c r="A6" s="29" t="s">
        <v>97</v>
      </c>
      <c r="B6" s="29" t="s">
        <v>90</v>
      </c>
      <c r="C6" s="30">
        <v>1</v>
      </c>
      <c r="D6" s="29" t="s">
        <v>91</v>
      </c>
      <c r="E6" s="29" t="s">
        <v>92</v>
      </c>
      <c r="F6" s="31" t="s">
        <v>98</v>
      </c>
      <c r="G6" s="29" t="s">
        <v>94</v>
      </c>
    </row>
    <row r="7" spans="1:7" x14ac:dyDescent="0.25">
      <c r="A7" s="35" t="s">
        <v>99</v>
      </c>
      <c r="B7" s="36"/>
      <c r="C7" s="36"/>
      <c r="D7" s="36" t="s">
        <v>100</v>
      </c>
      <c r="E7" s="36" t="s">
        <v>92</v>
      </c>
      <c r="F7" s="37" t="s">
        <v>101</v>
      </c>
      <c r="G7" s="36" t="s">
        <v>94</v>
      </c>
    </row>
    <row r="8" spans="2:5" x14ac:dyDescent="0.25">
      <c r="B8" s="38" t="s">
        <v>102</v>
      </c>
      <c r="C8" s="38" t="s">
        <v>103</v>
      </c>
      <c r="D8" s="38" t="s">
        <v>104</v>
      </c>
      <c r="E8" s="38" t="s">
        <v>105</v>
      </c>
    </row>
    <row r="9" spans="2:5" x14ac:dyDescent="0.25">
      <c r="B9" s="39">
        <v>0</v>
      </c>
      <c r="C9" s="40">
        <v>918000</v>
      </c>
      <c r="D9" s="41">
        <v>0</v>
      </c>
      <c r="E9" s="39">
        <v>0</v>
      </c>
    </row>
    <row r="10" spans="2:5" x14ac:dyDescent="0.25">
      <c r="B10" s="39">
        <v>918000</v>
      </c>
      <c r="C10" s="40">
        <v>1347000</v>
      </c>
      <c r="D10" s="41">
        <v>10</v>
      </c>
      <c r="E10" s="39">
        <v>0</v>
      </c>
    </row>
    <row r="11" spans="2:5" x14ac:dyDescent="0.25">
      <c r="B11" s="39">
        <v>1347000</v>
      </c>
      <c r="C11" s="40">
        <v>2364000</v>
      </c>
      <c r="D11" s="41">
        <v>15</v>
      </c>
      <c r="E11" s="39">
        <v>0</v>
      </c>
    </row>
    <row r="12" spans="2:5" x14ac:dyDescent="0.25">
      <c r="B12" s="39">
        <v>2364000</v>
      </c>
      <c r="C12" s="40">
        <v>4727000</v>
      </c>
      <c r="D12" s="41">
        <v>20</v>
      </c>
      <c r="E12" s="39">
        <v>0</v>
      </c>
    </row>
    <row r="13" spans="2:5" x14ac:dyDescent="0.25">
      <c r="B13" s="39">
        <v>4727000</v>
      </c>
      <c r="C13" s="40">
        <v>1000000000000000</v>
      </c>
      <c r="D13" s="41">
        <v>25</v>
      </c>
      <c r="E13" s="39">
        <v>0</v>
      </c>
    </row>
    <row r="15" spans="1:7" x14ac:dyDescent="0.25">
      <c r="A15" s="32" t="s">
        <v>106</v>
      </c>
      <c r="B15" s="32" t="s">
        <v>90</v>
      </c>
      <c r="C15" s="42">
        <v>1710</v>
      </c>
      <c r="D15" s="32" t="s">
        <v>100</v>
      </c>
      <c r="E15" s="32" t="s">
        <v>92</v>
      </c>
      <c r="F15" s="34" t="s">
        <v>101</v>
      </c>
      <c r="G15" s="32" t="s">
        <v>94</v>
      </c>
    </row>
    <row r="16" spans="1:7" x14ac:dyDescent="0.25">
      <c r="A16" s="29" t="s">
        <v>107</v>
      </c>
      <c r="B16" s="29" t="s">
        <v>90</v>
      </c>
      <c r="C16" s="43">
        <v>2590</v>
      </c>
      <c r="D16" s="29" t="s">
        <v>100</v>
      </c>
      <c r="E16" s="29" t="s">
        <v>92</v>
      </c>
      <c r="F16" s="31" t="s">
        <v>101</v>
      </c>
      <c r="G16" s="29" t="s">
        <v>94</v>
      </c>
    </row>
    <row r="17" spans="1:7" x14ac:dyDescent="0.25">
      <c r="A17" s="32" t="s">
        <v>108</v>
      </c>
      <c r="B17" s="32" t="s">
        <v>109</v>
      </c>
      <c r="C17" s="33">
        <v>7</v>
      </c>
      <c r="D17" s="32" t="s">
        <v>110</v>
      </c>
      <c r="E17" s="32" t="s">
        <v>92</v>
      </c>
      <c r="F17" s="34" t="s">
        <v>111</v>
      </c>
      <c r="G17" s="32" t="s">
        <v>94</v>
      </c>
    </row>
    <row r="18" spans="1:7" x14ac:dyDescent="0.25">
      <c r="A18" s="29" t="s">
        <v>108</v>
      </c>
      <c r="B18" s="29" t="s">
        <v>112</v>
      </c>
      <c r="C18" s="30">
        <v>15</v>
      </c>
      <c r="D18" s="29" t="s">
        <v>110</v>
      </c>
      <c r="E18" s="29" t="s">
        <v>92</v>
      </c>
      <c r="F18" s="31" t="s">
        <v>111</v>
      </c>
      <c r="G18" s="29" t="s">
        <v>94</v>
      </c>
    </row>
    <row r="19" spans="1:7" x14ac:dyDescent="0.25">
      <c r="A19" s="32" t="s">
        <v>108</v>
      </c>
      <c r="B19" s="32" t="s">
        <v>113</v>
      </c>
      <c r="C19" s="33">
        <v>30</v>
      </c>
      <c r="D19" s="32" t="s">
        <v>110</v>
      </c>
      <c r="E19" s="32" t="s">
        <v>92</v>
      </c>
      <c r="F19" s="34" t="s">
        <v>111</v>
      </c>
      <c r="G19" s="32" t="s">
        <v>94</v>
      </c>
    </row>
    <row r="20" spans="1:7" x14ac:dyDescent="0.25">
      <c r="A20" s="29" t="s">
        <v>114</v>
      </c>
      <c r="B20" s="29" t="s">
        <v>115</v>
      </c>
      <c r="C20" s="30">
        <v>7</v>
      </c>
      <c r="D20" s="29" t="s">
        <v>110</v>
      </c>
      <c r="E20" s="29" t="s">
        <v>92</v>
      </c>
      <c r="F20" s="31" t="s">
        <v>111</v>
      </c>
      <c r="G20" s="29" t="s">
        <v>94</v>
      </c>
    </row>
    <row r="21" spans="1:7" x14ac:dyDescent="0.25">
      <c r="A21" s="32" t="s">
        <v>114</v>
      </c>
      <c r="B21" s="32" t="s">
        <v>116</v>
      </c>
      <c r="C21" s="33">
        <v>14</v>
      </c>
      <c r="D21" s="32" t="s">
        <v>110</v>
      </c>
      <c r="E21" s="32" t="s">
        <v>92</v>
      </c>
      <c r="F21" s="34" t="s">
        <v>111</v>
      </c>
      <c r="G21" s="32" t="s">
        <v>94</v>
      </c>
    </row>
    <row r="22" spans="1:7" x14ac:dyDescent="0.25">
      <c r="A22" s="29" t="s">
        <v>117</v>
      </c>
      <c r="B22" s="29" t="s">
        <v>118</v>
      </c>
      <c r="C22" s="30">
        <v>19.5</v>
      </c>
      <c r="D22" s="29" t="s">
        <v>110</v>
      </c>
      <c r="E22" s="29" t="s">
        <v>92</v>
      </c>
      <c r="F22" s="31" t="s">
        <v>111</v>
      </c>
      <c r="G22" s="29" t="s">
        <v>94</v>
      </c>
    </row>
    <row r="23" spans="1:7" x14ac:dyDescent="0.25">
      <c r="A23" s="32" t="s">
        <v>117</v>
      </c>
      <c r="B23" s="32" t="s">
        <v>119</v>
      </c>
      <c r="C23" s="33">
        <v>20</v>
      </c>
      <c r="D23" s="32" t="s">
        <v>110</v>
      </c>
      <c r="E23" s="32" t="s">
        <v>92</v>
      </c>
      <c r="F23" s="34" t="s">
        <v>111</v>
      </c>
      <c r="G23" s="32" t="s">
        <v>94</v>
      </c>
    </row>
    <row r="24" spans="1:7" x14ac:dyDescent="0.25">
      <c r="A24" s="29" t="s">
        <v>117</v>
      </c>
      <c r="B24" s="29" t="s">
        <v>120</v>
      </c>
      <c r="C24" s="30">
        <v>20.5</v>
      </c>
      <c r="D24" s="29" t="s">
        <v>110</v>
      </c>
      <c r="E24" s="29" t="s">
        <v>92</v>
      </c>
      <c r="F24" s="31" t="s">
        <v>111</v>
      </c>
      <c r="G24" s="29" t="s">
        <v>94</v>
      </c>
    </row>
    <row r="25" spans="1:7" x14ac:dyDescent="0.25">
      <c r="A25" s="32" t="s">
        <v>117</v>
      </c>
      <c r="B25" s="32" t="s">
        <v>121</v>
      </c>
      <c r="C25" s="33">
        <v>21</v>
      </c>
      <c r="D25" s="32" t="s">
        <v>110</v>
      </c>
      <c r="E25" s="32" t="s">
        <v>92</v>
      </c>
      <c r="F25" s="34" t="s">
        <v>111</v>
      </c>
      <c r="G25" s="32" t="s">
        <v>94</v>
      </c>
    </row>
    <row r="26" spans="1:7" x14ac:dyDescent="0.25">
      <c r="A26" s="29" t="s">
        <v>117</v>
      </c>
      <c r="B26" s="29" t="s">
        <v>122</v>
      </c>
      <c r="C26" s="30">
        <v>21.24</v>
      </c>
      <c r="D26" s="29" t="s">
        <v>110</v>
      </c>
      <c r="E26" s="29" t="s">
        <v>92</v>
      </c>
      <c r="F26" s="31" t="s">
        <v>111</v>
      </c>
      <c r="G26" s="29" t="s">
        <v>94</v>
      </c>
    </row>
    <row r="27" spans="1:7" x14ac:dyDescent="0.25">
      <c r="A27" s="32" t="s">
        <v>117</v>
      </c>
      <c r="B27" s="32" t="s">
        <v>123</v>
      </c>
      <c r="C27" s="33">
        <v>21.5</v>
      </c>
      <c r="D27" s="32" t="s">
        <v>110</v>
      </c>
      <c r="E27" s="32" t="s">
        <v>92</v>
      </c>
      <c r="F27" s="34" t="s">
        <v>111</v>
      </c>
      <c r="G27" s="32" t="s">
        <v>94</v>
      </c>
    </row>
    <row r="28" spans="1:7" x14ac:dyDescent="0.25">
      <c r="A28" s="29" t="s">
        <v>117</v>
      </c>
      <c r="B28" s="29" t="s">
        <v>124</v>
      </c>
      <c r="C28" s="30">
        <v>22</v>
      </c>
      <c r="D28" s="29" t="s">
        <v>110</v>
      </c>
      <c r="E28" s="29" t="s">
        <v>92</v>
      </c>
      <c r="F28" s="31" t="s">
        <v>111</v>
      </c>
      <c r="G28" s="29" t="s">
        <v>94</v>
      </c>
    </row>
    <row r="29" spans="1:7" x14ac:dyDescent="0.25">
      <c r="A29" s="32" t="s">
        <v>117</v>
      </c>
      <c r="B29" s="32" t="s">
        <v>125</v>
      </c>
      <c r="C29" s="33">
        <v>22</v>
      </c>
      <c r="D29" s="32" t="s">
        <v>110</v>
      </c>
      <c r="E29" s="32" t="s">
        <v>92</v>
      </c>
      <c r="F29" s="34" t="s">
        <v>111</v>
      </c>
      <c r="G29" s="32" t="s">
        <v>94</v>
      </c>
    </row>
    <row r="30" spans="1:7" x14ac:dyDescent="0.25">
      <c r="A30" s="29" t="s">
        <v>117</v>
      </c>
      <c r="B30" s="29" t="s">
        <v>126</v>
      </c>
      <c r="C30" s="30">
        <v>22</v>
      </c>
      <c r="D30" s="29" t="s">
        <v>110</v>
      </c>
      <c r="E30" s="29" t="s">
        <v>92</v>
      </c>
      <c r="F30" s="31" t="s">
        <v>111</v>
      </c>
      <c r="G30" s="29" t="s">
        <v>94</v>
      </c>
    </row>
    <row r="31" spans="1:7" x14ac:dyDescent="0.25">
      <c r="A31" s="32" t="s">
        <v>117</v>
      </c>
      <c r="B31" s="32" t="s">
        <v>127</v>
      </c>
      <c r="C31" s="33">
        <v>21.5</v>
      </c>
      <c r="D31" s="32" t="s">
        <v>110</v>
      </c>
      <c r="E31" s="32" t="s">
        <v>92</v>
      </c>
      <c r="F31" s="34" t="s">
        <v>111</v>
      </c>
      <c r="G31" s="32" t="s">
        <v>94</v>
      </c>
    </row>
    <row r="32" spans="1:7" x14ac:dyDescent="0.25">
      <c r="A32" s="29" t="s">
        <v>117</v>
      </c>
      <c r="B32" s="29" t="s">
        <v>128</v>
      </c>
      <c r="C32" s="30">
        <v>21</v>
      </c>
      <c r="D32" s="29" t="s">
        <v>110</v>
      </c>
      <c r="E32" s="29" t="s">
        <v>92</v>
      </c>
      <c r="F32" s="31" t="s">
        <v>111</v>
      </c>
      <c r="G32" s="29" t="s">
        <v>94</v>
      </c>
    </row>
    <row r="33" spans="1:7" x14ac:dyDescent="0.25">
      <c r="A33" s="32" t="s">
        <v>117</v>
      </c>
      <c r="B33" s="32" t="s">
        <v>129</v>
      </c>
      <c r="C33" s="33">
        <v>20.5</v>
      </c>
      <c r="D33" s="32" t="s">
        <v>110</v>
      </c>
      <c r="E33" s="32" t="s">
        <v>92</v>
      </c>
      <c r="F33" s="34" t="s">
        <v>111</v>
      </c>
      <c r="G33" s="32" t="s">
        <v>94</v>
      </c>
    </row>
    <row r="34" spans="1:7" x14ac:dyDescent="0.25">
      <c r="A34" s="29" t="s">
        <v>117</v>
      </c>
      <c r="B34" s="29" t="s">
        <v>130</v>
      </c>
      <c r="C34" s="30">
        <v>20</v>
      </c>
      <c r="D34" s="29" t="s">
        <v>110</v>
      </c>
      <c r="E34" s="29" t="s">
        <v>92</v>
      </c>
      <c r="F34" s="31" t="s">
        <v>111</v>
      </c>
      <c r="G34" s="29" t="s">
        <v>94</v>
      </c>
    </row>
    <row r="35" spans="1:7" x14ac:dyDescent="0.25">
      <c r="A35" s="32" t="s">
        <v>131</v>
      </c>
      <c r="B35" s="32" t="s">
        <v>90</v>
      </c>
      <c r="C35" s="33">
        <v>8</v>
      </c>
      <c r="D35" s="32" t="s">
        <v>132</v>
      </c>
      <c r="E35" s="32" t="s">
        <v>92</v>
      </c>
      <c r="F35" s="34" t="s">
        <v>111</v>
      </c>
      <c r="G35" s="32" t="s">
        <v>94</v>
      </c>
    </row>
    <row r="36" spans="1:7" x14ac:dyDescent="0.25">
      <c r="A36" s="29" t="s">
        <v>133</v>
      </c>
      <c r="B36" s="29" t="s">
        <v>90</v>
      </c>
      <c r="C36" s="30">
        <v>30</v>
      </c>
      <c r="D36" s="29" t="s">
        <v>110</v>
      </c>
      <c r="E36" s="29" t="s">
        <v>92</v>
      </c>
      <c r="F36" s="31" t="s">
        <v>134</v>
      </c>
      <c r="G36" s="29" t="s">
        <v>94</v>
      </c>
    </row>
  </sheetData>
  <mergeCells count="2">
    <mergeCell ref="A1:G1"/>
    <mergeCell ref="A2:G2"/>
  </mergeCells>
  <hyperlinks>
    <hyperlink ref="F4" r:id="rId1"/>
    <hyperlink ref="F5" r:id="rId2"/>
    <hyperlink ref="F6" r:id="rId3"/>
    <hyperlink ref="F7" r:id="rId4"/>
    <hyperlink ref="F15" r:id="rId5"/>
    <hyperlink ref="F16" r:id="rId6"/>
    <hyperlink ref="F17" r:id="rId7"/>
    <hyperlink ref="F18" r:id="rId8"/>
    <hyperlink ref="F19" r:id="rId9"/>
    <hyperlink ref="F20" r:id="rId10"/>
    <hyperlink ref="F21" r:id="rId11"/>
    <hyperlink ref="F22" r:id="rId12"/>
    <hyperlink ref="F23" r:id="rId13"/>
    <hyperlink ref="F24" r:id="rId14"/>
    <hyperlink ref="F25" r:id="rId15"/>
    <hyperlink ref="F26" r:id="rId16"/>
    <hyperlink ref="F27" r:id="rId17"/>
    <hyperlink ref="F28" r:id="rId18"/>
    <hyperlink ref="F29" r:id="rId19"/>
    <hyperlink ref="F30" r:id="rId20"/>
    <hyperlink ref="F31" r:id="rId21"/>
    <hyperlink ref="F32" r:id="rId22"/>
    <hyperlink ref="F33" r:id="rId23"/>
    <hyperlink ref="F34" r:id="rId24"/>
    <hyperlink ref="F35" r:id="rId25"/>
    <hyperlink ref="F36" r:id="rId2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Instrucciones</vt:lpstr>
      <vt:lpstr>Salario neto</vt:lpstr>
      <vt:lpstr>Aguinaldo</vt:lpstr>
      <vt:lpstr>Liquidación</vt:lpstr>
      <vt:lpstr>Tablas oficiales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CalcularYa (calcularya.com)</dc:creator>
  <dc:title>Planilla de salario y liquidación Costa Rica 2026</dc:title>
  <dc:subject/>
  <dc:description/>
  <cp:keywords/>
  <cp:category/>
  <cp:lastModifiedBy>Unknown</cp:lastModifiedBy>
  <dcterms:created xsi:type="dcterms:W3CDTF">2026-10-08T12:00:00Z</dcterms:created>
  <dcterms:modified xsi:type="dcterms:W3CDTF">2026-10-08T12:00:00Z</dcterms:modified>
</cp:coreProperties>
</file>