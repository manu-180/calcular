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quidación" state="visible" r:id="rId4"/>
    <sheet sheetId="2" name="Escala 2026" state="visible" r:id="rId5"/>
    <sheet sheetId="3" name="SAC (Aguinaldo)" state="visible" r:id="rId6"/>
    <sheet sheetId="4" name="Changelog" state="visible" r:id="rId7"/>
  </sheets>
  <calcPr calcId="171027"/>
</workbook>
</file>

<file path=xl/sharedStrings.xml><?xml version="1.0" encoding="utf-8"?>
<sst xmlns="http://schemas.openxmlformats.org/spreadsheetml/2006/main" count="87" uniqueCount="83">
  <si>
    <t>Liquidación de sueldos — Empleados de Comercio</t>
  </si>
  <si>
    <t>CCT 130/75 · Escala oficial de FAECYS · Verificada el 30 de julio de 2026</t>
  </si>
  <si>
    <t>DATOS DEL EMPLEADO</t>
  </si>
  <si>
    <t>Categoría del convenio</t>
  </si>
  <si>
    <t>Vendedor B</t>
  </si>
  <si>
    <t>Mes a liquidar</t>
  </si>
  <si>
    <t>Diciembre 2026</t>
  </si>
  <si>
    <t>Años de antigüedad</t>
  </si>
  <si>
    <t>Jornada laboral</t>
  </si>
  <si>
    <t>Jornada completa (8hs)</t>
  </si>
  <si>
    <t>¿Cobró presentismo?</t>
  </si>
  <si>
    <t>Sí</t>
  </si>
  <si>
    <t>LIQUIDACIÓN DEL MES</t>
  </si>
  <si>
    <t>Básico convencional</t>
  </si>
  <si>
    <t>Sumas no remunerativas</t>
  </si>
  <si>
    <t>Adicional por antigüedad</t>
  </si>
  <si>
    <t>Presentismo (8,33%)</t>
  </si>
  <si>
    <t>Asignación extraordinaria</t>
  </si>
  <si>
    <t>TOTAL BRUTO</t>
  </si>
  <si>
    <t>Aportes del trabajador</t>
  </si>
  <si>
    <t>NETO ESTIMADO</t>
  </si>
  <si>
    <t>* Aportes = 17% jubilación+PAMI+obra social sobre lo remunerativo + 3% obra social sobre sumas no remunerativas (art. 40 CCT y acuerdo 26/3/2026).</t>
  </si>
  <si>
    <t>* El neto es estimado: no incluye cuota sindical (FAECYS ~1%), Ganancias (si aplica) ni descuentos por deuda.</t>
  </si>
  <si>
    <t>* Fuente: circular FAECYS 7/4/2026 + acuerdo paritario 26/3/2026. Verificado el 12/06/2026 contra los PDFs oficiales.</t>
  </si>
  <si>
    <t>Escala de básicos — CCT 130/75 Empleados de Comercio 2026</t>
  </si>
  <si>
    <t>Categoría</t>
  </si>
  <si>
    <t>Abril 2026</t>
  </si>
  <si>
    <t>Mayo 2026</t>
  </si>
  <si>
    <t>Junio 2026</t>
  </si>
  <si>
    <t>Julio 2026</t>
  </si>
  <si>
    <t>Agosto 2026</t>
  </si>
  <si>
    <t>Septiembre 2026</t>
  </si>
  <si>
    <t>Octubre 2026</t>
  </si>
  <si>
    <t>Noviembre 2026</t>
  </si>
  <si>
    <t>Maestranza A</t>
  </si>
  <si>
    <t>Maestranza B</t>
  </si>
  <si>
    <t>Maestranza C</t>
  </si>
  <si>
    <t>Administrativo A</t>
  </si>
  <si>
    <t>Administrativo B</t>
  </si>
  <si>
    <t>Administrativo C</t>
  </si>
  <si>
    <t>Administrativo D</t>
  </si>
  <si>
    <t>Administrativo E</t>
  </si>
  <si>
    <t>Administrativo F</t>
  </si>
  <si>
    <t>Cajeros A</t>
  </si>
  <si>
    <t>Cajeros B</t>
  </si>
  <si>
    <t>Cajeros C</t>
  </si>
  <si>
    <t>Auxiliar A</t>
  </si>
  <si>
    <t>Auxiliar B</t>
  </si>
  <si>
    <t>Auxiliar C</t>
  </si>
  <si>
    <t>Auxiliar especializado A</t>
  </si>
  <si>
    <t>Auxiliar especializado B</t>
  </si>
  <si>
    <t>Vendedor A</t>
  </si>
  <si>
    <t>Vendedor C</t>
  </si>
  <si>
    <t>Vendedor D</t>
  </si>
  <si>
    <t>Fuente: FAECYS: circular ACUERDO 07/2026 con las escalas de julio/2026 a mayo/2027 (28/7/2026) + Acuerdo paritario 22/7/2026: CCT 130/75 (+5,7% trimestral + bono $50.000). Verificado el 30 de julio de 2026. La asignación extraordinaria es por única vez (julio y agosto de 2026) y no suma antigüedad, presentismo ni aguinaldo.</t>
  </si>
  <si>
    <t>Datos verificados contra los PDFs oficiales de FAECYS. calcular.ar · Operado por Hornero.</t>
  </si>
  <si>
    <t>Calculadora de SAC (Aguinaldo) — Ley 23.041</t>
  </si>
  <si>
    <t>DATOS DEL SEMESTRE</t>
  </si>
  <si>
    <t>Mejor sueldo bruto del semestre ($)</t>
  </si>
  <si>
    <t>Días trabajados en el semestre</t>
  </si>
  <si>
    <t>Días del semestre (180 o 184)</t>
  </si>
  <si>
    <t>RESULTADO</t>
  </si>
  <si>
    <t>SAC bruto (proporcional)</t>
  </si>
  <si>
    <t>Aportes sobre el SAC (~17%)</t>
  </si>
  <si>
    <t>SAC NETO estimado</t>
  </si>
  <si>
    <t>* SAC = mejor sueldo del semestre ÷ 2 × (días trabajados ÷ días del semestre). Fuente: Ley 23.041.</t>
  </si>
  <si>
    <t>* Los aportes sobre el SAC son idénticos a los del sueldo mensual (11%+3%+3%). El SAC está exento de Ganancias.</t>
  </si>
  <si>
    <t>Historial de actualizaciones</t>
  </si>
  <si>
    <t>Fecha</t>
  </si>
  <si>
    <t>Cambio</t>
  </si>
  <si>
    <t>Fuente</t>
  </si>
  <si>
    <t>12/06/2026</t>
  </si>
  <si>
    <t>Publicación inicial: escala abr-jul 2026 completa (21 categorías), $120.000 SNR, antigüedad, presentismo y jornada parcial.</t>
  </si>
  <si>
    <t>Circular FAECYS 7/4/2026 + acuerdo paritario 26/3/2026 (PDF oficiales leídos completos).</t>
  </si>
  <si>
    <t>15/06/2026</t>
  </si>
  <si>
    <t>Corrección del neto estimado: la antigüedad y el presentismo calculados sobre las sumas no remunerativas ahora aportan 3% (no 17%), igual que la calculadora de calcular.ar. El bruto no cambia; el neto queda idéntico al del sitio.</t>
  </si>
  <si>
    <t>CCT 130/75 art. 40 + circular FAECYS (lo calculado sobre lo no remunerativo sigue siendo no remunerativo).</t>
  </si>
  <si>
    <t>30/07/2026</t>
  </si>
  <si>
    <t>Acuerdo paritario del 22/7/2026: escalas de julio a diciembre de 2026 (+1,9% julio, +3,8% agosto, +5,7% septiembre a noviembre, no acumulativos sobre el total de junio). Nueva fila «Asignación extraordinaria» con el bono de $50.000 en dos cuotas de $25.000 (julio y agosto), que no suma antigüedad ni presentismo. Los $120.000 no remunerativos NO se incorporaron al básico en julio: se incorporan de a $20.000 por mes entre diciembre de 2026 y mayo de 2027.</t>
  </si>
  <si>
    <t>Circular FAECYS «ACUERDO 07/2026» del 28/7/2026 (PDF oficial, 56 páginas, leído completo).</t>
  </si>
  <si>
    <t>(próxima actualización)</t>
  </si>
  <si>
    <t>Se actualizará cuando FAECYS publique la paritaria del último trimestre de 2026.</t>
  </si>
  <si>
    <t>faecys.org.ar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</si>
</sst>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11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55555"/>
      <sz val="10"/>
    </font>
    <font>
      <b/>
      <color rgb="FFFFFFFF"/>
      <sz val="11"/>
    </font>
    <font>
      <b/>
    </font>
    <font/>
    <font>
      <i/>
      <color rgb="FF777777"/>
      <sz val="9"/>
    </font>
    <font>
      <b/>
      <color rgb="FFFFFFFF"/>
      <sz val="13"/>
    </font>
    <font>
      <b/>
      <color rgb="FFFFFFFF"/>
    </font>
    <font>
      <i/>
      <color rgb="FF555555"/>
      <sz val="9"/>
    </font>
    <font>
      <i/>
      <color rgb="FF888888"/>
      <sz val="9"/>
    </font>
  </fonts>
  <fills count="15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5F5F5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1565C0"/>
      </patternFill>
    </fill>
    <fill>
      <patternFill patternType="solid">
        <fgColor rgb="FF1976D2"/>
      </patternFill>
    </fill>
    <fill>
      <patternFill patternType="solid">
        <fgColor rgb="FFFFFFFF"/>
      </patternFill>
    </fill>
    <fill>
      <patternFill patternType="solid">
        <fgColor rgb="FFF3F8FF"/>
      </patternFill>
    </fill>
    <fill>
      <patternFill patternType="solid">
        <fgColor rgb="FF6A1B9A"/>
      </patternFill>
    </fill>
    <fill>
      <patternFill patternType="solid">
        <fgColor rgb="FF7B1FA2"/>
      </patternFill>
    </fill>
    <fill>
      <patternFill patternType="solid">
        <fgColor rgb="FF37474F"/>
      </patternFill>
    </fill>
    <fill>
      <patternFill patternType="solid">
        <fgColor rgb="FF546E7A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left" indent="1"/>
    </xf>
    <xf numFmtId="0" fontId="0" fillId="3" borderId="1" xfId="0" applyFill="1" applyBorder="1" applyAlignment="1">
      <alignment horizontal="left" indent="1"/>
    </xf>
    <xf numFmtId="0" fontId="4" fillId="4" borderId="1" xfId="0" applyFont="1" applyFill="1" applyBorder="1" applyAlignment="1">
      <alignment horizontal="left" indent="1"/>
    </xf>
    <xf numFmtId="1" fontId="4" fillId="4" borderId="1" xfId="0" applyNumberFormat="1" applyFont="1" applyFill="1" applyBorder="1" applyAlignment="1">
      <alignment horizontal="left" indent="1"/>
    </xf>
    <xf numFmtId="0" fontId="5" fillId="5" borderId="1" xfId="0" applyFont="1" applyFill="1" applyBorder="1" applyAlignment="1">
      <alignment horizontal="left" indent="1"/>
    </xf>
    <xf numFmtId="164" fontId="5" fillId="5" borderId="1" xfId="0" applyNumberFormat="1" applyFont="1" applyFill="1" applyBorder="1" applyAlignment="1">
      <alignment horizontal="right"/>
    </xf>
    <xf numFmtId="0" fontId="4" fillId="6" borderId="1" xfId="0" applyFont="1" applyFill="1" applyBorder="1" applyAlignment="1">
      <alignment horizontal="left" indent="1"/>
    </xf>
    <xf numFmtId="164" fontId="4" fillId="6" borderId="1" xfId="0" applyNumberFormat="1" applyFont="1" applyFill="1" applyBorder="1" applyAlignment="1">
      <alignment horizontal="right"/>
    </xf>
    <xf numFmtId="0" fontId="6" fillId="0" borderId="0" xfId="0" applyFont="1"/>
    <xf numFmtId="0" fontId="7" fillId="7" borderId="0" xfId="0" applyFont="1" applyFill="1" applyAlignment="1">
      <alignment horizontal="center" vertical="center"/>
    </xf>
    <xf numFmtId="0" fontId="8" fillId="8" borderId="1" xfId="0" applyFont="1" applyFill="1" applyBorder="1" applyAlignment="1">
      <alignment horizontal="center"/>
    </xf>
    <xf numFmtId="0" fontId="0" fillId="9" borderId="1" xfId="0" applyFill="1" applyBorder="1"/>
    <xf numFmtId="164" fontId="0" fillId="9" borderId="1" xfId="0" applyNumberFormat="1" applyFill="1" applyBorder="1" applyAlignment="1">
      <alignment horizontal="right"/>
    </xf>
    <xf numFmtId="0" fontId="0" fillId="10" borderId="1" xfId="0" applyFill="1" applyBorder="1"/>
    <xf numFmtId="164" fontId="0" fillId="10" borderId="1" xfId="0" applyNumberFormat="1" applyFill="1" applyBorder="1" applyAlignment="1">
      <alignment horizontal="right"/>
    </xf>
    <xf numFmtId="0" fontId="4" fillId="5" borderId="1" xfId="0" applyFont="1" applyFill="1" applyBorder="1"/>
    <xf numFmtId="164" fontId="4" fillId="5" borderId="1" xfId="0" applyNumberFormat="1" applyFont="1" applyFill="1" applyBorder="1" applyAlignment="1">
      <alignment horizontal="right"/>
    </xf>
    <xf numFmtId="0" fontId="9" fillId="0" borderId="0" xfId="0" applyFont="1"/>
    <xf numFmtId="0" fontId="10" fillId="0" borderId="0" xfId="0" applyFont="1"/>
    <xf numFmtId="0" fontId="7" fillId="11" borderId="0" xfId="0" applyFont="1" applyFill="1" applyAlignment="1">
      <alignment horizontal="center" vertical="center"/>
    </xf>
    <xf numFmtId="0" fontId="8" fillId="12" borderId="0" xfId="0" applyFont="1" applyFill="1"/>
    <xf numFmtId="0" fontId="0" fillId="3" borderId="1" xfId="0" applyFill="1" applyBorder="1"/>
    <xf numFmtId="164" fontId="4" fillId="4" borderId="1" xfId="0" applyNumberFormat="1" applyFont="1" applyFill="1" applyBorder="1" applyAlignment="1">
      <alignment horizontal="right"/>
    </xf>
    <xf numFmtId="1" fontId="4" fillId="4" borderId="1" xfId="0" applyNumberFormat="1" applyFont="1" applyFill="1" applyBorder="1" applyAlignment="1">
      <alignment horizontal="right"/>
    </xf>
    <xf numFmtId="0" fontId="5" fillId="5" borderId="1" xfId="0" applyFont="1" applyFill="1" applyBorder="1"/>
    <xf numFmtId="0" fontId="4" fillId="6" borderId="1" xfId="0" applyFont="1" applyFill="1" applyBorder="1"/>
    <xf numFmtId="0" fontId="7" fillId="13" borderId="0" xfId="0" applyFont="1" applyFill="1" applyAlignment="1">
      <alignment horizontal="center" vertical="center"/>
    </xf>
    <xf numFmtId="0" fontId="8" fillId="14" borderId="1" xfId="0" applyFont="1" applyFill="1" applyBorder="1"/>
    <xf numFmtId="0" fontId="0" fillId="9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E2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30" customWidth="1"/>
    <col min="3" max="3" width="4" customWidth="1"/>
    <col min="4" max="5" width="20" hidden="1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2" x14ac:dyDescent="0.25">
      <c r="A4" s="3" t="s">
        <v>2</v>
      </c>
      <c r="B4" s="3"/>
    </row>
    <row r="5" spans="1:5" x14ac:dyDescent="0.25">
      <c r="A5" s="4" t="s">
        <v>3</v>
      </c>
      <c r="B5" s="5" t="s">
        <v>4</v>
      </c>
      <c r="D5">
        <f>IF(B8="Jornada completa (8hs)",1,IF(B8="Jornada de 6hs (¾)",0.75,0.5))</f>
      </c>
      <c r="E5">
        <f>B13*B7*0.01</f>
      </c>
    </row>
    <row r="6" spans="1:5" x14ac:dyDescent="0.25">
      <c r="A6" s="4" t="s">
        <v>5</v>
      </c>
      <c r="B6" s="5" t="s">
        <v>6</v>
      </c>
      <c r="D6">
        <f>MATCH(B6,'Escala 2026'!$B$2:$J$2,0)</f>
      </c>
      <c r="E6">
        <f>IF(B9="Sí",(B13+E5)/12,0)</f>
      </c>
    </row>
    <row r="7" spans="1:5" x14ac:dyDescent="0.25">
      <c r="A7" s="4" t="s">
        <v>7</v>
      </c>
      <c r="B7" s="6">
        <v>0</v>
      </c>
      <c r="D7">
        <f>INDEX('Escala 2026'!$B$24:$J$24,1,D6)*D5</f>
      </c>
      <c r="E7">
        <f>B13+E5+E6+B16</f>
      </c>
    </row>
    <row r="8" spans="1:4" x14ac:dyDescent="0.25">
      <c r="A8" s="4" t="s">
        <v>8</v>
      </c>
      <c r="B8" s="5" t="s">
        <v>9</v>
      </c>
      <c r="D8">
        <f>INDEX('Escala 2026'!$B$25:$J$25,1,D6)*D5</f>
      </c>
    </row>
    <row r="9" spans="1:2" x14ac:dyDescent="0.25">
      <c r="A9" s="4" t="s">
        <v>10</v>
      </c>
      <c r="B9" s="5" t="s">
        <v>11</v>
      </c>
    </row>
    <row r="10" ht="6" customHeight="1" x14ac:dyDescent="0.25"/>
    <row r="11" spans="1:2" x14ac:dyDescent="0.25">
      <c r="A11" s="3" t="s">
        <v>12</v>
      </c>
      <c r="B11" s="3"/>
    </row>
    <row r="12" spans="1:2" x14ac:dyDescent="0.25">
      <c r="A12" s="7" t="s">
        <v>13</v>
      </c>
      <c r="B12" s="8">
        <f>INDEX('Escala 2026'!$B$3:$J$23,MATCH(B5,'Escala 2026'!$A$3:$A$23,0),D6)*D5</f>
      </c>
    </row>
    <row r="13" spans="1:2" x14ac:dyDescent="0.25">
      <c r="A13" s="7" t="s">
        <v>14</v>
      </c>
      <c r="B13" s="8">
        <f>D7</f>
      </c>
    </row>
    <row r="14" spans="1:2" x14ac:dyDescent="0.25">
      <c r="A14" s="7" t="s">
        <v>15</v>
      </c>
      <c r="B14" s="8">
        <f>(B12+B13)*B7*0.01</f>
      </c>
    </row>
    <row r="15" spans="1:2" x14ac:dyDescent="0.25">
      <c r="A15" s="7" t="s">
        <v>16</v>
      </c>
      <c r="B15" s="8">
        <f>IF(B9="Sí",(B12+B13+B14)/12,0)</f>
      </c>
    </row>
    <row r="16" spans="1:2" x14ac:dyDescent="0.25">
      <c r="A16" s="7" t="s">
        <v>17</v>
      </c>
      <c r="B16" s="8">
        <f>D8</f>
      </c>
    </row>
    <row r="17" spans="1:2" x14ac:dyDescent="0.25">
      <c r="A17" s="9" t="s">
        <v>18</v>
      </c>
      <c r="B17" s="10">
        <f>B12+B13+B14+B15+B16</f>
      </c>
    </row>
    <row r="18" spans="1:2" x14ac:dyDescent="0.25">
      <c r="A18" s="7" t="s">
        <v>19</v>
      </c>
      <c r="B18" s="8">
        <f>-((B17-E7)*0.17+E7*0.03)</f>
      </c>
    </row>
    <row r="19" spans="1:2" x14ac:dyDescent="0.25">
      <c r="A19" s="9" t="s">
        <v>20</v>
      </c>
      <c r="B19" s="10">
        <f>B17+B18</f>
      </c>
    </row>
    <row r="20" ht="6" customHeight="1" x14ac:dyDescent="0.25"/>
    <row r="21" spans="1:2" x14ac:dyDescent="0.25">
      <c r="A21" s="11" t="s">
        <v>21</v>
      </c>
      <c r="B21" s="11"/>
    </row>
    <row r="22" spans="1:2" x14ac:dyDescent="0.25">
      <c r="A22" s="11" t="s">
        <v>22</v>
      </c>
      <c r="B22" s="11"/>
    </row>
    <row r="23" spans="1:2" x14ac:dyDescent="0.25">
      <c r="A23" s="11" t="s">
        <v>23</v>
      </c>
      <c r="B23" s="11"/>
    </row>
  </sheetData>
  <mergeCells count="7">
    <mergeCell ref="A1:B1"/>
    <mergeCell ref="A2:B2"/>
    <mergeCell ref="A4:B4"/>
    <mergeCell ref="A11:B11"/>
    <mergeCell ref="A21:B21"/>
    <mergeCell ref="A22:B22"/>
    <mergeCell ref="A23:B23"/>
  </mergeCells>
  <dataValidations count="5">
    <dataValidation type="list" showErrorMessage="1" error="Seleccioná una categoría de la lista." sqref="B5">
      <formula1>'Escala 2026'!$A$3:$A$23</formula1>
    </dataValidation>
    <dataValidation type="list" showErrorMessage="1" error="Seleccioná un mes de la lista." sqref="B6">
      <formula1>"Abril 2026,Mayo 2026,Junio 2026,Julio 2026,Agosto 2026,Septiembre 2026,Octubre 2026,Noviembre 2026,Diciembre 2026"</formula1>
    </dataValidation>
    <dataValidation type="whole" showErrorMessage="1" error="Ingresá un número entero entre 0 y 50." sqref="B7">
      <formula1>0</formula1>
      <formula2>50</formula2>
    </dataValidation>
    <dataValidation type="list" showErrorMessage="1" error="Seleccioná una jornada de la lista." sqref="B8">
      <formula1>"Jornada completa (8hs),Jornada de 6hs (¾),Media jornada (4hs)"</formula1>
    </dataValidation>
    <dataValidation type="list" showErrorMessage="1" error="Seleccioná Sí o No." sqref="B9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J2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0" width="16" customWidth="1"/>
  </cols>
  <sheetData>
    <row r="1" ht="26" customHeight="1" spans="1:10" x14ac:dyDescent="0.25">
      <c r="A1" s="12" t="s">
        <v>24</v>
      </c>
      <c r="B1" s="12"/>
      <c r="C1" s="12"/>
      <c r="D1" s="12"/>
      <c r="E1" s="12"/>
      <c r="F1" s="12"/>
      <c r="G1" s="12"/>
      <c r="H1" s="12"/>
      <c r="I1" s="12"/>
      <c r="J1" s="12"/>
    </row>
    <row r="2" ht="20" customHeight="1" spans="1:10" x14ac:dyDescent="0.25">
      <c r="A2" s="13" t="s">
        <v>25</v>
      </c>
      <c r="B2" s="13" t="s">
        <v>26</v>
      </c>
      <c r="C2" s="13" t="s">
        <v>27</v>
      </c>
      <c r="D2" s="13" t="s">
        <v>28</v>
      </c>
      <c r="E2" s="13" t="s">
        <v>29</v>
      </c>
      <c r="F2" s="13" t="s">
        <v>30</v>
      </c>
      <c r="G2" s="13" t="s">
        <v>31</v>
      </c>
      <c r="H2" s="13" t="s">
        <v>32</v>
      </c>
      <c r="I2" s="13" t="s">
        <v>33</v>
      </c>
      <c r="J2" s="13" t="s">
        <v>6</v>
      </c>
    </row>
    <row r="3" spans="1:10" x14ac:dyDescent="0.25">
      <c r="A3" s="14" t="s">
        <v>34</v>
      </c>
      <c r="B3" s="15">
        <v>1078911</v>
      </c>
      <c r="C3" s="15">
        <v>1096248</v>
      </c>
      <c r="D3" s="15">
        <v>1113585</v>
      </c>
      <c r="E3" s="15">
        <v>1137023</v>
      </c>
      <c r="F3" s="15">
        <v>1160461</v>
      </c>
      <c r="G3" s="15">
        <v>1183900</v>
      </c>
      <c r="H3" s="15">
        <v>1183900</v>
      </c>
      <c r="I3" s="15">
        <v>1183900</v>
      </c>
      <c r="J3" s="15">
        <v>1203900</v>
      </c>
    </row>
    <row r="4" spans="1:10" x14ac:dyDescent="0.25">
      <c r="A4" s="16" t="s">
        <v>35</v>
      </c>
      <c r="B4" s="17">
        <v>1082029</v>
      </c>
      <c r="C4" s="17">
        <v>1099412</v>
      </c>
      <c r="D4" s="17">
        <v>1116794</v>
      </c>
      <c r="E4" s="17">
        <v>1140294</v>
      </c>
      <c r="F4" s="17">
        <v>1163793</v>
      </c>
      <c r="G4" s="17">
        <v>1187292</v>
      </c>
      <c r="H4" s="17">
        <v>1187292</v>
      </c>
      <c r="I4" s="17">
        <v>1187292</v>
      </c>
      <c r="J4" s="17">
        <v>1207292</v>
      </c>
    </row>
    <row r="5" spans="1:10" x14ac:dyDescent="0.25">
      <c r="A5" s="14" t="s">
        <v>36</v>
      </c>
      <c r="B5" s="15">
        <v>1092951</v>
      </c>
      <c r="C5" s="15">
        <v>1110495</v>
      </c>
      <c r="D5" s="15">
        <v>1128038</v>
      </c>
      <c r="E5" s="15">
        <v>1151751</v>
      </c>
      <c r="F5" s="15">
        <v>1175464</v>
      </c>
      <c r="G5" s="15">
        <v>1199176</v>
      </c>
      <c r="H5" s="15">
        <v>1199176</v>
      </c>
      <c r="I5" s="15">
        <v>1199176</v>
      </c>
      <c r="J5" s="15">
        <v>1219176</v>
      </c>
    </row>
    <row r="6" spans="1:10" x14ac:dyDescent="0.25">
      <c r="A6" s="16" t="s">
        <v>37</v>
      </c>
      <c r="B6" s="17">
        <v>1090613</v>
      </c>
      <c r="C6" s="17">
        <v>1108122</v>
      </c>
      <c r="D6" s="17">
        <v>1125631</v>
      </c>
      <c r="E6" s="17">
        <v>1149298</v>
      </c>
      <c r="F6" s="17">
        <v>1172965</v>
      </c>
      <c r="G6" s="17">
        <v>1196632</v>
      </c>
      <c r="H6" s="17">
        <v>1196632</v>
      </c>
      <c r="I6" s="17">
        <v>1196632</v>
      </c>
      <c r="J6" s="17">
        <v>1216632</v>
      </c>
    </row>
    <row r="7" spans="1:10" x14ac:dyDescent="0.25">
      <c r="A7" s="14" t="s">
        <v>38</v>
      </c>
      <c r="B7" s="15">
        <v>1095298</v>
      </c>
      <c r="C7" s="15">
        <v>1112876</v>
      </c>
      <c r="D7" s="15">
        <v>1130454</v>
      </c>
      <c r="E7" s="15">
        <v>1154212</v>
      </c>
      <c r="F7" s="15">
        <v>1177971</v>
      </c>
      <c r="G7" s="15">
        <v>1201729</v>
      </c>
      <c r="H7" s="15">
        <v>1201729</v>
      </c>
      <c r="I7" s="15">
        <v>1201729</v>
      </c>
      <c r="J7" s="15">
        <v>1221729</v>
      </c>
    </row>
    <row r="8" spans="1:10" x14ac:dyDescent="0.25">
      <c r="A8" s="16" t="s">
        <v>39</v>
      </c>
      <c r="B8" s="17">
        <v>1099977</v>
      </c>
      <c r="C8" s="17">
        <v>1117623</v>
      </c>
      <c r="D8" s="17">
        <v>1135270</v>
      </c>
      <c r="E8" s="17">
        <v>1159120</v>
      </c>
      <c r="F8" s="17">
        <v>1182970</v>
      </c>
      <c r="G8" s="17">
        <v>1206821</v>
      </c>
      <c r="H8" s="17">
        <v>1206821</v>
      </c>
      <c r="I8" s="17">
        <v>1206821</v>
      </c>
      <c r="J8" s="17">
        <v>1226821</v>
      </c>
    </row>
    <row r="9" spans="1:10" x14ac:dyDescent="0.25">
      <c r="A9" s="14" t="s">
        <v>40</v>
      </c>
      <c r="B9" s="15">
        <v>1114022</v>
      </c>
      <c r="C9" s="15">
        <v>1131875</v>
      </c>
      <c r="D9" s="15">
        <v>1149729</v>
      </c>
      <c r="E9" s="15">
        <v>1173854</v>
      </c>
      <c r="F9" s="15">
        <v>1197978</v>
      </c>
      <c r="G9" s="15">
        <v>1222103</v>
      </c>
      <c r="H9" s="15">
        <v>1222103</v>
      </c>
      <c r="I9" s="15">
        <v>1222103</v>
      </c>
      <c r="J9" s="15">
        <v>1242103</v>
      </c>
    </row>
    <row r="10" spans="1:10" x14ac:dyDescent="0.25">
      <c r="A10" s="16" t="s">
        <v>41</v>
      </c>
      <c r="B10" s="17">
        <v>1125724</v>
      </c>
      <c r="C10" s="17">
        <v>1143749</v>
      </c>
      <c r="D10" s="17">
        <v>1161775</v>
      </c>
      <c r="E10" s="17">
        <v>1186128</v>
      </c>
      <c r="F10" s="17">
        <v>1210482</v>
      </c>
      <c r="G10" s="17">
        <v>1234836</v>
      </c>
      <c r="H10" s="17">
        <v>1234836</v>
      </c>
      <c r="I10" s="17">
        <v>1234836</v>
      </c>
      <c r="J10" s="17">
        <v>1254836</v>
      </c>
    </row>
    <row r="11" spans="1:10" x14ac:dyDescent="0.25">
      <c r="A11" s="14" t="s">
        <v>42</v>
      </c>
      <c r="B11" s="15">
        <v>1142890</v>
      </c>
      <c r="C11" s="15">
        <v>1161167</v>
      </c>
      <c r="D11" s="15">
        <v>1179445</v>
      </c>
      <c r="E11" s="15">
        <v>1204135</v>
      </c>
      <c r="F11" s="15">
        <v>1228824</v>
      </c>
      <c r="G11" s="15">
        <v>1253514</v>
      </c>
      <c r="H11" s="15">
        <v>1253514</v>
      </c>
      <c r="I11" s="15">
        <v>1253514</v>
      </c>
      <c r="J11" s="15">
        <v>1273514</v>
      </c>
    </row>
    <row r="12" spans="1:10" x14ac:dyDescent="0.25">
      <c r="A12" s="16" t="s">
        <v>43</v>
      </c>
      <c r="B12" s="17">
        <v>1094513</v>
      </c>
      <c r="C12" s="17">
        <v>1112079</v>
      </c>
      <c r="D12" s="17">
        <v>1129646</v>
      </c>
      <c r="E12" s="17">
        <v>1153389</v>
      </c>
      <c r="F12" s="17">
        <v>1177132</v>
      </c>
      <c r="G12" s="17">
        <v>1200875</v>
      </c>
      <c r="H12" s="17">
        <v>1200875</v>
      </c>
      <c r="I12" s="17">
        <v>1200875</v>
      </c>
      <c r="J12" s="17">
        <v>1220875</v>
      </c>
    </row>
    <row r="13" spans="1:10" x14ac:dyDescent="0.25">
      <c r="A13" s="14" t="s">
        <v>44</v>
      </c>
      <c r="B13" s="15">
        <v>1099977</v>
      </c>
      <c r="C13" s="15">
        <v>1117623</v>
      </c>
      <c r="D13" s="15">
        <v>1135270</v>
      </c>
      <c r="E13" s="15">
        <v>1159120</v>
      </c>
      <c r="F13" s="15">
        <v>1182970</v>
      </c>
      <c r="G13" s="15">
        <v>1206821</v>
      </c>
      <c r="H13" s="15">
        <v>1206821</v>
      </c>
      <c r="I13" s="15">
        <v>1206821</v>
      </c>
      <c r="J13" s="15">
        <v>1226821</v>
      </c>
    </row>
    <row r="14" spans="1:10" x14ac:dyDescent="0.25">
      <c r="A14" s="16" t="s">
        <v>45</v>
      </c>
      <c r="B14" s="17">
        <v>1106999</v>
      </c>
      <c r="C14" s="17">
        <v>1124749</v>
      </c>
      <c r="D14" s="17">
        <v>1142499</v>
      </c>
      <c r="E14" s="17">
        <v>1166487</v>
      </c>
      <c r="F14" s="17">
        <v>1190474</v>
      </c>
      <c r="G14" s="17">
        <v>1214462</v>
      </c>
      <c r="H14" s="17">
        <v>1214462</v>
      </c>
      <c r="I14" s="17">
        <v>1214462</v>
      </c>
      <c r="J14" s="17">
        <v>1234462</v>
      </c>
    </row>
    <row r="15" spans="1:10" x14ac:dyDescent="0.25">
      <c r="A15" s="14" t="s">
        <v>46</v>
      </c>
      <c r="B15" s="15">
        <v>1094513</v>
      </c>
      <c r="C15" s="15">
        <v>1112079</v>
      </c>
      <c r="D15" s="15">
        <v>1129646</v>
      </c>
      <c r="E15" s="15">
        <v>1153389</v>
      </c>
      <c r="F15" s="15">
        <v>1177132</v>
      </c>
      <c r="G15" s="15">
        <v>1200875</v>
      </c>
      <c r="H15" s="15">
        <v>1200875</v>
      </c>
      <c r="I15" s="15">
        <v>1200875</v>
      </c>
      <c r="J15" s="15">
        <v>1220875</v>
      </c>
    </row>
    <row r="16" spans="1:10" x14ac:dyDescent="0.25">
      <c r="A16" s="16" t="s">
        <v>47</v>
      </c>
      <c r="B16" s="17">
        <v>1102315</v>
      </c>
      <c r="C16" s="17">
        <v>1119996</v>
      </c>
      <c r="D16" s="17">
        <v>1137677</v>
      </c>
      <c r="E16" s="17">
        <v>1161573</v>
      </c>
      <c r="F16" s="17">
        <v>1185469</v>
      </c>
      <c r="G16" s="17">
        <v>1209365</v>
      </c>
      <c r="H16" s="17">
        <v>1209365</v>
      </c>
      <c r="I16" s="17">
        <v>1209365</v>
      </c>
      <c r="J16" s="17">
        <v>1229365</v>
      </c>
    </row>
    <row r="17" spans="1:10" x14ac:dyDescent="0.25">
      <c r="A17" s="14" t="s">
        <v>48</v>
      </c>
      <c r="B17" s="15">
        <v>1128065</v>
      </c>
      <c r="C17" s="15">
        <v>1146125</v>
      </c>
      <c r="D17" s="15">
        <v>1164184</v>
      </c>
      <c r="E17" s="15">
        <v>1188584</v>
      </c>
      <c r="F17" s="15">
        <v>1212983</v>
      </c>
      <c r="G17" s="15">
        <v>1237383</v>
      </c>
      <c r="H17" s="15">
        <v>1237383</v>
      </c>
      <c r="I17" s="15">
        <v>1237383</v>
      </c>
      <c r="J17" s="15">
        <v>1257383</v>
      </c>
    </row>
    <row r="18" spans="1:10" x14ac:dyDescent="0.25">
      <c r="A18" s="16" t="s">
        <v>49</v>
      </c>
      <c r="B18" s="17">
        <v>1103879</v>
      </c>
      <c r="C18" s="17">
        <v>1121583</v>
      </c>
      <c r="D18" s="17">
        <v>1139287</v>
      </c>
      <c r="E18" s="17">
        <v>1163214</v>
      </c>
      <c r="F18" s="17">
        <v>1187140</v>
      </c>
      <c r="G18" s="17">
        <v>1211067</v>
      </c>
      <c r="H18" s="17">
        <v>1211067</v>
      </c>
      <c r="I18" s="17">
        <v>1211067</v>
      </c>
      <c r="J18" s="17">
        <v>1231067</v>
      </c>
    </row>
    <row r="19" spans="1:10" x14ac:dyDescent="0.25">
      <c r="A19" s="14" t="s">
        <v>50</v>
      </c>
      <c r="B19" s="15">
        <v>1117922</v>
      </c>
      <c r="C19" s="15">
        <v>1135832</v>
      </c>
      <c r="D19" s="15">
        <v>1153743</v>
      </c>
      <c r="E19" s="15">
        <v>1177944</v>
      </c>
      <c r="F19" s="15">
        <v>1202145</v>
      </c>
      <c r="G19" s="15">
        <v>1226346</v>
      </c>
      <c r="H19" s="15">
        <v>1226346</v>
      </c>
      <c r="I19" s="15">
        <v>1226346</v>
      </c>
      <c r="J19" s="15">
        <v>1246346</v>
      </c>
    </row>
    <row r="20" spans="1:10" x14ac:dyDescent="0.25">
      <c r="A20" s="16" t="s">
        <v>51</v>
      </c>
      <c r="B20" s="17">
        <v>1094513</v>
      </c>
      <c r="C20" s="17">
        <v>1112079</v>
      </c>
      <c r="D20" s="17">
        <v>1129646</v>
      </c>
      <c r="E20" s="17">
        <v>1153389</v>
      </c>
      <c r="F20" s="17">
        <v>1177132</v>
      </c>
      <c r="G20" s="17">
        <v>1200875</v>
      </c>
      <c r="H20" s="17">
        <v>1200875</v>
      </c>
      <c r="I20" s="17">
        <v>1200875</v>
      </c>
      <c r="J20" s="17">
        <v>1220875</v>
      </c>
    </row>
    <row r="21" spans="1:10" x14ac:dyDescent="0.25">
      <c r="A21" s="14" t="s">
        <v>4</v>
      </c>
      <c r="B21" s="15">
        <v>1117925</v>
      </c>
      <c r="C21" s="15">
        <v>1135835</v>
      </c>
      <c r="D21" s="15">
        <v>1153746</v>
      </c>
      <c r="E21" s="15">
        <v>1177947</v>
      </c>
      <c r="F21" s="15">
        <v>1202148</v>
      </c>
      <c r="G21" s="15">
        <v>1226349</v>
      </c>
      <c r="H21" s="15">
        <v>1226349</v>
      </c>
      <c r="I21" s="15">
        <v>1226349</v>
      </c>
      <c r="J21" s="15">
        <v>1246349</v>
      </c>
    </row>
    <row r="22" spans="1:10" x14ac:dyDescent="0.25">
      <c r="A22" s="16" t="s">
        <v>52</v>
      </c>
      <c r="B22" s="17">
        <v>1125724</v>
      </c>
      <c r="C22" s="17">
        <v>1143749</v>
      </c>
      <c r="D22" s="17">
        <v>1161775</v>
      </c>
      <c r="E22" s="17">
        <v>1186128</v>
      </c>
      <c r="F22" s="17">
        <v>1210482</v>
      </c>
      <c r="G22" s="17">
        <v>1234836</v>
      </c>
      <c r="H22" s="17">
        <v>1234836</v>
      </c>
      <c r="I22" s="17">
        <v>1234836</v>
      </c>
      <c r="J22" s="17">
        <v>1254836</v>
      </c>
    </row>
    <row r="23" spans="1:10" x14ac:dyDescent="0.25">
      <c r="A23" s="14" t="s">
        <v>53</v>
      </c>
      <c r="B23" s="15">
        <v>1142890</v>
      </c>
      <c r="C23" s="15">
        <v>1161167</v>
      </c>
      <c r="D23" s="15">
        <v>1179445</v>
      </c>
      <c r="E23" s="15">
        <v>1204135</v>
      </c>
      <c r="F23" s="15">
        <v>1228824</v>
      </c>
      <c r="G23" s="15">
        <v>1253514</v>
      </c>
      <c r="H23" s="15">
        <v>1253514</v>
      </c>
      <c r="I23" s="15">
        <v>1253514</v>
      </c>
      <c r="J23" s="15">
        <v>1273514</v>
      </c>
    </row>
    <row r="24" spans="1:10" x14ac:dyDescent="0.25">
      <c r="A24" s="18" t="s">
        <v>14</v>
      </c>
      <c r="B24" s="19">
        <v>120000</v>
      </c>
      <c r="C24" s="19">
        <v>120000</v>
      </c>
      <c r="D24" s="19">
        <v>120000</v>
      </c>
      <c r="E24" s="19">
        <v>120000</v>
      </c>
      <c r="F24" s="19">
        <v>120000</v>
      </c>
      <c r="G24" s="19">
        <v>120000</v>
      </c>
      <c r="H24" s="19">
        <v>120000</v>
      </c>
      <c r="I24" s="19">
        <v>120000</v>
      </c>
      <c r="J24" s="19">
        <v>100000</v>
      </c>
    </row>
    <row r="25" spans="1:10" x14ac:dyDescent="0.25">
      <c r="A25" s="18" t="s">
        <v>17</v>
      </c>
      <c r="B25" s="19">
        <v>0</v>
      </c>
      <c r="C25" s="19">
        <v>0</v>
      </c>
      <c r="D25" s="19">
        <v>0</v>
      </c>
      <c r="E25" s="19">
        <v>25000</v>
      </c>
      <c r="F25" s="19">
        <v>25000</v>
      </c>
      <c r="G25" s="19">
        <v>0</v>
      </c>
      <c r="H25" s="19">
        <v>0</v>
      </c>
      <c r="I25" s="19">
        <v>0</v>
      </c>
      <c r="J25" s="19">
        <v>0</v>
      </c>
    </row>
    <row r="27" spans="1:10" x14ac:dyDescent="0.25">
      <c r="A27" s="20" t="s">
        <v>54</v>
      </c>
      <c r="B27" s="20"/>
      <c r="C27" s="20"/>
      <c r="D27" s="20"/>
      <c r="E27" s="20"/>
      <c r="F27" s="20"/>
      <c r="G27" s="20"/>
      <c r="H27" s="20"/>
      <c r="I27" s="20"/>
      <c r="J27" s="20"/>
    </row>
    <row r="28" spans="1:10" x14ac:dyDescent="0.25">
      <c r="A28" s="21" t="s">
        <v>55</v>
      </c>
      <c r="B28" s="21"/>
      <c r="C28" s="21"/>
      <c r="D28" s="21"/>
      <c r="E28" s="21"/>
      <c r="F28" s="21"/>
      <c r="G28" s="21"/>
      <c r="H28" s="21"/>
      <c r="I28" s="21"/>
      <c r="J28" s="21"/>
    </row>
  </sheetData>
  <mergeCells count="3">
    <mergeCell ref="A1:J1"/>
    <mergeCell ref="A27:J27"/>
    <mergeCell ref="A28:J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B14"/>
  <sheetFormatPr defaultRowHeight="15" outlineLevelRow="0" outlineLevelCol="0" x14ac:dyDescent="55"/>
  <cols>
    <col min="1" max="1" width="34" customWidth="1"/>
    <col min="2" max="2" width="22" customWidth="1"/>
  </cols>
  <sheetData>
    <row r="1" ht="26" customHeight="1" spans="1:2" x14ac:dyDescent="0.25">
      <c r="A1" s="22" t="s">
        <v>56</v>
      </c>
      <c r="B1" s="22"/>
    </row>
    <row r="3" spans="1:2" x14ac:dyDescent="0.25">
      <c r="A3" s="23" t="s">
        <v>57</v>
      </c>
      <c r="B3" s="23"/>
    </row>
    <row r="4" spans="1:2" x14ac:dyDescent="0.25">
      <c r="A4" s="24" t="s">
        <v>58</v>
      </c>
      <c r="B4" s="25">
        <v>1273746</v>
      </c>
    </row>
    <row r="5" spans="1:2" x14ac:dyDescent="0.25">
      <c r="A5" s="24" t="s">
        <v>59</v>
      </c>
      <c r="B5" s="26">
        <v>180</v>
      </c>
    </row>
    <row r="6" spans="1:2" x14ac:dyDescent="0.25">
      <c r="A6" s="24" t="s">
        <v>60</v>
      </c>
      <c r="B6" s="26">
        <v>180</v>
      </c>
    </row>
    <row r="7" ht="6" customHeight="1" x14ac:dyDescent="0.25"/>
    <row r="8" spans="1:2" x14ac:dyDescent="0.25">
      <c r="A8" s="23" t="s">
        <v>61</v>
      </c>
      <c r="B8" s="23"/>
    </row>
    <row r="9" spans="1:2" x14ac:dyDescent="0.25">
      <c r="A9" s="27" t="s">
        <v>62</v>
      </c>
      <c r="B9" s="8">
        <f>B4/2*B5/B6</f>
      </c>
    </row>
    <row r="10" spans="1:2" x14ac:dyDescent="0.25">
      <c r="A10" s="27" t="s">
        <v>63</v>
      </c>
      <c r="B10" s="8">
        <f>-B9*0.17</f>
      </c>
    </row>
    <row r="11" spans="1:2" x14ac:dyDescent="0.25">
      <c r="A11" s="28" t="s">
        <v>64</v>
      </c>
      <c r="B11" s="10">
        <f>B9+B10</f>
      </c>
    </row>
    <row r="13" spans="1:2" x14ac:dyDescent="0.25">
      <c r="A13" s="11" t="s">
        <v>65</v>
      </c>
      <c r="B13" s="11"/>
    </row>
    <row r="14" spans="1:2" x14ac:dyDescent="0.25">
      <c r="A14" s="11" t="s">
        <v>66</v>
      </c>
      <c r="B14" s="11"/>
    </row>
  </sheetData>
  <mergeCells count="5">
    <mergeCell ref="A1:B1"/>
    <mergeCell ref="A3:B3"/>
    <mergeCell ref="A8:B8"/>
    <mergeCell ref="A13:B13"/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C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50" customWidth="1"/>
    <col min="3" max="3" width="60" customWidth="1"/>
  </cols>
  <sheetData>
    <row r="1" ht="24" customHeight="1" spans="1:3" x14ac:dyDescent="0.25">
      <c r="A1" s="29" t="s">
        <v>67</v>
      </c>
      <c r="B1" s="29"/>
      <c r="C1" s="29"/>
    </row>
    <row r="2" spans="1:3" x14ac:dyDescent="0.25">
      <c r="A2" s="30" t="s">
        <v>68</v>
      </c>
      <c r="B2" s="30" t="s">
        <v>69</v>
      </c>
      <c r="C2" s="30" t="s">
        <v>70</v>
      </c>
    </row>
    <row r="3" ht="40" customHeight="1" spans="1:3" x14ac:dyDescent="0.25">
      <c r="A3" s="31" t="s">
        <v>71</v>
      </c>
      <c r="B3" s="31" t="s">
        <v>72</v>
      </c>
      <c r="C3" s="31" t="s">
        <v>73</v>
      </c>
    </row>
    <row r="4" ht="40" customHeight="1" spans="1:3" x14ac:dyDescent="0.25">
      <c r="A4" s="32" t="s">
        <v>74</v>
      </c>
      <c r="B4" s="32" t="s">
        <v>75</v>
      </c>
      <c r="C4" s="32" t="s">
        <v>76</v>
      </c>
    </row>
    <row r="5" ht="40" customHeight="1" spans="1:3" x14ac:dyDescent="0.25">
      <c r="A5" s="31" t="s">
        <v>77</v>
      </c>
      <c r="B5" s="31" t="s">
        <v>78</v>
      </c>
      <c r="C5" s="31" t="s">
        <v>79</v>
      </c>
    </row>
    <row r="6" ht="40" customHeight="1" spans="1:3" x14ac:dyDescent="0.25">
      <c r="A6" s="32" t="s">
        <v>80</v>
      </c>
      <c r="B6" s="32" t="s">
        <v>81</v>
      </c>
      <c r="C6" s="32" t="s">
        <v>82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Liquidación</vt:lpstr>
      <vt:lpstr>Escala 2026</vt:lpstr>
      <vt:lpstr>SAC (Aguinaldo)</vt:lpstr>
      <vt:lpstr>Changelog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CalculAR (calcular.ar)</dc:creator>
  <dc:title>Planilla de sueldos Empleados de Comercio 2026 — CCT 130/75</dc:title>
  <dc:subject>Liquidación de sueldos según la circular oficial de FAECYS</dc:subject>
  <dc:description/>
  <cp:keywords>comercio, sueldo, cct 130/75, faecys, planilla, liquidación</cp:keywords>
  <cp:category/>
  <cp:lastModifiedBy>Unknown</cp:lastModifiedBy>
  <dcterms:created xsi:type="dcterms:W3CDTF">2026-06-12T00:00:00Z</dcterms:created>
  <dcterms:modified xsi:type="dcterms:W3CDTF">2026-07-30T00:00:00Z</dcterms:modified>
</cp:coreProperties>
</file>