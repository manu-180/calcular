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2"/>
  </bookViews>
  <sheets>
    <sheet sheetId="1" name="Cómo usarla" state="visible" r:id="rId4"/>
    <sheet sheetId="2" name="Mis datos" state="visible" r:id="rId5"/>
    <sheet sheetId="3" name="Mis recibos" state="visible" r:id="rId6"/>
    <sheet sheetId="4" name="Sueldo vs inflación" state="visible" r:id="rId7"/>
    <sheet sheetId="5" name="Para pedir aumento" state="visible" r:id="rId8"/>
    <sheet sheetId="6" name="Aguinaldo" state="visible" r:id="rId9"/>
    <sheet sheetId="7" name="IPC" state="visible" r:id="rId10"/>
    <sheet sheetId="8" name="Fuentes" state="visible" r:id="rId11"/>
  </sheets>
  <definedNames>
    <definedName name="_xlnm.Print_Area" localSheetId="4">'Para pedir aumento'!$A1:$C32</definedName>
  </definedNames>
  <calcPr calcId="171027"/>
</workbook>
</file>

<file path=xl/sharedStrings.xml><?xml version="1.0" encoding="utf-8"?>
<sst xmlns="http://schemas.openxmlformats.org/spreadsheetml/2006/main" count="489" uniqueCount="364">
  <si>
    <t>Planilla Mi Sueldo 2026 — cómo usarla</t>
  </si>
  <si>
    <t>En «Mis datos», elegí el mes de tu primer recibo y tu cuota sindical si estás afiliado. Tu nombre y tu puesto son opcionales: sólo salen en el resumen.</t>
  </si>
  <si>
    <t>En «Mis recibos», cargá cada recibo en su mes: bruto remunerativo, lo no remunerativo y cada descuento tal cual figura. Al lado aparece si cuadra con la ley.</t>
  </si>
  <si>
    <t>Si dice «Revisar», mirá la columna verde de ese concepto: es lo que marca la ley para tu sueldo. La diferencia te dice de cuánto es.</t>
  </si>
  <si>
    <t>En «Sueldo vs inflación» ves cada sueldo en pesos de hoy: si la columna baja, tu sueldo compra menos.</t>
  </si>
  <si>
    <t>«Para pedir aumento» resume todo en una hoja: cuánto perdiste desde tu último aumento y qué aumento lo recupera, con la fuente. Imprimila o guardala en PDF.</t>
  </si>
  <si>
    <t>«Aguinaldo» proyecta el de cada semestre con tus recibos, y el resumen te avisa si te acercás al piso de Ganancias.</t>
  </si>
  <si>
    <t>COLORES</t>
  </si>
  <si>
    <t>Amarillo: lo completás vos.</t>
  </si>
  <si>
    <t>Verde: lo calcula la planilla. Está protegido para que no se pise sin querer (Revisar &gt; Desproteger hoja, si alguna vez lo necesitás).</t>
  </si>
  <si>
    <t>LO QUE CONVIENE SABER</t>
  </si>
  <si>
    <t>•  Los descuentos de ley son tres y suman 17%: jubilación 11%, Ley 19.032 (PAMI) 3% y obra social 3%. Se calculan sobre lo remunerativo, hasta un tope que cambia todos los meses (octubre de 2026: $4.769.631).</t>
  </si>
  <si>
    <t>•  Lo no remunerativo no paga jubilación ni Ley 19.032. Algunos convenios sí le descuentan obra social o cuota sindical: lo indicás en «Mis datos».</t>
  </si>
  <si>
    <t>•  La cuota sindical se descuenta sólo si estás afiliado. Desde la Ley 27.802 (marzo de 2026), las contribuciones solidarias que fijan los convenios para afiliados y no afiliados tienen un tope de 2% de la remuneración; la cuota de afiliación queda afuera de ese tope.</t>
  </si>
  <si>
    <t>•  Desde junio de 2026 (Decreto 407/2026) el recibo también muestra lo que paga tu empleador por vos. Esta planilla controla tus descuentos, no las contribuciones del empleador.</t>
  </si>
  <si>
    <t>•  La inflación se compone, no se suma: tres meses de 2% dan 6,12%. Por eso la planilla compara índices del INDEC y no suma porcentajes.</t>
  </si>
  <si>
    <t>•  Los créditos laborales prescriben a los dos años (art. 256 de la Ley de Contrato de Trabajo). Si encontrás una diferencia, no la dejes pasar: consultala con el recibo en la mano.</t>
  </si>
  <si>
    <t>CÓMO SE MANTIENE AL DÍA</t>
  </si>
  <si>
    <t>•  El INDEC publica el IPC de cada mes entre el 10 y el 15 del mes siguiente. Cada vez que sale, regeneramos la planilla y el mismo enlace de descarga te baja la versión al día, sin costo. Para pasar tus recibos: copiá las celdas amarillas de «Mis recibos» y «Mis datos» y pegalas en el mismo lugar.</t>
  </si>
  <si>
    <t>•  ¿Preferís no cambiar de archivo? Cargá el % del mes nuevo en la columna amarilla de la hoja «IPC» y todo se recalcula.</t>
  </si>
  <si>
    <t>Da los mismos números que la calculadora gratuita de calcular.ar/sueldo-neto: son los mismos aportes, el mismo tope y la misma serie del IPC. Si alguna vez no coinciden, escribinos y lo corregimos. Es una referencia de cálculo, no asesoramiento legal ni contable.</t>
  </si>
  <si>
    <t>Mis datos</t>
  </si>
  <si>
    <t>Se completan una vez. Tu nombre y tu puesto sólo aparecen en el resumen para pedir aumento: no salen de este archivo.</t>
  </si>
  <si>
    <t>TUS DATOS</t>
  </si>
  <si>
    <t>Tu nombre</t>
  </si>
  <si>
    <t>Opcional. Sale en el encabezado del resumen imprimible.</t>
  </si>
  <si>
    <t>Puesto o categoría</t>
  </si>
  <si>
    <t>Opcional. Por ejemplo: Vendedor B, Administrativa, Analista Sr.</t>
  </si>
  <si>
    <t>Mes del primer recibo que cargás</t>
  </si>
  <si>
    <t>septiembre</t>
  </si>
  <si>
    <t>«Mis recibos» arranca en este mes y sigue 24 meses. Conviene empezar un año antes de hoy: así ves la comparación interanual.</t>
  </si>
  <si>
    <t>Año del primer recibo</t>
  </si>
  <si>
    <t>Cuota sindical (%)</t>
  </si>
  <si>
    <t>Sólo si estás afiliado. Es el % que figura en tu recibo (suele ir de 1% a 3%). Si no, dejá 0.</t>
  </si>
  <si>
    <t>¿Te descuentan obra social sobre lo no remunerativo?</t>
  </si>
  <si>
    <t>No</t>
  </si>
  <si>
    <t>Depende de tu convenio. En Comercio, por ejemplo, las sumas no remunerativas aportan a la obra social. Si tu recibo lo descuenta, poné Sí.</t>
  </si>
  <si>
    <t>¿Y la cuota sindical sobre lo no remunerativo?</t>
  </si>
  <si>
    <t>También depende del convenio. Si no sabés, dejá No y mirá si el control te marca la cuota sindical.</t>
  </si>
  <si>
    <t>Qué sueldo comparo con la inflación</t>
  </si>
  <si>
    <t>El bruto total</t>
  </si>
  <si>
    <t>Los aumentos se negocian sobre el bruto. Si preferís ver lo que te entra en el bolsillo, elegí «Lo que cobré en mano» (usa la columna J).</t>
  </si>
  <si>
    <t>PARA EL AVISO DE GANANCIAS</t>
  </si>
  <si>
    <t>Cónyuge a cargo</t>
  </si>
  <si>
    <t>Sin ingresos propios por encima del mínimo no imponible.</t>
  </si>
  <si>
    <t>Hijos a cargo</t>
  </si>
  <si>
    <t>Menores de 18 años.</t>
  </si>
  <si>
    <t>Otras deducciones del año</t>
  </si>
  <si>
    <t>Prepaga, alquiler, servicio doméstico, etc., sumado en el año. Si no sabés, dejá 0.</t>
  </si>
  <si>
    <t>VALORES DE LEY QUE USA LA PLANILLA</t>
  </si>
  <si>
    <t>Jubilación (SIPA)</t>
  </si>
  <si>
    <t>Ley 24.241, art. 11.</t>
  </si>
  <si>
    <t>Ley 19.032 (PAMI)</t>
  </si>
  <si>
    <t>INSSJP.</t>
  </si>
  <si>
    <t>Obra social</t>
  </si>
  <si>
    <t>Ley 23.660.</t>
  </si>
  <si>
    <t>Tope de la base para aportes (por mes)</t>
  </si>
  <si>
    <t>Resolución ANSES 284/2026, art. 3 (Boletín Oficial del 23 de septiembre de 2026). Vigente en octubre de 2026: cambia todos los meses. Por encima, los aportes dejan de crecer.</t>
  </si>
  <si>
    <t>Ganancias: mínimo no imponible (anual)</t>
  </si>
  <si>
    <t>ARCA, art. 30 LIG, 2do semestre 2026 (julio a diciembre).</t>
  </si>
  <si>
    <t>Ganancias: deducción especial (anual)</t>
  </si>
  <si>
    <t>Relación de dependencia.</t>
  </si>
  <si>
    <t>Ganancias: cónyuge (anual)</t>
  </si>
  <si>
    <t>Ganancias: por hijo (anual)</t>
  </si>
  <si>
    <t>Si cambia uno de estos valores, el enlace de descarga que te llegó por mail te baja la versión al día. Un recibo viejo con un sueldo por encima del tope se compara con el tope de hoy: si la planilla lo marca, fijate el tope de ese mes.</t>
  </si>
  <si>
    <t>Mis recibos — control mes a mes</t>
  </si>
  <si>
    <t>Viene con un ejemplo de 13 meses: reemplazalo con tus recibos (o borrá las celdas amarillas). Cargá cada importe tal cual figura en el recibo; las columnas verdes te dicen si cuadra con la ley.</t>
  </si>
  <si>
    <t>LO QUE DICE TU RECIBO (lo completás vos)</t>
  </si>
  <si>
    <t>CONTROL</t>
  </si>
  <si>
    <t>LO QUE MARCA LA LEY</t>
  </si>
  <si>
    <t>Mes</t>
  </si>
  <si>
    <t>Bruto remunerativo</t>
  </si>
  <si>
    <t>No remunerativo</t>
  </si>
  <si>
    <t>Jubilación</t>
  </si>
  <si>
    <t>Ley 19.032</t>
  </si>
  <si>
    <t>Cuota sindical</t>
  </si>
  <si>
    <t>Ganancias</t>
  </si>
  <si>
    <t>Otros descuentos</t>
  </si>
  <si>
    <t>Neto que cobraste</t>
  </si>
  <si>
    <t>¿Cuadra?</t>
  </si>
  <si>
    <t>Diferencia en aportes</t>
  </si>
  <si>
    <t>Jubilación 11%</t>
  </si>
  <si>
    <t>Ley 19.032 3%</t>
  </si>
  <si>
    <t>Obra social 3%</t>
  </si>
  <si>
    <t>Neto de ley</t>
  </si>
  <si>
    <t>«Diferencia en aportes» = lo que te descontaron menos lo que marca la ley (positivo: te descontaron de más). Una diferencia de hasta $1 es redondeo. Si aparece «Revisar», no siempre es un error: mirá primero si el concepto es remunerativo, si tu convenio descuenta algo sobre lo no remunerativo (en «Mis datos») o si el tope de ese mes era otro. Si sigue sin cuadrar, consultalo con tu empleador o RR. HH. con el recibo en la mano.</t>
  </si>
  <si>
    <t>Tu sueldo frente a la inflación</t>
  </si>
  <si>
    <t>Tu sueldo</t>
  </si>
  <si>
    <t>Cambio del sueldo</t>
  </si>
  <si>
    <t>Inflación del mes</t>
  </si>
  <si>
    <t>Poder de compra vs. el primer mes</t>
  </si>
  <si>
    <t>Mi sueldo frente a la inflación</t>
  </si>
  <si>
    <t>QUIÉN</t>
  </si>
  <si>
    <t>Nombre</t>
  </si>
  <si>
    <t>Puesto</t>
  </si>
  <si>
    <t>Último recibo cargado</t>
  </si>
  <si>
    <t>TU SUELDO HOY</t>
  </si>
  <si>
    <t>Sueldo bruto del último recibo</t>
  </si>
  <si>
    <t>En mano, con los descuentos de ley</t>
  </si>
  <si>
    <t>DESDE TU ÚLTIMO AUMENTO</t>
  </si>
  <si>
    <t>Lo medimos desde</t>
  </si>
  <si>
    <t>Tu sueldo desde ese mes</t>
  </si>
  <si>
    <t>Inflación desde entonces</t>
  </si>
  <si>
    <t>Tu poder de compra</t>
  </si>
  <si>
    <t>Aumento que necesitás para recuperarlo</t>
  </si>
  <si>
    <t>Sueldo que te devuelve ese poder de compra</t>
  </si>
  <si>
    <t>Para decirlo en la reunión</t>
  </si>
  <si>
    <t>LOS ÚLTIMOS 12 MESES</t>
  </si>
  <si>
    <t>Tu sueldo hace 12 meses</t>
  </si>
  <si>
    <t>Cuánto subió tu sueldo</t>
  </si>
  <si>
    <t>Inflación del período</t>
  </si>
  <si>
    <t>Tu sueldo real (descontada la inflación)</t>
  </si>
  <si>
    <t>AGUINALDO</t>
  </si>
  <si>
    <t>Semestre</t>
  </si>
  <si>
    <t>Aguinaldo bruto</t>
  </si>
  <si>
    <t>En mano, estimado</t>
  </si>
  <si>
    <t>GANANCIAS</t>
  </si>
  <si>
    <t>Piso aproximado (sueldo bruto por mes)</t>
  </si>
  <si>
    <t>Dónde estás</t>
  </si>
  <si>
    <t>Hecho con la Planilla Mi Sueldo de calcular.ar. Inflación: IPC nivel general del INDEC. Aportes: Ley 24.241, Ley 19.032 y Ley 23.660. Es una referencia de cálculo con datos oficiales, no una liquidación ni asesoramiento legal. Ganancias es un aviso estimado: la retención real depende de tus deducciones y la calcula tu empleador.</t>
  </si>
  <si>
    <t>Aguinaldo de cada semestre</t>
  </si>
  <si>
    <t>El aguinaldo es la mitad del mejor sueldo remunerativo del semestre (Ley 23.041). Se arma con los recibos que cargaste: si el semestre no terminó, es una proyección con lo cobrado hasta ahora.</t>
  </si>
  <si>
    <t>Meses cargados</t>
  </si>
  <si>
    <t>Mejor sueldo remunerativo</t>
  </si>
  <si>
    <t>Aportes (17%)</t>
  </si>
  <si>
    <t>Se paga hasta</t>
  </si>
  <si>
    <t>Supone que trabajaste el semestre completo. Si entraste o te fuiste a mitad de semestre, el aguinaldo es proporcional a los días trabajados: calculalo en calcular.ar/aguinaldo. Las fechas de pago son las del art. 122 de la Ley de Contrato de Trabajo.</t>
  </si>
  <si>
    <t>IPC Nacional del INDEC — nivel general (base diciembre 2016 = 100)</t>
  </si>
  <si>
    <t>Serie oficial descargada el 2026-10-07 de la API de series de tiempo del Estado (datos.gob.ar). Último dato: agosto de 2026. Si ya salió un mes que acá no está, cargá su % en la columna amarilla.</t>
  </si>
  <si>
    <t>Período</t>
  </si>
  <si>
    <t>Índice</t>
  </si>
  <si>
    <t>Variación del mes</t>
  </si>
  <si>
    <t>¿Salió y no está? Cargá el % del mes</t>
  </si>
  <si>
    <t>Origen</t>
  </si>
  <si>
    <t>diciembre de 2016</t>
  </si>
  <si>
    <t>INDEC</t>
  </si>
  <si>
    <t>enero</t>
  </si>
  <si>
    <t>enero de 2017</t>
  </si>
  <si>
    <t>febrero</t>
  </si>
  <si>
    <t>febrero de 2017</t>
  </si>
  <si>
    <t>marzo</t>
  </si>
  <si>
    <t>marzo de 2017</t>
  </si>
  <si>
    <t>abril</t>
  </si>
  <si>
    <t>abril de 2017</t>
  </si>
  <si>
    <t>mayo</t>
  </si>
  <si>
    <t>mayo de 2017</t>
  </si>
  <si>
    <t>junio</t>
  </si>
  <si>
    <t>junio de 2017</t>
  </si>
  <si>
    <t>julio</t>
  </si>
  <si>
    <t>julio de 2017</t>
  </si>
  <si>
    <t>agosto</t>
  </si>
  <si>
    <t>agosto de 2017</t>
  </si>
  <si>
    <t>septiembre de 2017</t>
  </si>
  <si>
    <t>octubre</t>
  </si>
  <si>
    <t>octubre de 2017</t>
  </si>
  <si>
    <t>noviembre</t>
  </si>
  <si>
    <t>noviembre de 2017</t>
  </si>
  <si>
    <t>diciembre</t>
  </si>
  <si>
    <t>diciembre de 2017</t>
  </si>
  <si>
    <t>enero de 2018</t>
  </si>
  <si>
    <t>febrero de 2018</t>
  </si>
  <si>
    <t>marzo de 2018</t>
  </si>
  <si>
    <t>abril de 2018</t>
  </si>
  <si>
    <t>mayo de 2018</t>
  </si>
  <si>
    <t>junio de 2018</t>
  </si>
  <si>
    <t>julio de 2018</t>
  </si>
  <si>
    <t>agosto de 2018</t>
  </si>
  <si>
    <t>septiembre de 2018</t>
  </si>
  <si>
    <t>octubre de 2018</t>
  </si>
  <si>
    <t>noviembre de 2018</t>
  </si>
  <si>
    <t>diciembre de 2018</t>
  </si>
  <si>
    <t>enero de 2019</t>
  </si>
  <si>
    <t>febrero de 2019</t>
  </si>
  <si>
    <t>marzo de 2019</t>
  </si>
  <si>
    <t>abril de 2019</t>
  </si>
  <si>
    <t>mayo de 2019</t>
  </si>
  <si>
    <t>junio de 2019</t>
  </si>
  <si>
    <t>julio de 2019</t>
  </si>
  <si>
    <t>agosto de 2019</t>
  </si>
  <si>
    <t>septiembre de 2019</t>
  </si>
  <si>
    <t>octubre de 2019</t>
  </si>
  <si>
    <t>noviembre de 2019</t>
  </si>
  <si>
    <t>diciembre de 2019</t>
  </si>
  <si>
    <t>enero de 2020</t>
  </si>
  <si>
    <t>febrero de 2020</t>
  </si>
  <si>
    <t>marzo de 2020</t>
  </si>
  <si>
    <t>abril de 2020</t>
  </si>
  <si>
    <t>mayo de 2020</t>
  </si>
  <si>
    <t>junio de 2020</t>
  </si>
  <si>
    <t>julio de 2020</t>
  </si>
  <si>
    <t>agosto de 2020</t>
  </si>
  <si>
    <t>septiembre de 2020</t>
  </si>
  <si>
    <t>octubre de 2020</t>
  </si>
  <si>
    <t>noviembre de 2020</t>
  </si>
  <si>
    <t>diciembre de 2020</t>
  </si>
  <si>
    <t>enero de 2021</t>
  </si>
  <si>
    <t>febrero de 2021</t>
  </si>
  <si>
    <t>marzo de 2021</t>
  </si>
  <si>
    <t>abril de 2021</t>
  </si>
  <si>
    <t>mayo de 2021</t>
  </si>
  <si>
    <t>junio de 2021</t>
  </si>
  <si>
    <t>julio de 2021</t>
  </si>
  <si>
    <t>agosto de 2021</t>
  </si>
  <si>
    <t>septiembre de 2021</t>
  </si>
  <si>
    <t>octubre de 2021</t>
  </si>
  <si>
    <t>noviembre de 2021</t>
  </si>
  <si>
    <t>diciembre de 2021</t>
  </si>
  <si>
    <t>enero de 2022</t>
  </si>
  <si>
    <t>febrero de 2022</t>
  </si>
  <si>
    <t>marzo de 2022</t>
  </si>
  <si>
    <t>abril de 2022</t>
  </si>
  <si>
    <t>mayo de 2022</t>
  </si>
  <si>
    <t>junio de 2022</t>
  </si>
  <si>
    <t>julio de 2022</t>
  </si>
  <si>
    <t>agosto de 2022</t>
  </si>
  <si>
    <t>septiembre de 2022</t>
  </si>
  <si>
    <t>octubre de 2022</t>
  </si>
  <si>
    <t>noviembre de 2022</t>
  </si>
  <si>
    <t>diciembre de 2022</t>
  </si>
  <si>
    <t>enero de 2023</t>
  </si>
  <si>
    <t>febrero de 2023</t>
  </si>
  <si>
    <t>marzo de 2023</t>
  </si>
  <si>
    <t>abril de 2023</t>
  </si>
  <si>
    <t>mayo de 2023</t>
  </si>
  <si>
    <t>junio de 2023</t>
  </si>
  <si>
    <t>julio de 2023</t>
  </si>
  <si>
    <t>agosto de 2023</t>
  </si>
  <si>
    <t>septiembre de 2023</t>
  </si>
  <si>
    <t>octubre de 2023</t>
  </si>
  <si>
    <t>noviembre de 2023</t>
  </si>
  <si>
    <t>diciembre de 2023</t>
  </si>
  <si>
    <t>enero de 2024</t>
  </si>
  <si>
    <t>febrero de 2024</t>
  </si>
  <si>
    <t>marzo de 2024</t>
  </si>
  <si>
    <t>abril de 2024</t>
  </si>
  <si>
    <t>mayo de 2024</t>
  </si>
  <si>
    <t>junio de 2024</t>
  </si>
  <si>
    <t>julio de 2024</t>
  </si>
  <si>
    <t>agosto de 2024</t>
  </si>
  <si>
    <t>septiembre de 2024</t>
  </si>
  <si>
    <t>octubre de 2024</t>
  </si>
  <si>
    <t>noviembre de 2024</t>
  </si>
  <si>
    <t>diciembre de 2024</t>
  </si>
  <si>
    <t>enero de 2025</t>
  </si>
  <si>
    <t>febrero de 2025</t>
  </si>
  <si>
    <t>marzo de 2025</t>
  </si>
  <si>
    <t>abril de 2025</t>
  </si>
  <si>
    <t>mayo de 2025</t>
  </si>
  <si>
    <t>junio de 2025</t>
  </si>
  <si>
    <t>julio de 2025</t>
  </si>
  <si>
    <t>agosto de 2025</t>
  </si>
  <si>
    <t>septiembre de 2025</t>
  </si>
  <si>
    <t>octubre de 2025</t>
  </si>
  <si>
    <t>noviembre de 2025</t>
  </si>
  <si>
    <t>diciembre de 2025</t>
  </si>
  <si>
    <t>enero de 2026</t>
  </si>
  <si>
    <t>febrero de 2026</t>
  </si>
  <si>
    <t>marzo de 2026</t>
  </si>
  <si>
    <t>abril de 2026</t>
  </si>
  <si>
    <t>mayo de 2026</t>
  </si>
  <si>
    <t>junio de 2026</t>
  </si>
  <si>
    <t>julio de 2026</t>
  </si>
  <si>
    <t>agosto de 2026</t>
  </si>
  <si>
    <t>septiembre de 2026</t>
  </si>
  <si>
    <t>octubre de 2026</t>
  </si>
  <si>
    <t>noviembre de 2026</t>
  </si>
  <si>
    <t>diciembre de 2026</t>
  </si>
  <si>
    <t>enero de 2027</t>
  </si>
  <si>
    <t>febrero de 2027</t>
  </si>
  <si>
    <t>marzo de 2027</t>
  </si>
  <si>
    <t>abril de 2027</t>
  </si>
  <si>
    <t>mayo de 2027</t>
  </si>
  <si>
    <t>junio de 2027</t>
  </si>
  <si>
    <t>julio de 2027</t>
  </si>
  <si>
    <t>agosto de 2027</t>
  </si>
  <si>
    <t>septiembre de 2027</t>
  </si>
  <si>
    <t>octubre de 2027</t>
  </si>
  <si>
    <t>noviembre de 2027</t>
  </si>
  <si>
    <t>diciembre de 2027</t>
  </si>
  <si>
    <t>enero de 2028</t>
  </si>
  <si>
    <t>febrero de 2028</t>
  </si>
  <si>
    <t>marzo de 2028</t>
  </si>
  <si>
    <t>abril de 2028</t>
  </si>
  <si>
    <t>mayo de 2028</t>
  </si>
  <si>
    <t>junio de 2028</t>
  </si>
  <si>
    <t>julio de 2028</t>
  </si>
  <si>
    <t>agosto de 2028</t>
  </si>
  <si>
    <t>septiembre de 2028</t>
  </si>
  <si>
    <t>octubre de 2028</t>
  </si>
  <si>
    <t>noviembre de 2028</t>
  </si>
  <si>
    <t>diciembre de 2028</t>
  </si>
  <si>
    <t>enero de 2029</t>
  </si>
  <si>
    <t>febrero de 2029</t>
  </si>
  <si>
    <t>marzo de 2029</t>
  </si>
  <si>
    <t>abril de 2029</t>
  </si>
  <si>
    <t>mayo de 2029</t>
  </si>
  <si>
    <t>junio de 2029</t>
  </si>
  <si>
    <t>julio de 2029</t>
  </si>
  <si>
    <t>agosto de 2029</t>
  </si>
  <si>
    <t>septiembre de 2029</t>
  </si>
  <si>
    <t>octubre de 2029</t>
  </si>
  <si>
    <t>noviembre de 2029</t>
  </si>
  <si>
    <t>diciembre de 2029</t>
  </si>
  <si>
    <t>enero de 2030</t>
  </si>
  <si>
    <t>febrero de 2030</t>
  </si>
  <si>
    <t>marzo de 2030</t>
  </si>
  <si>
    <t>abril de 2030</t>
  </si>
  <si>
    <t>mayo de 2030</t>
  </si>
  <si>
    <t>junio de 2030</t>
  </si>
  <si>
    <t>julio de 2030</t>
  </si>
  <si>
    <t>agosto de 2030</t>
  </si>
  <si>
    <t>septiembre de 2030</t>
  </si>
  <si>
    <t>octubre de 2030</t>
  </si>
  <si>
    <t>noviembre de 2030</t>
  </si>
  <si>
    <t>diciembre de 2030</t>
  </si>
  <si>
    <t>enero de 2031</t>
  </si>
  <si>
    <t>febrero de 2031</t>
  </si>
  <si>
    <t>marzo de 2031</t>
  </si>
  <si>
    <t>abril de 2031</t>
  </si>
  <si>
    <t>mayo de 2031</t>
  </si>
  <si>
    <t>junio de 2031</t>
  </si>
  <si>
    <t>julio de 2031</t>
  </si>
  <si>
    <t>agosto de 2031</t>
  </si>
  <si>
    <t>septiembre de 2031</t>
  </si>
  <si>
    <t>octubre de 2031</t>
  </si>
  <si>
    <t>noviembre de 2031</t>
  </si>
  <si>
    <t>diciembre de 2031</t>
  </si>
  <si>
    <t>enero de 2032</t>
  </si>
  <si>
    <t>febrero de 2032</t>
  </si>
  <si>
    <t>marzo de 2032</t>
  </si>
  <si>
    <t>abril de 2032</t>
  </si>
  <si>
    <t>mayo de 2032</t>
  </si>
  <si>
    <t>junio de 2032</t>
  </si>
  <si>
    <t>julio de 2032</t>
  </si>
  <si>
    <t>agosto de 2032</t>
  </si>
  <si>
    <t>septiembre de 2032</t>
  </si>
  <si>
    <t>octubre de 2032</t>
  </si>
  <si>
    <t>noviembre de 2032</t>
  </si>
  <si>
    <t>diciembre de 2032</t>
  </si>
  <si>
    <t>Fuentes oficiales</t>
  </si>
  <si>
    <t>Todos los datos de esta planilla se verificaron el 1 de septiembre de 2026 contra los documentos oficiales de abajo. Ningún blog, ningún resumen de terceros.</t>
  </si>
  <si>
    <t>Documento</t>
  </si>
  <si>
    <t>Link</t>
  </si>
  <si>
    <t>Ley 24.241, art. 11: aporte personal jubilatorio 11% (SIPA)</t>
  </si>
  <si>
    <t>https://servicios.infoleg.gob.ar/infolegInternet/anexos/0-4999/639/texact.htm</t>
  </si>
  <si>
    <t>Ley 19.032: INSSJP / PAMI 3%</t>
  </si>
  <si>
    <t>https://www.argentina.gob.ar/normativa/nacional/ley-19032-21581</t>
  </si>
  <si>
    <t>Ley 23.660: aporte del trabajador a la obra social 3%</t>
  </si>
  <si>
    <t>https://servicios.infoleg.gob.ar/infolegInternet/anexos/0-4999/62/texact.htm</t>
  </si>
  <si>
    <t>Resolución ANSES 257/2026: bases imponibles desde el devengado septiembre 2026</t>
  </si>
  <si>
    <t>https://www.boletinoficial.gob.ar/detalleAviso/primera/346683/20260901</t>
  </si>
  <si>
    <t>INDEC: IPC Nacional, nivel general (API oficial de series de tiempo)</t>
  </si>
  <si>
    <t>https://datos.gob.ar/series/api/series/?ids=148.3_INIVELNAL_DICI_M_26&amp;format=json</t>
  </si>
  <si>
    <t>INDEC: Índice de precios al consumidor (informes técnicos mensuales)</t>
  </si>
  <si>
    <t>https://www.indec.gob.ar/indec/web/Nivel4-Tema-3-5-31</t>
  </si>
  <si>
    <t>Ley 23.041: Sueldo Anual Complementario</t>
  </si>
  <si>
    <t>https://www.argentina.gob.ar/normativa/nacional/ley-23041-1983-28165</t>
  </si>
  <si>
    <t>Ley de Contrato de Trabajo 20.744, arts. 121-123 (texto actualizado)</t>
  </si>
  <si>
    <t>https://servicios.infoleg.gob.ar/infolegInternet/anexos/25000-29999/25552/texact.htm</t>
  </si>
  <si>
    <t>ARCA: Deducciones personales art. 30 LIG (julio a diciembre 2026)</t>
  </si>
  <si>
    <t>https://www.afip.gob.ar/gananciasYBienes/ganancias/personas-humanas-sucesiones-indivisas/deducciones/documentos/Deducciones-personales-art-30-jul-dic-2026.pdf</t>
  </si>
  <si>
    <t>Decreto 407/2026: reglamenta la Ley 27.802 de Modernización Laboral (art. 140 LCT)</t>
  </si>
  <si>
    <t>https://www.boletinoficial.gob.ar/detalleAviso/primera/342620/20260601</t>
  </si>
  <si>
    <t>Planilla de calcular.ar. Serie del IPC descargada el 2026-10-07; tope de aportes de octubre de 2026; deducciones de Ganancias del 2do semestre 2026 (julio a diciembre) (ARCA, consultadas el 29 de julio de 2026). Cuando cambia uno de estos datos regeneramos el archivo: el mismo enlace de descarga te baja la versión al día, sin costo.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</si>
</sst>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quot;$&quot;#,##0"/>
    <numFmt numFmtId="165" formatCode="0.0%"/>
    <numFmt numFmtId="166" formatCode="&quot;$&quot;#,##0.00"/>
    <numFmt numFmtId="167" formatCode="+0.0%;-0.0%;0.0%"/>
    <numFmt numFmtId="168" formatCode="#,##0.0000"/>
    <numFmt numFmtId="169" formatCode="0.0"/>
  </numFmts>
  <fonts count="13" x14ac:knownFonts="1">
    <font>
      <color theme="1"/>
      <family val="2"/>
      <scheme val="minor"/>
      <sz val="11"/>
      <name val="Calibri"/>
    </font>
    <font>
      <b/>
      <color rgb="FFFFFFFF"/>
      <sz val="13"/>
    </font>
    <font>
      <b/>
      <color rgb="FFFFFFFF"/>
    </font>
    <font>
      <b/>
      <color rgb="FFFFFFFF"/>
      <sz val="11"/>
    </font>
    <font>
      <i/>
      <color rgb="FF777777"/>
      <sz val="9"/>
    </font>
    <font>
      <i/>
      <color rgb="FF555555"/>
      <sz val="10"/>
    </font>
    <font>
      <b/>
    </font>
    <font>
      <color rgb="FF777777"/>
      <sz val="9"/>
    </font>
    <font>
      <b/>
      <color rgb="FFFFFFFF"/>
      <sz val="10"/>
    </font>
    <font>
      <b/>
      <color rgb="FF3E2723"/>
      <sz val="10"/>
    </font>
    <font/>
    <font>
      <color rgb="FF666666"/>
      <sz val="9"/>
    </font>
    <font>
      <u/>
      <color rgb="FF1565C0"/>
    </font>
  </fonts>
  <fills count="16">
    <fill>
      <patternFill patternType="none"/>
    </fill>
    <fill>
      <patternFill patternType="gray125"/>
    </fill>
    <fill>
      <patternFill patternType="solid">
        <fgColor rgb="FF1B5E20"/>
      </patternFill>
    </fill>
    <fill>
      <patternFill patternType="solid">
        <fgColor rgb="FFFFFDE7"/>
      </patternFill>
    </fill>
    <fill>
      <patternFill patternType="solid">
        <fgColor rgb="FFE8F5E9"/>
      </patternFill>
    </fill>
    <fill>
      <patternFill patternType="solid">
        <fgColor rgb="FFF5F5F5"/>
      </patternFill>
    </fill>
    <fill>
      <patternFill patternType="solid">
        <fgColor rgb="FFF9A825"/>
      </patternFill>
    </fill>
    <fill>
      <patternFill patternType="solid">
        <fgColor rgb="FF37474F"/>
      </patternFill>
    </fill>
    <fill>
      <patternFill patternType="solid">
        <fgColor rgb="FFFFF59D"/>
      </patternFill>
    </fill>
    <fill>
      <patternFill patternType="solid">
        <fgColor rgb="FF546E7A"/>
      </patternFill>
    </fill>
    <fill>
      <patternFill patternType="solid">
        <fgColor rgb="FF2E7D32"/>
      </patternFill>
    </fill>
    <fill>
      <patternFill patternType="solid">
        <fgColor rgb="FFFFFFFF"/>
      </patternFill>
    </fill>
    <fill>
      <patternFill patternType="solid">
        <fgColor rgb="FFC8E6C9"/>
      </patternFill>
    </fill>
    <fill>
      <patternFill patternType="solid">
        <fgColor rgb="FFF3F8FF"/>
      </patternFill>
    </fill>
    <fill>
      <patternFill patternType="solid">
        <fgColor rgb="FF1565C0"/>
      </patternFill>
    </fill>
    <fill>
      <patternFill patternType="solid">
        <fgColor rgb="FF1976D2"/>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60">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center" wrapText="1" indent="1"/>
    </xf>
    <xf numFmtId="0" fontId="3" fillId="2" borderId="0" xfId="0" applyFont="1" applyFill="1" applyAlignment="1">
      <alignment horizontal="left" indent="1"/>
    </xf>
    <xf numFmtId="0" fontId="0" fillId="3" borderId="1" xfId="0" applyFill="1" applyBorder="1"/>
    <xf numFmtId="0" fontId="0" fillId="0" borderId="0" xfId="0" applyAlignment="1">
      <alignment wrapText="1" indent="1"/>
    </xf>
    <xf numFmtId="0" fontId="0" fillId="4" borderId="1" xfId="0" applyFill="1" applyBorder="1"/>
    <xf numFmtId="0" fontId="0" fillId="0" borderId="0" xfId="0" applyAlignment="1">
      <alignment vertical="top" wrapText="1" indent="1"/>
    </xf>
    <xf numFmtId="0" fontId="4" fillId="0" borderId="0" xfId="0" applyFont="1" applyAlignment="1">
      <alignment vertical="top" wrapText="1"/>
    </xf>
    <xf numFmtId="0" fontId="5" fillId="0" borderId="0" xfId="0" applyFont="1" applyAlignment="1">
      <alignment vertical="center" wrapText="1" indent="1"/>
    </xf>
    <xf numFmtId="0" fontId="0" fillId="5" borderId="1" xfId="0" applyFill="1" applyBorder="1" applyAlignment="1">
      <alignment horizontal="left" indent="1"/>
    </xf>
    <xf numFmtId="0" fontId="6" fillId="3" borderId="1" xfId="0" applyFont="1" applyFill="1" applyBorder="1" applyAlignment="1" applyProtection="1">
      <alignment horizontal="left" indent="1"/>
      <protection locked="0"/>
    </xf>
    <xf numFmtId="0" fontId="7" fillId="0" borderId="0" xfId="0" applyFont="1" applyAlignment="1">
      <alignment vertical="center" wrapText="1" indent="1"/>
    </xf>
    <xf numFmtId="1" fontId="6" fillId="3" borderId="1" xfId="0" applyNumberFormat="1" applyFont="1" applyFill="1" applyBorder="1" applyAlignment="1" applyProtection="1">
      <alignment horizontal="right"/>
      <protection locked="0"/>
    </xf>
    <xf numFmtId="2" fontId="6" fillId="3" borderId="1" xfId="0" applyNumberFormat="1" applyFont="1" applyFill="1" applyBorder="1" applyAlignment="1" applyProtection="1">
      <alignment horizontal="right"/>
      <protection locked="0"/>
    </xf>
    <xf numFmtId="164" fontId="6" fillId="3" borderId="1" xfId="0" applyNumberFormat="1" applyFont="1" applyFill="1" applyBorder="1" applyAlignment="1" applyProtection="1">
      <alignment horizontal="right"/>
      <protection locked="0"/>
    </xf>
    <xf numFmtId="165" fontId="0" fillId="4" borderId="1" xfId="0" applyNumberFormat="1" applyFill="1" applyBorder="1" applyAlignment="1">
      <alignment horizontal="right"/>
    </xf>
    <xf numFmtId="166" fontId="0" fillId="4" borderId="1" xfId="0" applyNumberFormat="1" applyFill="1" applyBorder="1" applyAlignment="1">
      <alignment horizontal="right"/>
    </xf>
    <xf numFmtId="0" fontId="8" fillId="6" borderId="0" xfId="0" applyFont="1" applyFill="1" applyAlignment="1">
      <alignment horizontal="center" vertical="center"/>
    </xf>
    <xf numFmtId="0" fontId="8" fillId="7" borderId="0" xfId="0" applyFont="1" applyFill="1" applyAlignment="1">
      <alignment horizontal="center" vertical="center"/>
    </xf>
    <xf numFmtId="0" fontId="8" fillId="2" borderId="0" xfId="0" applyFont="1" applyFill="1" applyAlignment="1">
      <alignment horizontal="center" vertical="center"/>
    </xf>
    <xf numFmtId="0" fontId="8" fillId="2"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10" fillId="11" borderId="1" xfId="0" applyFont="1" applyFill="1" applyBorder="1" applyAlignment="1">
      <alignment horizontal="left" indent="1"/>
    </xf>
    <xf numFmtId="166" fontId="10" fillId="3" borderId="1" xfId="0" applyNumberFormat="1" applyFont="1" applyFill="1" applyBorder="1" applyAlignment="1" applyProtection="1">
      <alignment horizontal="right"/>
      <protection locked="0"/>
    </xf>
    <xf numFmtId="0" fontId="10" fillId="4" borderId="1" xfId="0" applyFont="1" applyFill="1" applyBorder="1" applyAlignment="1">
      <alignment horizontal="center" vertical="center"/>
    </xf>
    <xf numFmtId="166" fontId="10" fillId="4" borderId="1" xfId="0" applyNumberFormat="1" applyFont="1" applyFill="1" applyBorder="1" applyAlignment="1">
      <alignment horizontal="right"/>
    </xf>
    <xf numFmtId="166" fontId="6" fillId="12" borderId="1" xfId="0" applyNumberFormat="1" applyFont="1" applyFill="1" applyBorder="1" applyAlignment="1">
      <alignment horizontal="right"/>
    </xf>
    <xf numFmtId="0" fontId="10" fillId="13" borderId="1" xfId="0" applyFont="1" applyFill="1" applyBorder="1" applyAlignment="1">
      <alignment horizontal="left" indent="1"/>
    </xf>
    <xf numFmtId="0" fontId="1" fillId="14" borderId="0" xfId="0" applyFont="1" applyFill="1" applyAlignment="1">
      <alignment horizontal="center" vertical="center"/>
    </xf>
    <xf numFmtId="0" fontId="2" fillId="15" borderId="1" xfId="0" applyFont="1" applyFill="1" applyBorder="1" applyAlignment="1">
      <alignment horizontal="center" vertical="center" wrapText="1"/>
    </xf>
    <xf numFmtId="0" fontId="10" fillId="4" borderId="1" xfId="0" applyFont="1" applyFill="1" applyBorder="1" applyAlignment="1">
      <alignment horizontal="left" indent="1"/>
    </xf>
    <xf numFmtId="164" fontId="10" fillId="4" borderId="1" xfId="0" applyNumberFormat="1" applyFont="1" applyFill="1" applyBorder="1" applyAlignment="1">
      <alignment horizontal="right"/>
    </xf>
    <xf numFmtId="165" fontId="10" fillId="4" borderId="1" xfId="0" applyNumberFormat="1" applyFont="1" applyFill="1" applyBorder="1" applyAlignment="1">
      <alignment horizontal="right"/>
    </xf>
    <xf numFmtId="0" fontId="11" fillId="0" borderId="0" xfId="0" applyFont="1" applyAlignment="1">
      <alignment vertical="center" wrapText="1" indent="1"/>
    </xf>
    <xf numFmtId="167" fontId="10" fillId="4" borderId="1" xfId="0" applyNumberFormat="1" applyFont="1" applyFill="1" applyBorder="1" applyAlignment="1">
      <alignment horizontal="right"/>
    </xf>
    <xf numFmtId="165" fontId="6" fillId="12" borderId="1" xfId="0" applyNumberFormat="1" applyFont="1" applyFill="1" applyBorder="1" applyAlignment="1">
      <alignment horizontal="right"/>
    </xf>
    <xf numFmtId="164" fontId="6" fillId="12" borderId="1" xfId="0" applyNumberFormat="1" applyFont="1" applyFill="1" applyBorder="1" applyAlignment="1">
      <alignment horizontal="right"/>
    </xf>
    <xf numFmtId="0" fontId="10" fillId="4" borderId="1" xfId="0" applyFont="1" applyFill="1" applyBorder="1" applyAlignment="1">
      <alignment horizontal="left" vertical="top" wrapText="1" indent="1"/>
    </xf>
    <xf numFmtId="167" fontId="6" fillId="12" borderId="1" xfId="0" applyNumberFormat="1" applyFont="1" applyFill="1" applyBorder="1" applyAlignment="1">
      <alignment horizontal="right"/>
    </xf>
    <xf numFmtId="0" fontId="2" fillId="2" borderId="1" xfId="0" applyFont="1" applyFill="1" applyBorder="1" applyAlignment="1">
      <alignment horizontal="center" vertical="center" wrapText="1"/>
    </xf>
    <xf numFmtId="1" fontId="10" fillId="4" borderId="1" xfId="0" applyNumberFormat="1" applyFont="1" applyFill="1" applyBorder="1" applyAlignment="1">
      <alignment horizontal="right"/>
    </xf>
    <xf numFmtId="0" fontId="0" fillId="11" borderId="1" xfId="0" applyFill="1" applyBorder="1"/>
    <xf numFmtId="168" fontId="0" fillId="11" borderId="1" xfId="0" applyNumberFormat="1" applyFill="1" applyBorder="1"/>
    <xf numFmtId="165" fontId="0" fillId="11" borderId="1" xfId="0" applyNumberFormat="1" applyFill="1" applyBorder="1"/>
    <xf numFmtId="0" fontId="0" fillId="5" borderId="1" xfId="0" applyFill="1" applyBorder="1"/>
    <xf numFmtId="0" fontId="0" fillId="13" borderId="1" xfId="0" applyFill="1" applyBorder="1"/>
    <xf numFmtId="168" fontId="0" fillId="13" borderId="1" xfId="0" applyNumberFormat="1" applyFill="1" applyBorder="1"/>
    <xf numFmtId="165" fontId="0" fillId="13" borderId="1" xfId="0" applyNumberFormat="1" applyFill="1" applyBorder="1"/>
    <xf numFmtId="169" fontId="0" fillId="3" borderId="1" xfId="0" applyNumberFormat="1" applyFill="1" applyBorder="1" applyProtection="1">
      <protection locked="0"/>
    </xf>
    <xf numFmtId="0" fontId="1" fillId="7" borderId="0" xfId="0" applyFont="1" applyFill="1" applyAlignment="1">
      <alignment horizontal="center" vertical="center"/>
    </xf>
    <xf numFmtId="0" fontId="5" fillId="0" borderId="0" xfId="0" applyFont="1" applyAlignment="1">
      <alignment vertical="top" wrapText="1"/>
    </xf>
    <xf numFmtId="0" fontId="2" fillId="9" borderId="1" xfId="0" applyFont="1" applyFill="1" applyBorder="1"/>
    <xf numFmtId="0" fontId="0" fillId="11" borderId="1" xfId="0" applyFill="1" applyBorder="1" applyAlignment="1">
      <alignment vertical="top" wrapText="1"/>
    </xf>
    <xf numFmtId="0" fontId="12" fillId="11" borderId="1" xfId="0" applyFont="1" applyFill="1" applyBorder="1" applyAlignment="1">
      <alignment vertical="top" wrapText="1"/>
    </xf>
    <xf numFmtId="0" fontId="0" fillId="5" borderId="1" xfId="0" applyFill="1" applyBorder="1" applyAlignment="1">
      <alignment vertical="top" wrapText="1"/>
    </xf>
    <xf numFmtId="0" fontId="12" fillId="5" borderId="1" xfId="0" applyFont="1" applyFill="1" applyBorder="1" applyAlignment="1">
      <alignment vertical="top" wrapText="1"/>
    </xf>
  </cellXfs>
  <cellStyles count="1">
    <cellStyle name="Normal" xfId="0" builtinId="0"/>
  </cellStyles>
  <dxfs count="3">
    <dxf>
      <font>
        <b/>
        <color rgb="FFB71C1C"/>
      </font>
      <fill>
        <patternFill patternType="solid">
          <bgColor rgb="FFFFCDD2"/>
        </patternFill>
      </fill>
    </dxf>
    <dxf>
      <font>
        <color rgb="FFE65100"/>
      </font>
      <fill>
        <patternFill patternType="solid">
          <bgColor rgb="FFFFE0B2"/>
        </patternFill>
      </fill>
    </dxf>
    <dxf>
      <font>
        <b/>
        <color rgb="FF1B5E20"/>
      </font>
      <fill>
        <patternFill patternType="solid">
          <bgColor rgb="FFC8E6C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servicios.infoleg.gob.ar/infolegInternet/anexos/0-4999/639/texact.htm" TargetMode="External"/><Relationship Id="rId2" Type="http://schemas.openxmlformats.org/officeDocument/2006/relationships/hyperlink" Target="https://www.argentina.gob.ar/normativa/nacional/ley-19032-21581" TargetMode="External"/><Relationship Id="rId3" Type="http://schemas.openxmlformats.org/officeDocument/2006/relationships/hyperlink" Target="https://servicios.infoleg.gob.ar/infolegInternet/anexos/0-4999/62/texact.htm" TargetMode="External"/><Relationship Id="rId4" Type="http://schemas.openxmlformats.org/officeDocument/2006/relationships/hyperlink" Target="https://www.boletinoficial.gob.ar/detalleAviso/primera/346683/20260901" TargetMode="External"/><Relationship Id="rId5" Type="http://schemas.openxmlformats.org/officeDocument/2006/relationships/hyperlink" Target="https://datos.gob.ar/series/api/series/?ids=148.3_INIVELNAL_DICI_M_26&amp;format=json" TargetMode="External"/><Relationship Id="rId6" Type="http://schemas.openxmlformats.org/officeDocument/2006/relationships/hyperlink" Target="https://www.indec.gob.ar/indec/web/Nivel4-Tema-3-5-31" TargetMode="External"/><Relationship Id="rId7" Type="http://schemas.openxmlformats.org/officeDocument/2006/relationships/hyperlink" Target="https://www.argentina.gob.ar/normativa/nacional/ley-23041-1983-28165" TargetMode="External"/><Relationship Id="rId8" Type="http://schemas.openxmlformats.org/officeDocument/2006/relationships/hyperlink" Target="https://servicios.infoleg.gob.ar/infolegInternet/anexos/25000-29999/25552/texact.htm" TargetMode="External"/><Relationship Id="rId9" Type="http://schemas.openxmlformats.org/officeDocument/2006/relationships/hyperlink" Target="https://www.afip.gob.ar/gananciasYBienes/ganancias/personas-humanas-sucesiones-indivisas/deducciones/documentos/Deducciones-personales-art-30-jul-dic-2026.pdf" TargetMode="External"/><Relationship Id="rId10" Type="http://schemas.openxmlformats.org/officeDocument/2006/relationships/hyperlink" Target="https://www.boletinoficial.gob.ar/detalleAviso/primera/342620/202606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74F"/>
  </sheetPr>
  <dimension ref="A1:B26"/>
  <sheetFormatPr defaultRowHeight="15" outlineLevelRow="0" outlineLevelCol="0" x14ac:dyDescent="55"/>
  <cols>
    <col min="1" max="1" width="6" customWidth="1"/>
    <col min="2" max="2" width="104" customWidth="1"/>
  </cols>
  <sheetData>
    <row r="1" ht="28" customHeight="1" spans="1:2" x14ac:dyDescent="0.25">
      <c r="A1" s="1" t="s">
        <v>0</v>
      </c>
      <c r="B1" s="1"/>
    </row>
    <row r="3" ht="34" customHeight="1" spans="1:2" x14ac:dyDescent="0.25">
      <c r="A3" s="2">
        <v>1</v>
      </c>
      <c r="B3" s="3" t="s">
        <v>1</v>
      </c>
    </row>
    <row r="4" ht="34" customHeight="1" spans="1:2" x14ac:dyDescent="0.25">
      <c r="A4" s="2">
        <v>2</v>
      </c>
      <c r="B4" s="3" t="s">
        <v>2</v>
      </c>
    </row>
    <row r="5" ht="34" customHeight="1" spans="1:2" x14ac:dyDescent="0.25">
      <c r="A5" s="2">
        <v>3</v>
      </c>
      <c r="B5" s="3" t="s">
        <v>3</v>
      </c>
    </row>
    <row r="6" ht="34" customHeight="1" spans="1:2" x14ac:dyDescent="0.25">
      <c r="A6" s="2">
        <v>4</v>
      </c>
      <c r="B6" s="3" t="s">
        <v>4</v>
      </c>
    </row>
    <row r="7" ht="34" customHeight="1" spans="1:2" x14ac:dyDescent="0.25">
      <c r="A7" s="2">
        <v>5</v>
      </c>
      <c r="B7" s="3" t="s">
        <v>5</v>
      </c>
    </row>
    <row r="8" ht="34" customHeight="1" spans="1:2" x14ac:dyDescent="0.25">
      <c r="A8" s="2">
        <v>6</v>
      </c>
      <c r="B8" s="3" t="s">
        <v>6</v>
      </c>
    </row>
    <row r="10" spans="1:2" x14ac:dyDescent="0.25">
      <c r="A10" s="4" t="s">
        <v>7</v>
      </c>
      <c r="B10" s="4"/>
    </row>
    <row r="11" ht="22" customHeight="1" spans="1:2" x14ac:dyDescent="0.25">
      <c r="A11" s="5"/>
      <c r="B11" s="6" t="s">
        <v>8</v>
      </c>
    </row>
    <row r="12" ht="22" customHeight="1" spans="1:2" x14ac:dyDescent="0.25">
      <c r="A12" s="7"/>
      <c r="B12" s="6" t="s">
        <v>9</v>
      </c>
    </row>
    <row r="14" spans="1:2" x14ac:dyDescent="0.25">
      <c r="A14" s="4" t="s">
        <v>10</v>
      </c>
      <c r="B14" s="4"/>
    </row>
    <row r="15" ht="34" customHeight="1" spans="2:2" x14ac:dyDescent="0.25">
      <c r="B15" s="8" t="s">
        <v>11</v>
      </c>
    </row>
    <row r="16" ht="34" customHeight="1" spans="2:2" x14ac:dyDescent="0.25">
      <c r="B16" s="8" t="s">
        <v>12</v>
      </c>
    </row>
    <row r="17" ht="34" customHeight="1" spans="2:2" x14ac:dyDescent="0.25">
      <c r="B17" s="8" t="s">
        <v>13</v>
      </c>
    </row>
    <row r="18" ht="34" customHeight="1" spans="2:2" x14ac:dyDescent="0.25">
      <c r="B18" s="8" t="s">
        <v>14</v>
      </c>
    </row>
    <row r="19" ht="34" customHeight="1" spans="2:2" x14ac:dyDescent="0.25">
      <c r="B19" s="8" t="s">
        <v>15</v>
      </c>
    </row>
    <row r="20" ht="34" customHeight="1" spans="2:2" x14ac:dyDescent="0.25">
      <c r="B20" s="8" t="s">
        <v>16</v>
      </c>
    </row>
    <row r="22" spans="1:2" x14ac:dyDescent="0.25">
      <c r="A22" s="4" t="s">
        <v>17</v>
      </c>
      <c r="B22" s="4"/>
    </row>
    <row r="23" ht="34" customHeight="1" spans="2:2" x14ac:dyDescent="0.25">
      <c r="B23" s="8" t="s">
        <v>18</v>
      </c>
    </row>
    <row r="24" ht="34" customHeight="1" spans="2:2" x14ac:dyDescent="0.25">
      <c r="B24" s="8" t="s">
        <v>19</v>
      </c>
    </row>
    <row r="26" ht="30" customHeight="1" spans="1:2" x14ac:dyDescent="0.25">
      <c r="A26" s="9" t="s">
        <v>20</v>
      </c>
      <c r="B26" s="9"/>
    </row>
  </sheetData>
  <mergeCells count="5">
    <mergeCell ref="A1:B1"/>
    <mergeCell ref="A10:B10"/>
    <mergeCell ref="A14:B14"/>
    <mergeCell ref="A22:B22"/>
    <mergeCell ref="A26:B2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H30"/>
  <sheetFormatPr defaultRowHeight="15" outlineLevelRow="0" outlineLevelCol="0" x14ac:dyDescent="55"/>
  <cols>
    <col min="1" max="1" width="46" customWidth="1"/>
    <col min="2" max="2" width="26" customWidth="1"/>
    <col min="3" max="3" width="64" customWidth="1"/>
    <col min="4" max="7" width="2" customWidth="1"/>
    <col min="8" max="8" width="16" hidden="1" customWidth="1"/>
  </cols>
  <sheetData>
    <row r="1" ht="28" customHeight="1" spans="1:3" x14ac:dyDescent="0.25">
      <c r="A1" s="1" t="s">
        <v>21</v>
      </c>
      <c r="B1" s="1"/>
      <c r="C1" s="1"/>
    </row>
    <row r="2" ht="30" customHeight="1" spans="1:3" x14ac:dyDescent="0.25">
      <c r="A2" s="10" t="s">
        <v>22</v>
      </c>
      <c r="B2" s="10"/>
      <c r="C2" s="10"/>
    </row>
    <row r="4" spans="1:8" x14ac:dyDescent="0.25">
      <c r="A4" s="4" t="s">
        <v>23</v>
      </c>
      <c r="B4" s="4"/>
      <c r="C4" s="4"/>
      <c r="H4">
        <f>IFERROR(MATCH(B7,IPC!$J$5:$J$16,0),0)</f>
      </c>
    </row>
    <row r="5" spans="1:8" x14ac:dyDescent="0.25">
      <c r="A5" s="11" t="s">
        <v>24</v>
      </c>
      <c r="B5" s="12"/>
      <c r="C5" s="13" t="s">
        <v>25</v>
      </c>
      <c r="H5">
        <f>IF(AND(H4&gt;0,ISNUMBER(B8)),B8*12+H4-1,"")</f>
      </c>
    </row>
    <row r="6" spans="1:8" x14ac:dyDescent="0.25">
      <c r="A6" s="11" t="s">
        <v>26</v>
      </c>
      <c r="B6" s="12"/>
      <c r="C6" s="13" t="s">
        <v>27</v>
      </c>
      <c r="H6">
        <f>IF(ISNUMBER(B9),B9/100,0)</f>
      </c>
    </row>
    <row r="7" ht="32" customHeight="1" spans="1:8" x14ac:dyDescent="0.25">
      <c r="A7" s="11" t="s">
        <v>28</v>
      </c>
      <c r="B7" s="12" t="s">
        <v>29</v>
      </c>
      <c r="C7" s="13" t="s">
        <v>30</v>
      </c>
      <c r="H7">
        <f>B25+B26+IF(B15="Sí",B27,0)+IF(ISNUMBER(B16),B16,0)*B28+IF(ISNUMBER(B17),B17,0)</f>
      </c>
    </row>
    <row r="8" spans="1:8" x14ac:dyDescent="0.25">
      <c r="A8" s="11" t="s">
        <v>31</v>
      </c>
      <c r="B8" s="14">
        <v>2025</v>
      </c>
      <c r="H8">
        <f>IF(H7/(13*(1-(B21+B22+B23+H6)))&lt;=B24,H7/(13*(1-(B21+B22+B23+H6))),(H7/13+(B21+B22+B23)*B24)/(1-H6))</f>
      </c>
    </row>
    <row r="9" ht="32" customHeight="1" spans="1:3" x14ac:dyDescent="0.25">
      <c r="A9" s="11" t="s">
        <v>32</v>
      </c>
      <c r="B9" s="15">
        <v>2</v>
      </c>
      <c r="C9" s="13" t="s">
        <v>33</v>
      </c>
    </row>
    <row r="10" ht="32" customHeight="1" spans="1:3" x14ac:dyDescent="0.25">
      <c r="A10" s="11" t="s">
        <v>34</v>
      </c>
      <c r="B10" s="12" t="s">
        <v>35</v>
      </c>
      <c r="C10" s="13" t="s">
        <v>36</v>
      </c>
    </row>
    <row r="11" ht="32" customHeight="1" spans="1:3" x14ac:dyDescent="0.25">
      <c r="A11" s="11" t="s">
        <v>37</v>
      </c>
      <c r="B11" s="12" t="s">
        <v>35</v>
      </c>
      <c r="C11" s="13" t="s">
        <v>38</v>
      </c>
    </row>
    <row r="12" ht="32" customHeight="1" spans="1:3" x14ac:dyDescent="0.25">
      <c r="A12" s="11" t="s">
        <v>39</v>
      </c>
      <c r="B12" s="12" t="s">
        <v>40</v>
      </c>
      <c r="C12" s="13" t="s">
        <v>41</v>
      </c>
    </row>
    <row r="14" spans="1:3" x14ac:dyDescent="0.25">
      <c r="A14" s="4" t="s">
        <v>42</v>
      </c>
      <c r="B14" s="4"/>
      <c r="C14" s="4"/>
    </row>
    <row r="15" spans="1:3" x14ac:dyDescent="0.25">
      <c r="A15" s="11" t="s">
        <v>43</v>
      </c>
      <c r="B15" s="12" t="s">
        <v>35</v>
      </c>
      <c r="C15" s="13" t="s">
        <v>44</v>
      </c>
    </row>
    <row r="16" spans="1:3" x14ac:dyDescent="0.25">
      <c r="A16" s="11" t="s">
        <v>45</v>
      </c>
      <c r="B16" s="14">
        <v>0</v>
      </c>
      <c r="C16" s="13" t="s">
        <v>46</v>
      </c>
    </row>
    <row r="17" spans="1:3" x14ac:dyDescent="0.25">
      <c r="A17" s="11" t="s">
        <v>47</v>
      </c>
      <c r="B17" s="16">
        <v>0</v>
      </c>
      <c r="C17" s="13" t="s">
        <v>48</v>
      </c>
    </row>
    <row r="20" spans="1:3" x14ac:dyDescent="0.25">
      <c r="A20" s="4" t="s">
        <v>49</v>
      </c>
      <c r="B20" s="4"/>
      <c r="C20" s="4"/>
    </row>
    <row r="21" spans="1:3" x14ac:dyDescent="0.25">
      <c r="A21" s="11" t="s">
        <v>50</v>
      </c>
      <c r="B21" s="17">
        <v>0.11</v>
      </c>
      <c r="C21" s="13" t="s">
        <v>51</v>
      </c>
    </row>
    <row r="22" spans="1:3" x14ac:dyDescent="0.25">
      <c r="A22" s="11" t="s">
        <v>52</v>
      </c>
      <c r="B22" s="17">
        <v>0.03</v>
      </c>
      <c r="C22" s="13" t="s">
        <v>53</v>
      </c>
    </row>
    <row r="23" spans="1:3" x14ac:dyDescent="0.25">
      <c r="A23" s="11" t="s">
        <v>54</v>
      </c>
      <c r="B23" s="17">
        <v>0.03</v>
      </c>
      <c r="C23" s="13" t="s">
        <v>55</v>
      </c>
    </row>
    <row r="24" ht="32" customHeight="1" spans="1:3" x14ac:dyDescent="0.25">
      <c r="A24" s="11" t="s">
        <v>56</v>
      </c>
      <c r="B24" s="18">
        <v>4769631.49</v>
      </c>
      <c r="C24" s="13" t="s">
        <v>57</v>
      </c>
    </row>
    <row r="25" spans="1:3" x14ac:dyDescent="0.25">
      <c r="A25" s="11" t="s">
        <v>58</v>
      </c>
      <c r="B25" s="18">
        <v>5585736.93</v>
      </c>
      <c r="C25" s="13" t="s">
        <v>59</v>
      </c>
    </row>
    <row r="26" spans="1:3" x14ac:dyDescent="0.25">
      <c r="A26" s="11" t="s">
        <v>60</v>
      </c>
      <c r="B26" s="18">
        <v>26811537.29</v>
      </c>
      <c r="C26" s="13" t="s">
        <v>61</v>
      </c>
    </row>
    <row r="27" spans="1:2" x14ac:dyDescent="0.25">
      <c r="A27" s="11" t="s">
        <v>62</v>
      </c>
      <c r="B27" s="18">
        <v>5260643.86</v>
      </c>
    </row>
    <row r="28" spans="1:2" x14ac:dyDescent="0.25">
      <c r="A28" s="11" t="s">
        <v>63</v>
      </c>
      <c r="B28" s="18">
        <v>2652961.9</v>
      </c>
    </row>
    <row r="30" ht="30" customHeight="1" spans="1:3" x14ac:dyDescent="0.25">
      <c r="A30" s="9" t="s">
        <v>64</v>
      </c>
      <c r="B30" s="9"/>
      <c r="C30" s="9"/>
    </row>
  </sheetData>
  <sheetProtection sheet="1" formatColumns="0" formatRows="0"/>
  <mergeCells count="6">
    <mergeCell ref="A1:C1"/>
    <mergeCell ref="A2:C2"/>
    <mergeCell ref="A4:C4"/>
    <mergeCell ref="A14:C14"/>
    <mergeCell ref="A20:C20"/>
    <mergeCell ref="A30:C30"/>
  </mergeCells>
  <dataValidations count="8">
    <dataValidation type="list" showErrorMessage="1" error="Elegí Sí o No." sqref="B10:B11">
      <formula1>"Sí,No"</formula1>
    </dataValidation>
    <dataValidation type="list" showErrorMessage="1" error="Elegí una opción de la lista." sqref="B12">
      <formula1>"El bruto total,Lo que cobré en mano"</formula1>
    </dataValidation>
    <dataValidation type="list" showErrorMessage="1" error="Elegí Sí o No." sqref="B15">
      <formula1>"Sí,No"</formula1>
    </dataValidation>
    <dataValidation type="whole" allowBlank="1" showErrorMessage="1" error="Escribí la cantidad de hijos a cargo, como número entero." sqref="B16">
      <formula1>0</formula1>
      <formula2>15</formula2>
    </dataValidation>
    <dataValidation type="decimal" allowBlank="1" showErrorMessage="1" error="Escribí el total anual, sin puntos ni signo $." sqref="B17">
      <formula1>0</formula1>
      <formula2>10000000000</formula2>
    </dataValidation>
    <dataValidation type="list" showErrorMessage="1" error="Elegí un mes de la lista." sqref="B7">
      <formula1>"enero,febrero,marzo,abril,mayo,junio,julio,agosto,septiembre,octubre,noviembre,diciembre"</formula1>
    </dataValidation>
    <dataValidation type="whole" allowBlank="1" showErrorMessage="1" error="Escribí el año con cuatro cifras, entre 2017 y 2035." sqref="B8">
      <formula1>2017</formula1>
      <formula2>2035</formula2>
    </dataValidation>
    <dataValidation type="decimal" allowBlank="1" showErrorMessage="1" error="Escribí el porcentaje como número: 2 para 2%. Si no estás afiliado, 0." sqref="B9">
      <formula1>0</formula1>
      <formula2>10</formula2>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AD30"/>
  <sheetViews>
    <sheetView workbookViewId="0">
      <pane xSplit="1" ySplit="4" topLeftCell="B5" activePane="bottomRight" state="frozen"/>
      <selection pane="bottomRight"/>
    </sheetView>
  </sheetViews>
  <sheetFormatPr defaultRowHeight="15" outlineLevelRow="0" outlineLevelCol="0" x14ac:dyDescent="55"/>
  <cols>
    <col min="1" max="1" width="21" customWidth="1"/>
    <col min="2" max="3" width="15" customWidth="1"/>
    <col min="4" max="9" width="13" customWidth="1"/>
    <col min="10" max="10" width="15" customWidth="1"/>
    <col min="11" max="11" width="30" customWidth="1"/>
    <col min="12" max="12" width="14" customWidth="1"/>
    <col min="13" max="16" width="13" customWidth="1"/>
    <col min="17" max="17" width="15" customWidth="1"/>
    <col min="19" max="19" width="9" hidden="1" customWidth="1"/>
    <col min="20" max="20" width="9" hidden="1" customWidth="1"/>
    <col min="21" max="21" width="9" hidden="1" customWidth="1"/>
    <col min="22" max="22" width="9" hidden="1" customWidth="1"/>
    <col min="23" max="23" width="9" hidden="1" customWidth="1"/>
    <col min="24" max="24" width="9" hidden="1" customWidth="1"/>
    <col min="25" max="25" width="9" hidden="1" customWidth="1"/>
    <col min="26" max="26" width="9" hidden="1" customWidth="1"/>
    <col min="27" max="27" width="9" hidden="1" customWidth="1"/>
    <col min="28" max="28" width="9" hidden="1" customWidth="1"/>
    <col min="29" max="29" width="9" hidden="1" customWidth="1"/>
    <col min="30" max="30" width="9" hidden="1" customWidth="1"/>
  </cols>
  <sheetData>
    <row r="1" ht="28" customHeight="1" spans="1:17" x14ac:dyDescent="0.25">
      <c r="A1" s="1" t="s">
        <v>65</v>
      </c>
      <c r="B1" s="1"/>
      <c r="C1" s="1"/>
      <c r="D1" s="1"/>
      <c r="E1" s="1"/>
      <c r="F1" s="1"/>
      <c r="G1" s="1"/>
      <c r="H1" s="1"/>
      <c r="I1" s="1"/>
      <c r="J1" s="1"/>
      <c r="K1" s="1"/>
      <c r="L1" s="1"/>
      <c r="M1" s="1"/>
      <c r="N1" s="1"/>
      <c r="O1" s="1"/>
      <c r="P1" s="1"/>
      <c r="Q1" s="1"/>
    </row>
    <row r="2" ht="30" customHeight="1" spans="1:17" x14ac:dyDescent="0.25">
      <c r="A2" s="10" t="s">
        <v>66</v>
      </c>
      <c r="B2" s="10"/>
      <c r="C2" s="10"/>
      <c r="D2" s="10"/>
      <c r="E2" s="10"/>
      <c r="F2" s="10"/>
      <c r="G2" s="10"/>
      <c r="H2" s="10"/>
      <c r="I2" s="10"/>
      <c r="J2" s="10"/>
      <c r="K2" s="10"/>
      <c r="L2" s="10"/>
      <c r="M2" s="10"/>
      <c r="N2" s="10"/>
      <c r="O2" s="10"/>
      <c r="P2" s="10"/>
      <c r="Q2" s="10"/>
    </row>
    <row r="3" ht="20" customHeight="1" spans="2:17" x14ac:dyDescent="0.25">
      <c r="B3" s="19" t="s">
        <v>67</v>
      </c>
      <c r="C3" s="19"/>
      <c r="D3" s="19"/>
      <c r="E3" s="19"/>
      <c r="F3" s="19"/>
      <c r="G3" s="19"/>
      <c r="H3" s="19"/>
      <c r="I3" s="19"/>
      <c r="J3" s="19"/>
      <c r="K3" s="20" t="s">
        <v>68</v>
      </c>
      <c r="L3" s="20"/>
      <c r="M3" s="21" t="s">
        <v>69</v>
      </c>
      <c r="N3" s="21"/>
      <c r="O3" s="21"/>
      <c r="P3" s="21"/>
      <c r="Q3" s="21"/>
    </row>
    <row r="4" ht="34" customHeight="1" spans="1:17" x14ac:dyDescent="0.25">
      <c r="A4" s="22" t="s">
        <v>70</v>
      </c>
      <c r="B4" s="23" t="s">
        <v>71</v>
      </c>
      <c r="C4" s="23" t="s">
        <v>72</v>
      </c>
      <c r="D4" s="23" t="s">
        <v>73</v>
      </c>
      <c r="E4" s="23" t="s">
        <v>74</v>
      </c>
      <c r="F4" s="23" t="s">
        <v>54</v>
      </c>
      <c r="G4" s="23" t="s">
        <v>75</v>
      </c>
      <c r="H4" s="23" t="s">
        <v>76</v>
      </c>
      <c r="I4" s="23" t="s">
        <v>77</v>
      </c>
      <c r="J4" s="23" t="s">
        <v>78</v>
      </c>
      <c r="K4" s="24" t="s">
        <v>79</v>
      </c>
      <c r="L4" s="24" t="s">
        <v>80</v>
      </c>
      <c r="M4" s="25" t="s">
        <v>81</v>
      </c>
      <c r="N4" s="25" t="s">
        <v>82</v>
      </c>
      <c r="O4" s="25" t="s">
        <v>83</v>
      </c>
      <c r="P4" s="25" t="s">
        <v>75</v>
      </c>
      <c r="Q4" s="25" t="s">
        <v>84</v>
      </c>
    </row>
    <row r="5" spans="1:30" x14ac:dyDescent="0.25">
      <c r="A5" s="26">
        <f>IF(S5="","",INDEX(IPC!$J$5:$J$16,MOD(S5,12)+1)&amp;" de "&amp;INT((S5)/12))</f>
      </c>
      <c r="B5" s="27">
        <v>1150000</v>
      </c>
      <c r="C5" s="27"/>
      <c r="D5" s="27">
        <v>126500</v>
      </c>
      <c r="E5" s="27">
        <v>34500</v>
      </c>
      <c r="F5" s="27">
        <v>34500</v>
      </c>
      <c r="G5" s="27">
        <v>23000</v>
      </c>
      <c r="H5" s="27"/>
      <c r="I5" s="27"/>
      <c r="J5" s="27">
        <v>931500</v>
      </c>
      <c r="K5" s="28">
        <f>IF(V5=0,"",IF(AND(AB5=0,NOT(ISNUMBER(J5))),"Cargá los descuentos",IF(ABS(X5)&gt;1,"Revisar jubilación",IF(ABS(Y5)&gt;1,"Revisar Ley 19.032",IF(ABS(Z5)&gt;1,"Revisar obra social",IF(ABS(AA5)&gt;1,"Revisar cuota sindical",IF(ABS(AC5)&gt;1,"El neto no da con los descuentos","Cuadra")))))))</f>
      </c>
      <c r="L5" s="29">
        <f>IF(OR(V5=0,AB5=0),"",X5+Y5+Z5+AA5)</f>
      </c>
      <c r="M5" s="29">
        <f>IF(V5=1,MIN(B5,'Mis datos'!$B$24)*'Mis datos'!$B$21,"")</f>
      </c>
      <c r="N5" s="29">
        <f>IF(V5=1,MIN(B5,'Mis datos'!$B$24)*'Mis datos'!$B$22,"")</f>
      </c>
      <c r="O5" s="29">
        <f>IF(V5=1,MIN(B5,'Mis datos'!$B$24)*'Mis datos'!$B$23+IF('Mis datos'!$B$10="Sí",W5*'Mis datos'!$B$23,0),"")</f>
      </c>
      <c r="P5" s="29">
        <f>IF(V5=1,(B5+IF('Mis datos'!$B$11="Sí",W5,0))*'Mis datos'!$H$6,"")</f>
      </c>
      <c r="Q5" s="30">
        <f>IF(V5=1,B5+W5-M5-N5-O5-P5,"")</f>
      </c>
      <c r="S5">
        <f>IF(ISNUMBER('Mis datos'!$H$5),'Mis datos'!$H$5+0,"")</f>
      </c>
      <c r="T5">
        <f>IF(S5="","",INT(S5/12)*2+IF(MOD(S5,12)&gt;=6,1,0))</f>
      </c>
      <c r="U5">
        <f>IF(V5=1,B5,0)</f>
      </c>
      <c r="V5">
        <f>IF(AND(S5&lt;&gt;"",ISNUMBER(B5)),IF(B5&gt;0,1,0),0)</f>
      </c>
      <c r="W5">
        <f>IF(ISNUMBER(C5),C5,0)</f>
      </c>
      <c r="X5">
        <f>IF(AND(V5=1,ISNUMBER(D5)),D5-M5,0)</f>
      </c>
      <c r="Y5">
        <f>IF(AND(V5=1,ISNUMBER(E5)),E5-N5,0)</f>
      </c>
      <c r="Z5">
        <f>IF(AND(V5=1,ISNUMBER(F5)),F5-O5,0)</f>
      </c>
      <c r="AA5">
        <f>IF(AND(V5=1,ISNUMBER(G5)),G5-P5,0)</f>
      </c>
      <c r="AB5">
        <f>COUNT(D5:G5)</f>
      </c>
      <c r="AC5">
        <f>IF(AND(V5=1,ISNUMBER(J5)),B5+W5-SUM(D5:I5)-J5,0)</f>
      </c>
      <c r="AD5">
        <f>IF(V5=1,1,"")</f>
      </c>
    </row>
    <row r="6" spans="1:30" x14ac:dyDescent="0.25">
      <c r="A6" s="31">
        <f>IF(S6="","",INDEX(IPC!$J$5:$J$16,MOD(S6,12)+1)&amp;" de "&amp;INT((S6)/12))</f>
      </c>
      <c r="B6" s="27">
        <v>1150000</v>
      </c>
      <c r="C6" s="27"/>
      <c r="D6" s="27">
        <v>126500</v>
      </c>
      <c r="E6" s="27">
        <v>34500</v>
      </c>
      <c r="F6" s="27">
        <v>34500</v>
      </c>
      <c r="G6" s="27">
        <v>23000</v>
      </c>
      <c r="H6" s="27"/>
      <c r="I6" s="27"/>
      <c r="J6" s="27">
        <v>931500</v>
      </c>
      <c r="K6" s="28">
        <f>IF(V6=0,"",IF(AND(AB6=0,NOT(ISNUMBER(J6))),"Cargá los descuentos",IF(ABS(X6)&gt;1,"Revisar jubilación",IF(ABS(Y6)&gt;1,"Revisar Ley 19.032",IF(ABS(Z6)&gt;1,"Revisar obra social",IF(ABS(AA6)&gt;1,"Revisar cuota sindical",IF(ABS(AC6)&gt;1,"El neto no da con los descuentos","Cuadra")))))))</f>
      </c>
      <c r="L6" s="29">
        <f>IF(OR(V6=0,AB6=0),"",X6+Y6+Z6+AA6)</f>
      </c>
      <c r="M6" s="29">
        <f>IF(V6=1,MIN(B6,'Mis datos'!$B$24)*'Mis datos'!$B$21,"")</f>
      </c>
      <c r="N6" s="29">
        <f>IF(V6=1,MIN(B6,'Mis datos'!$B$24)*'Mis datos'!$B$22,"")</f>
      </c>
      <c r="O6" s="29">
        <f>IF(V6=1,MIN(B6,'Mis datos'!$B$24)*'Mis datos'!$B$23+IF('Mis datos'!$B$10="Sí",W6*'Mis datos'!$B$23,0),"")</f>
      </c>
      <c r="P6" s="29">
        <f>IF(V6=1,(B6+IF('Mis datos'!$B$11="Sí",W6,0))*'Mis datos'!$H$6,"")</f>
      </c>
      <c r="Q6" s="30">
        <f>IF(V6=1,B6+W6-M6-N6-O6-P6,"")</f>
      </c>
      <c r="S6">
        <f>IF(ISNUMBER('Mis datos'!$H$5),'Mis datos'!$H$5+1,"")</f>
      </c>
      <c r="T6">
        <f>IF(S6="","",INT(S6/12)*2+IF(MOD(S6,12)&gt;=6,1,0))</f>
      </c>
      <c r="U6">
        <f>MAX(IF(V6=1,B6,0),IF(T6=T5,U5,0))</f>
      </c>
      <c r="V6">
        <f>IF(AND(S6&lt;&gt;"",ISNUMBER(B6)),IF(B6&gt;0,1,0),0)</f>
      </c>
      <c r="W6">
        <f>IF(ISNUMBER(C6),C6,0)</f>
      </c>
      <c r="X6">
        <f>IF(AND(V6=1,ISNUMBER(D6)),D6-M6,0)</f>
      </c>
      <c r="Y6">
        <f>IF(AND(V6=1,ISNUMBER(E6)),E6-N6,0)</f>
      </c>
      <c r="Z6">
        <f>IF(AND(V6=1,ISNUMBER(F6)),F6-O6,0)</f>
      </c>
      <c r="AA6">
        <f>IF(AND(V6=1,ISNUMBER(G6)),G6-P6,0)</f>
      </c>
      <c r="AB6">
        <f>COUNT(D6:G6)</f>
      </c>
      <c r="AC6">
        <f>IF(AND(V6=1,ISNUMBER(J6)),B6+W6-SUM(D6:I6)-J6,0)</f>
      </c>
      <c r="AD6">
        <f>IF(V6=1,2,"")</f>
      </c>
    </row>
    <row r="7" spans="1:30" x14ac:dyDescent="0.25">
      <c r="A7" s="26">
        <f>IF(S7="","",INDEX(IPC!$J$5:$J$16,MOD(S7,12)+1)&amp;" de "&amp;INT((S7)/12))</f>
      </c>
      <c r="B7" s="27">
        <v>1150000</v>
      </c>
      <c r="C7" s="27"/>
      <c r="D7" s="27">
        <v>126500</v>
      </c>
      <c r="E7" s="27">
        <v>34500</v>
      </c>
      <c r="F7" s="27">
        <v>34500</v>
      </c>
      <c r="G7" s="27">
        <v>23000</v>
      </c>
      <c r="H7" s="27"/>
      <c r="I7" s="27"/>
      <c r="J7" s="27">
        <v>931500</v>
      </c>
      <c r="K7" s="28">
        <f>IF(V7=0,"",IF(AND(AB7=0,NOT(ISNUMBER(J7))),"Cargá los descuentos",IF(ABS(X7)&gt;1,"Revisar jubilación",IF(ABS(Y7)&gt;1,"Revisar Ley 19.032",IF(ABS(Z7)&gt;1,"Revisar obra social",IF(ABS(AA7)&gt;1,"Revisar cuota sindical",IF(ABS(AC7)&gt;1,"El neto no da con los descuentos","Cuadra")))))))</f>
      </c>
      <c r="L7" s="29">
        <f>IF(OR(V7=0,AB7=0),"",X7+Y7+Z7+AA7)</f>
      </c>
      <c r="M7" s="29">
        <f>IF(V7=1,MIN(B7,'Mis datos'!$B$24)*'Mis datos'!$B$21,"")</f>
      </c>
      <c r="N7" s="29">
        <f>IF(V7=1,MIN(B7,'Mis datos'!$B$24)*'Mis datos'!$B$22,"")</f>
      </c>
      <c r="O7" s="29">
        <f>IF(V7=1,MIN(B7,'Mis datos'!$B$24)*'Mis datos'!$B$23+IF('Mis datos'!$B$10="Sí",W7*'Mis datos'!$B$23,0),"")</f>
      </c>
      <c r="P7" s="29">
        <f>IF(V7=1,(B7+IF('Mis datos'!$B$11="Sí",W7,0))*'Mis datos'!$H$6,"")</f>
      </c>
      <c r="Q7" s="30">
        <f>IF(V7=1,B7+W7-M7-N7-O7-P7,"")</f>
      </c>
      <c r="S7">
        <f>IF(ISNUMBER('Mis datos'!$H$5),'Mis datos'!$H$5+2,"")</f>
      </c>
      <c r="T7">
        <f>IF(S7="","",INT(S7/12)*2+IF(MOD(S7,12)&gt;=6,1,0))</f>
      </c>
      <c r="U7">
        <f>MAX(IF(V7=1,B7,0),IF(T7=T6,U6,0))</f>
      </c>
      <c r="V7">
        <f>IF(AND(S7&lt;&gt;"",ISNUMBER(B7)),IF(B7&gt;0,1,0),0)</f>
      </c>
      <c r="W7">
        <f>IF(ISNUMBER(C7),C7,0)</f>
      </c>
      <c r="X7">
        <f>IF(AND(V7=1,ISNUMBER(D7)),D7-M7,0)</f>
      </c>
      <c r="Y7">
        <f>IF(AND(V7=1,ISNUMBER(E7)),E7-N7,0)</f>
      </c>
      <c r="Z7">
        <f>IF(AND(V7=1,ISNUMBER(F7)),F7-O7,0)</f>
      </c>
      <c r="AA7">
        <f>IF(AND(V7=1,ISNUMBER(G7)),G7-P7,0)</f>
      </c>
      <c r="AB7">
        <f>COUNT(D7:G7)</f>
      </c>
      <c r="AC7">
        <f>IF(AND(V7=1,ISNUMBER(J7)),B7+W7-SUM(D7:I7)-J7,0)</f>
      </c>
      <c r="AD7">
        <f>IF(V7=1,3,"")</f>
      </c>
    </row>
    <row r="8" spans="1:30" x14ac:dyDescent="0.25">
      <c r="A8" s="31">
        <f>IF(S8="","",INDEX(IPC!$J$5:$J$16,MOD(S8,12)+1)&amp;" de "&amp;INT((S8)/12))</f>
      </c>
      <c r="B8" s="27">
        <v>1230500</v>
      </c>
      <c r="C8" s="27"/>
      <c r="D8" s="27">
        <v>135355</v>
      </c>
      <c r="E8" s="27">
        <v>36915</v>
      </c>
      <c r="F8" s="27">
        <v>36915</v>
      </c>
      <c r="G8" s="27">
        <v>24610</v>
      </c>
      <c r="H8" s="27"/>
      <c r="I8" s="27"/>
      <c r="J8" s="27">
        <v>996705</v>
      </c>
      <c r="K8" s="28">
        <f>IF(V8=0,"",IF(AND(AB8=0,NOT(ISNUMBER(J8))),"Cargá los descuentos",IF(ABS(X8)&gt;1,"Revisar jubilación",IF(ABS(Y8)&gt;1,"Revisar Ley 19.032",IF(ABS(Z8)&gt;1,"Revisar obra social",IF(ABS(AA8)&gt;1,"Revisar cuota sindical",IF(ABS(AC8)&gt;1,"El neto no da con los descuentos","Cuadra")))))))</f>
      </c>
      <c r="L8" s="29">
        <f>IF(OR(V8=0,AB8=0),"",X8+Y8+Z8+AA8)</f>
      </c>
      <c r="M8" s="29">
        <f>IF(V8=1,MIN(B8,'Mis datos'!$B$24)*'Mis datos'!$B$21,"")</f>
      </c>
      <c r="N8" s="29">
        <f>IF(V8=1,MIN(B8,'Mis datos'!$B$24)*'Mis datos'!$B$22,"")</f>
      </c>
      <c r="O8" s="29">
        <f>IF(V8=1,MIN(B8,'Mis datos'!$B$24)*'Mis datos'!$B$23+IF('Mis datos'!$B$10="Sí",W8*'Mis datos'!$B$23,0),"")</f>
      </c>
      <c r="P8" s="29">
        <f>IF(V8=1,(B8+IF('Mis datos'!$B$11="Sí",W8,0))*'Mis datos'!$H$6,"")</f>
      </c>
      <c r="Q8" s="30">
        <f>IF(V8=1,B8+W8-M8-N8-O8-P8,"")</f>
      </c>
      <c r="S8">
        <f>IF(ISNUMBER('Mis datos'!$H$5),'Mis datos'!$H$5+3,"")</f>
      </c>
      <c r="T8">
        <f>IF(S8="","",INT(S8/12)*2+IF(MOD(S8,12)&gt;=6,1,0))</f>
      </c>
      <c r="U8">
        <f>MAX(IF(V8=1,B8,0),IF(T8=T7,U7,0))</f>
      </c>
      <c r="V8">
        <f>IF(AND(S8&lt;&gt;"",ISNUMBER(B8)),IF(B8&gt;0,1,0),0)</f>
      </c>
      <c r="W8">
        <f>IF(ISNUMBER(C8),C8,0)</f>
      </c>
      <c r="X8">
        <f>IF(AND(V8=1,ISNUMBER(D8)),D8-M8,0)</f>
      </c>
      <c r="Y8">
        <f>IF(AND(V8=1,ISNUMBER(E8)),E8-N8,0)</f>
      </c>
      <c r="Z8">
        <f>IF(AND(V8=1,ISNUMBER(F8)),F8-O8,0)</f>
      </c>
      <c r="AA8">
        <f>IF(AND(V8=1,ISNUMBER(G8)),G8-P8,0)</f>
      </c>
      <c r="AB8">
        <f>COUNT(D8:G8)</f>
      </c>
      <c r="AC8">
        <f>IF(AND(V8=1,ISNUMBER(J8)),B8+W8-SUM(D8:I8)-J8,0)</f>
      </c>
      <c r="AD8">
        <f>IF(V8=1,4,"")</f>
      </c>
    </row>
    <row r="9" spans="1:30" x14ac:dyDescent="0.25">
      <c r="A9" s="26">
        <f>IF(S9="","",INDEX(IPC!$J$5:$J$16,MOD(S9,12)+1)&amp;" de "&amp;INT((S9)/12))</f>
      </c>
      <c r="B9" s="27">
        <v>1230500</v>
      </c>
      <c r="C9" s="27"/>
      <c r="D9" s="27">
        <v>135355</v>
      </c>
      <c r="E9" s="27">
        <v>36915</v>
      </c>
      <c r="F9" s="27">
        <v>36915</v>
      </c>
      <c r="G9" s="27">
        <v>24610</v>
      </c>
      <c r="H9" s="27"/>
      <c r="I9" s="27"/>
      <c r="J9" s="27">
        <v>996705</v>
      </c>
      <c r="K9" s="28">
        <f>IF(V9=0,"",IF(AND(AB9=0,NOT(ISNUMBER(J9))),"Cargá los descuentos",IF(ABS(X9)&gt;1,"Revisar jubilación",IF(ABS(Y9)&gt;1,"Revisar Ley 19.032",IF(ABS(Z9)&gt;1,"Revisar obra social",IF(ABS(AA9)&gt;1,"Revisar cuota sindical",IF(ABS(AC9)&gt;1,"El neto no da con los descuentos","Cuadra")))))))</f>
      </c>
      <c r="L9" s="29">
        <f>IF(OR(V9=0,AB9=0),"",X9+Y9+Z9+AA9)</f>
      </c>
      <c r="M9" s="29">
        <f>IF(V9=1,MIN(B9,'Mis datos'!$B$24)*'Mis datos'!$B$21,"")</f>
      </c>
      <c r="N9" s="29">
        <f>IF(V9=1,MIN(B9,'Mis datos'!$B$24)*'Mis datos'!$B$22,"")</f>
      </c>
      <c r="O9" s="29">
        <f>IF(V9=1,MIN(B9,'Mis datos'!$B$24)*'Mis datos'!$B$23+IF('Mis datos'!$B$10="Sí",W9*'Mis datos'!$B$23,0),"")</f>
      </c>
      <c r="P9" s="29">
        <f>IF(V9=1,(B9+IF('Mis datos'!$B$11="Sí",W9,0))*'Mis datos'!$H$6,"")</f>
      </c>
      <c r="Q9" s="30">
        <f>IF(V9=1,B9+W9-M9-N9-O9-P9,"")</f>
      </c>
      <c r="S9">
        <f>IF(ISNUMBER('Mis datos'!$H$5),'Mis datos'!$H$5+4,"")</f>
      </c>
      <c r="T9">
        <f>IF(S9="","",INT(S9/12)*2+IF(MOD(S9,12)&gt;=6,1,0))</f>
      </c>
      <c r="U9">
        <f>MAX(IF(V9=1,B9,0),IF(T9=T8,U8,0))</f>
      </c>
      <c r="V9">
        <f>IF(AND(S9&lt;&gt;"",ISNUMBER(B9)),IF(B9&gt;0,1,0),0)</f>
      </c>
      <c r="W9">
        <f>IF(ISNUMBER(C9),C9,0)</f>
      </c>
      <c r="X9">
        <f>IF(AND(V9=1,ISNUMBER(D9)),D9-M9,0)</f>
      </c>
      <c r="Y9">
        <f>IF(AND(V9=1,ISNUMBER(E9)),E9-N9,0)</f>
      </c>
      <c r="Z9">
        <f>IF(AND(V9=1,ISNUMBER(F9)),F9-O9,0)</f>
      </c>
      <c r="AA9">
        <f>IF(AND(V9=1,ISNUMBER(G9)),G9-P9,0)</f>
      </c>
      <c r="AB9">
        <f>COUNT(D9:G9)</f>
      </c>
      <c r="AC9">
        <f>IF(AND(V9=1,ISNUMBER(J9)),B9+W9-SUM(D9:I9)-J9,0)</f>
      </c>
      <c r="AD9">
        <f>IF(V9=1,5,"")</f>
      </c>
    </row>
    <row r="10" spans="1:30" x14ac:dyDescent="0.25">
      <c r="A10" s="31">
        <f>IF(S10="","",INDEX(IPC!$J$5:$J$16,MOD(S10,12)+1)&amp;" de "&amp;INT((S10)/12))</f>
      </c>
      <c r="B10" s="27">
        <v>1230500</v>
      </c>
      <c r="C10" s="27"/>
      <c r="D10" s="27">
        <v>135355</v>
      </c>
      <c r="E10" s="27">
        <v>36915</v>
      </c>
      <c r="F10" s="27">
        <v>36915</v>
      </c>
      <c r="G10" s="27">
        <v>24610</v>
      </c>
      <c r="H10" s="27"/>
      <c r="I10" s="27"/>
      <c r="J10" s="27">
        <v>996705</v>
      </c>
      <c r="K10" s="28">
        <f>IF(V10=0,"",IF(AND(AB10=0,NOT(ISNUMBER(J10))),"Cargá los descuentos",IF(ABS(X10)&gt;1,"Revisar jubilación",IF(ABS(Y10)&gt;1,"Revisar Ley 19.032",IF(ABS(Z10)&gt;1,"Revisar obra social",IF(ABS(AA10)&gt;1,"Revisar cuota sindical",IF(ABS(AC10)&gt;1,"El neto no da con los descuentos","Cuadra")))))))</f>
      </c>
      <c r="L10" s="29">
        <f>IF(OR(V10=0,AB10=0),"",X10+Y10+Z10+AA10)</f>
      </c>
      <c r="M10" s="29">
        <f>IF(V10=1,MIN(B10,'Mis datos'!$B$24)*'Mis datos'!$B$21,"")</f>
      </c>
      <c r="N10" s="29">
        <f>IF(V10=1,MIN(B10,'Mis datos'!$B$24)*'Mis datos'!$B$22,"")</f>
      </c>
      <c r="O10" s="29">
        <f>IF(V10=1,MIN(B10,'Mis datos'!$B$24)*'Mis datos'!$B$23+IF('Mis datos'!$B$10="Sí",W10*'Mis datos'!$B$23,0),"")</f>
      </c>
      <c r="P10" s="29">
        <f>IF(V10=1,(B10+IF('Mis datos'!$B$11="Sí",W10,0))*'Mis datos'!$H$6,"")</f>
      </c>
      <c r="Q10" s="30">
        <f>IF(V10=1,B10+W10-M10-N10-O10-P10,"")</f>
      </c>
      <c r="S10">
        <f>IF(ISNUMBER('Mis datos'!$H$5),'Mis datos'!$H$5+5,"")</f>
      </c>
      <c r="T10">
        <f>IF(S10="","",INT(S10/12)*2+IF(MOD(S10,12)&gt;=6,1,0))</f>
      </c>
      <c r="U10">
        <f>MAX(IF(V10=1,B10,0),IF(T10=T9,U9,0))</f>
      </c>
      <c r="V10">
        <f>IF(AND(S10&lt;&gt;"",ISNUMBER(B10)),IF(B10&gt;0,1,0),0)</f>
      </c>
      <c r="W10">
        <f>IF(ISNUMBER(C10),C10,0)</f>
      </c>
      <c r="X10">
        <f>IF(AND(V10=1,ISNUMBER(D10)),D10-M10,0)</f>
      </c>
      <c r="Y10">
        <f>IF(AND(V10=1,ISNUMBER(E10)),E10-N10,0)</f>
      </c>
      <c r="Z10">
        <f>IF(AND(V10=1,ISNUMBER(F10)),F10-O10,0)</f>
      </c>
      <c r="AA10">
        <f>IF(AND(V10=1,ISNUMBER(G10)),G10-P10,0)</f>
      </c>
      <c r="AB10">
        <f>COUNT(D10:G10)</f>
      </c>
      <c r="AC10">
        <f>IF(AND(V10=1,ISNUMBER(J10)),B10+W10-SUM(D10:I10)-J10,0)</f>
      </c>
      <c r="AD10">
        <f>IF(V10=1,6,"")</f>
      </c>
    </row>
    <row r="11" spans="1:30" x14ac:dyDescent="0.25">
      <c r="A11" s="26">
        <f>IF(S11="","",INDEX(IPC!$J$5:$J$16,MOD(S11,12)+1)&amp;" de "&amp;INT((S11)/12))</f>
      </c>
      <c r="B11" s="27">
        <v>1310000</v>
      </c>
      <c r="C11" s="27"/>
      <c r="D11" s="27">
        <v>144100</v>
      </c>
      <c r="E11" s="27">
        <v>39300</v>
      </c>
      <c r="F11" s="27">
        <v>39300</v>
      </c>
      <c r="G11" s="27">
        <v>26200</v>
      </c>
      <c r="H11" s="27"/>
      <c r="I11" s="27"/>
      <c r="J11" s="27">
        <v>1061100</v>
      </c>
      <c r="K11" s="28">
        <f>IF(V11=0,"",IF(AND(AB11=0,NOT(ISNUMBER(J11))),"Cargá los descuentos",IF(ABS(X11)&gt;1,"Revisar jubilación",IF(ABS(Y11)&gt;1,"Revisar Ley 19.032",IF(ABS(Z11)&gt;1,"Revisar obra social",IF(ABS(AA11)&gt;1,"Revisar cuota sindical",IF(ABS(AC11)&gt;1,"El neto no da con los descuentos","Cuadra")))))))</f>
      </c>
      <c r="L11" s="29">
        <f>IF(OR(V11=0,AB11=0),"",X11+Y11+Z11+AA11)</f>
      </c>
      <c r="M11" s="29">
        <f>IF(V11=1,MIN(B11,'Mis datos'!$B$24)*'Mis datos'!$B$21,"")</f>
      </c>
      <c r="N11" s="29">
        <f>IF(V11=1,MIN(B11,'Mis datos'!$B$24)*'Mis datos'!$B$22,"")</f>
      </c>
      <c r="O11" s="29">
        <f>IF(V11=1,MIN(B11,'Mis datos'!$B$24)*'Mis datos'!$B$23+IF('Mis datos'!$B$10="Sí",W11*'Mis datos'!$B$23,0),"")</f>
      </c>
      <c r="P11" s="29">
        <f>IF(V11=1,(B11+IF('Mis datos'!$B$11="Sí",W11,0))*'Mis datos'!$H$6,"")</f>
      </c>
      <c r="Q11" s="30">
        <f>IF(V11=1,B11+W11-M11-N11-O11-P11,"")</f>
      </c>
      <c r="S11">
        <f>IF(ISNUMBER('Mis datos'!$H$5),'Mis datos'!$H$5+6,"")</f>
      </c>
      <c r="T11">
        <f>IF(S11="","",INT(S11/12)*2+IF(MOD(S11,12)&gt;=6,1,0))</f>
      </c>
      <c r="U11">
        <f>MAX(IF(V11=1,B11,0),IF(T11=T10,U10,0))</f>
      </c>
      <c r="V11">
        <f>IF(AND(S11&lt;&gt;"",ISNUMBER(B11)),IF(B11&gt;0,1,0),0)</f>
      </c>
      <c r="W11">
        <f>IF(ISNUMBER(C11),C11,0)</f>
      </c>
      <c r="X11">
        <f>IF(AND(V11=1,ISNUMBER(D11)),D11-M11,0)</f>
      </c>
      <c r="Y11">
        <f>IF(AND(V11=1,ISNUMBER(E11)),E11-N11,0)</f>
      </c>
      <c r="Z11">
        <f>IF(AND(V11=1,ISNUMBER(F11)),F11-O11,0)</f>
      </c>
      <c r="AA11">
        <f>IF(AND(V11=1,ISNUMBER(G11)),G11-P11,0)</f>
      </c>
      <c r="AB11">
        <f>COUNT(D11:G11)</f>
      </c>
      <c r="AC11">
        <f>IF(AND(V11=1,ISNUMBER(J11)),B11+W11-SUM(D11:I11)-J11,0)</f>
      </c>
      <c r="AD11">
        <f>IF(V11=1,7,"")</f>
      </c>
    </row>
    <row r="12" spans="1:30" x14ac:dyDescent="0.25">
      <c r="A12" s="31">
        <f>IF(S12="","",INDEX(IPC!$J$5:$J$16,MOD(S12,12)+1)&amp;" de "&amp;INT((S12)/12))</f>
      </c>
      <c r="B12" s="27">
        <v>1310000</v>
      </c>
      <c r="C12" s="27"/>
      <c r="D12" s="27">
        <v>144100</v>
      </c>
      <c r="E12" s="27">
        <v>39300</v>
      </c>
      <c r="F12" s="27">
        <v>39300</v>
      </c>
      <c r="G12" s="27">
        <v>26200</v>
      </c>
      <c r="H12" s="27"/>
      <c r="I12" s="27"/>
      <c r="J12" s="27">
        <v>1061100</v>
      </c>
      <c r="K12" s="28">
        <f>IF(V12=0,"",IF(AND(AB12=0,NOT(ISNUMBER(J12))),"Cargá los descuentos",IF(ABS(X12)&gt;1,"Revisar jubilación",IF(ABS(Y12)&gt;1,"Revisar Ley 19.032",IF(ABS(Z12)&gt;1,"Revisar obra social",IF(ABS(AA12)&gt;1,"Revisar cuota sindical",IF(ABS(AC12)&gt;1,"El neto no da con los descuentos","Cuadra")))))))</f>
      </c>
      <c r="L12" s="29">
        <f>IF(OR(V12=0,AB12=0),"",X12+Y12+Z12+AA12)</f>
      </c>
      <c r="M12" s="29">
        <f>IF(V12=1,MIN(B12,'Mis datos'!$B$24)*'Mis datos'!$B$21,"")</f>
      </c>
      <c r="N12" s="29">
        <f>IF(V12=1,MIN(B12,'Mis datos'!$B$24)*'Mis datos'!$B$22,"")</f>
      </c>
      <c r="O12" s="29">
        <f>IF(V12=1,MIN(B12,'Mis datos'!$B$24)*'Mis datos'!$B$23+IF('Mis datos'!$B$10="Sí",W12*'Mis datos'!$B$23,0),"")</f>
      </c>
      <c r="P12" s="29">
        <f>IF(V12=1,(B12+IF('Mis datos'!$B$11="Sí",W12,0))*'Mis datos'!$H$6,"")</f>
      </c>
      <c r="Q12" s="30">
        <f>IF(V12=1,B12+W12-M12-N12-O12-P12,"")</f>
      </c>
      <c r="S12">
        <f>IF(ISNUMBER('Mis datos'!$H$5),'Mis datos'!$H$5+7,"")</f>
      </c>
      <c r="T12">
        <f>IF(S12="","",INT(S12/12)*2+IF(MOD(S12,12)&gt;=6,1,0))</f>
      </c>
      <c r="U12">
        <f>MAX(IF(V12=1,B12,0),IF(T12=T11,U11,0))</f>
      </c>
      <c r="V12">
        <f>IF(AND(S12&lt;&gt;"",ISNUMBER(B12)),IF(B12&gt;0,1,0),0)</f>
      </c>
      <c r="W12">
        <f>IF(ISNUMBER(C12),C12,0)</f>
      </c>
      <c r="X12">
        <f>IF(AND(V12=1,ISNUMBER(D12)),D12-M12,0)</f>
      </c>
      <c r="Y12">
        <f>IF(AND(V12=1,ISNUMBER(E12)),E12-N12,0)</f>
      </c>
      <c r="Z12">
        <f>IF(AND(V12=1,ISNUMBER(F12)),F12-O12,0)</f>
      </c>
      <c r="AA12">
        <f>IF(AND(V12=1,ISNUMBER(G12)),G12-P12,0)</f>
      </c>
      <c r="AB12">
        <f>COUNT(D12:G12)</f>
      </c>
      <c r="AC12">
        <f>IF(AND(V12=1,ISNUMBER(J12)),B12+W12-SUM(D12:I12)-J12,0)</f>
      </c>
      <c r="AD12">
        <f>IF(V12=1,8,"")</f>
      </c>
    </row>
    <row r="13" spans="1:30" x14ac:dyDescent="0.25">
      <c r="A13" s="26">
        <f>IF(S13="","",INDEX(IPC!$J$5:$J$16,MOD(S13,12)+1)&amp;" de "&amp;INT((S13)/12))</f>
      </c>
      <c r="B13" s="27">
        <v>1310000</v>
      </c>
      <c r="C13" s="27"/>
      <c r="D13" s="27">
        <v>144100</v>
      </c>
      <c r="E13" s="27">
        <v>39300</v>
      </c>
      <c r="F13" s="27">
        <v>36915</v>
      </c>
      <c r="G13" s="27">
        <v>26200</v>
      </c>
      <c r="H13" s="27"/>
      <c r="I13" s="27"/>
      <c r="J13" s="27">
        <v>1063485</v>
      </c>
      <c r="K13" s="28">
        <f>IF(V13=0,"",IF(AND(AB13=0,NOT(ISNUMBER(J13))),"Cargá los descuentos",IF(ABS(X13)&gt;1,"Revisar jubilación",IF(ABS(Y13)&gt;1,"Revisar Ley 19.032",IF(ABS(Z13)&gt;1,"Revisar obra social",IF(ABS(AA13)&gt;1,"Revisar cuota sindical",IF(ABS(AC13)&gt;1,"El neto no da con los descuentos","Cuadra")))))))</f>
      </c>
      <c r="L13" s="29">
        <f>IF(OR(V13=0,AB13=0),"",X13+Y13+Z13+AA13)</f>
      </c>
      <c r="M13" s="29">
        <f>IF(V13=1,MIN(B13,'Mis datos'!$B$24)*'Mis datos'!$B$21,"")</f>
      </c>
      <c r="N13" s="29">
        <f>IF(V13=1,MIN(B13,'Mis datos'!$B$24)*'Mis datos'!$B$22,"")</f>
      </c>
      <c r="O13" s="29">
        <f>IF(V13=1,MIN(B13,'Mis datos'!$B$24)*'Mis datos'!$B$23+IF('Mis datos'!$B$10="Sí",W13*'Mis datos'!$B$23,0),"")</f>
      </c>
      <c r="P13" s="29">
        <f>IF(V13=1,(B13+IF('Mis datos'!$B$11="Sí",W13,0))*'Mis datos'!$H$6,"")</f>
      </c>
      <c r="Q13" s="30">
        <f>IF(V13=1,B13+W13-M13-N13-O13-P13,"")</f>
      </c>
      <c r="S13">
        <f>IF(ISNUMBER('Mis datos'!$H$5),'Mis datos'!$H$5+8,"")</f>
      </c>
      <c r="T13">
        <f>IF(S13="","",INT(S13/12)*2+IF(MOD(S13,12)&gt;=6,1,0))</f>
      </c>
      <c r="U13">
        <f>MAX(IF(V13=1,B13,0),IF(T13=T12,U12,0))</f>
      </c>
      <c r="V13">
        <f>IF(AND(S13&lt;&gt;"",ISNUMBER(B13)),IF(B13&gt;0,1,0),0)</f>
      </c>
      <c r="W13">
        <f>IF(ISNUMBER(C13),C13,0)</f>
      </c>
      <c r="X13">
        <f>IF(AND(V13=1,ISNUMBER(D13)),D13-M13,0)</f>
      </c>
      <c r="Y13">
        <f>IF(AND(V13=1,ISNUMBER(E13)),E13-N13,0)</f>
      </c>
      <c r="Z13">
        <f>IF(AND(V13=1,ISNUMBER(F13)),F13-O13,0)</f>
      </c>
      <c r="AA13">
        <f>IF(AND(V13=1,ISNUMBER(G13)),G13-P13,0)</f>
      </c>
      <c r="AB13">
        <f>COUNT(D13:G13)</f>
      </c>
      <c r="AC13">
        <f>IF(AND(V13=1,ISNUMBER(J13)),B13+W13-SUM(D13:I13)-J13,0)</f>
      </c>
      <c r="AD13">
        <f>IF(V13=1,9,"")</f>
      </c>
    </row>
    <row r="14" spans="1:30" x14ac:dyDescent="0.25">
      <c r="A14" s="31">
        <f>IF(S14="","",INDEX(IPC!$J$5:$J$16,MOD(S14,12)+1)&amp;" de "&amp;INT((S14)/12))</f>
      </c>
      <c r="B14" s="27">
        <v>1310000</v>
      </c>
      <c r="C14" s="27"/>
      <c r="D14" s="27">
        <v>144100</v>
      </c>
      <c r="E14" s="27">
        <v>39300</v>
      </c>
      <c r="F14" s="27">
        <v>39300</v>
      </c>
      <c r="G14" s="27">
        <v>26200</v>
      </c>
      <c r="H14" s="27"/>
      <c r="I14" s="27"/>
      <c r="J14" s="27">
        <v>1061100</v>
      </c>
      <c r="K14" s="28">
        <f>IF(V14=0,"",IF(AND(AB14=0,NOT(ISNUMBER(J14))),"Cargá los descuentos",IF(ABS(X14)&gt;1,"Revisar jubilación",IF(ABS(Y14)&gt;1,"Revisar Ley 19.032",IF(ABS(Z14)&gt;1,"Revisar obra social",IF(ABS(AA14)&gt;1,"Revisar cuota sindical",IF(ABS(AC14)&gt;1,"El neto no da con los descuentos","Cuadra")))))))</f>
      </c>
      <c r="L14" s="29">
        <f>IF(OR(V14=0,AB14=0),"",X14+Y14+Z14+AA14)</f>
      </c>
      <c r="M14" s="29">
        <f>IF(V14=1,MIN(B14,'Mis datos'!$B$24)*'Mis datos'!$B$21,"")</f>
      </c>
      <c r="N14" s="29">
        <f>IF(V14=1,MIN(B14,'Mis datos'!$B$24)*'Mis datos'!$B$22,"")</f>
      </c>
      <c r="O14" s="29">
        <f>IF(V14=1,MIN(B14,'Mis datos'!$B$24)*'Mis datos'!$B$23+IF('Mis datos'!$B$10="Sí",W14*'Mis datos'!$B$23,0),"")</f>
      </c>
      <c r="P14" s="29">
        <f>IF(V14=1,(B14+IF('Mis datos'!$B$11="Sí",W14,0))*'Mis datos'!$H$6,"")</f>
      </c>
      <c r="Q14" s="30">
        <f>IF(V14=1,B14+W14-M14-N14-O14-P14,"")</f>
      </c>
      <c r="S14">
        <f>IF(ISNUMBER('Mis datos'!$H$5),'Mis datos'!$H$5+9,"")</f>
      </c>
      <c r="T14">
        <f>IF(S14="","",INT(S14/12)*2+IF(MOD(S14,12)&gt;=6,1,0))</f>
      </c>
      <c r="U14">
        <f>MAX(IF(V14=1,B14,0),IF(T14=T13,U13,0))</f>
      </c>
      <c r="V14">
        <f>IF(AND(S14&lt;&gt;"",ISNUMBER(B14)),IF(B14&gt;0,1,0),0)</f>
      </c>
      <c r="W14">
        <f>IF(ISNUMBER(C14),C14,0)</f>
      </c>
      <c r="X14">
        <f>IF(AND(V14=1,ISNUMBER(D14)),D14-M14,0)</f>
      </c>
      <c r="Y14">
        <f>IF(AND(V14=1,ISNUMBER(E14)),E14-N14,0)</f>
      </c>
      <c r="Z14">
        <f>IF(AND(V14=1,ISNUMBER(F14)),F14-O14,0)</f>
      </c>
      <c r="AA14">
        <f>IF(AND(V14=1,ISNUMBER(G14)),G14-P14,0)</f>
      </c>
      <c r="AB14">
        <f>COUNT(D14:G14)</f>
      </c>
      <c r="AC14">
        <f>IF(AND(V14=1,ISNUMBER(J14)),B14+W14-SUM(D14:I14)-J14,0)</f>
      </c>
      <c r="AD14">
        <f>IF(V14=1,10,"")</f>
      </c>
    </row>
    <row r="15" spans="1:30" x14ac:dyDescent="0.25">
      <c r="A15" s="26">
        <f>IF(S15="","",INDEX(IPC!$J$5:$J$16,MOD(S15,12)+1)&amp;" de "&amp;INT((S15)/12))</f>
      </c>
      <c r="B15" s="27">
        <v>1310000</v>
      </c>
      <c r="C15" s="27"/>
      <c r="D15" s="27">
        <v>144100</v>
      </c>
      <c r="E15" s="27">
        <v>39300</v>
      </c>
      <c r="F15" s="27">
        <v>39300</v>
      </c>
      <c r="G15" s="27">
        <v>26200</v>
      </c>
      <c r="H15" s="27"/>
      <c r="I15" s="27"/>
      <c r="J15" s="27">
        <v>1061100</v>
      </c>
      <c r="K15" s="28">
        <f>IF(V15=0,"",IF(AND(AB15=0,NOT(ISNUMBER(J15))),"Cargá los descuentos",IF(ABS(X15)&gt;1,"Revisar jubilación",IF(ABS(Y15)&gt;1,"Revisar Ley 19.032",IF(ABS(Z15)&gt;1,"Revisar obra social",IF(ABS(AA15)&gt;1,"Revisar cuota sindical",IF(ABS(AC15)&gt;1,"El neto no da con los descuentos","Cuadra")))))))</f>
      </c>
      <c r="L15" s="29">
        <f>IF(OR(V15=0,AB15=0),"",X15+Y15+Z15+AA15)</f>
      </c>
      <c r="M15" s="29">
        <f>IF(V15=1,MIN(B15,'Mis datos'!$B$24)*'Mis datos'!$B$21,"")</f>
      </c>
      <c r="N15" s="29">
        <f>IF(V15=1,MIN(B15,'Mis datos'!$B$24)*'Mis datos'!$B$22,"")</f>
      </c>
      <c r="O15" s="29">
        <f>IF(V15=1,MIN(B15,'Mis datos'!$B$24)*'Mis datos'!$B$23+IF('Mis datos'!$B$10="Sí",W15*'Mis datos'!$B$23,0),"")</f>
      </c>
      <c r="P15" s="29">
        <f>IF(V15=1,(B15+IF('Mis datos'!$B$11="Sí",W15,0))*'Mis datos'!$H$6,"")</f>
      </c>
      <c r="Q15" s="30">
        <f>IF(V15=1,B15+W15-M15-N15-O15-P15,"")</f>
      </c>
      <c r="S15">
        <f>IF(ISNUMBER('Mis datos'!$H$5),'Mis datos'!$H$5+10,"")</f>
      </c>
      <c r="T15">
        <f>IF(S15="","",INT(S15/12)*2+IF(MOD(S15,12)&gt;=6,1,0))</f>
      </c>
      <c r="U15">
        <f>MAX(IF(V15=1,B15,0),IF(T15=T14,U14,0))</f>
      </c>
      <c r="V15">
        <f>IF(AND(S15&lt;&gt;"",ISNUMBER(B15)),IF(B15&gt;0,1,0),0)</f>
      </c>
      <c r="W15">
        <f>IF(ISNUMBER(C15),C15,0)</f>
      </c>
      <c r="X15">
        <f>IF(AND(V15=1,ISNUMBER(D15)),D15-M15,0)</f>
      </c>
      <c r="Y15">
        <f>IF(AND(V15=1,ISNUMBER(E15)),E15-N15,0)</f>
      </c>
      <c r="Z15">
        <f>IF(AND(V15=1,ISNUMBER(F15)),F15-O15,0)</f>
      </c>
      <c r="AA15">
        <f>IF(AND(V15=1,ISNUMBER(G15)),G15-P15,0)</f>
      </c>
      <c r="AB15">
        <f>COUNT(D15:G15)</f>
      </c>
      <c r="AC15">
        <f>IF(AND(V15=1,ISNUMBER(J15)),B15+W15-SUM(D15:I15)-J15,0)</f>
      </c>
      <c r="AD15">
        <f>IF(V15=1,11,"")</f>
      </c>
    </row>
    <row r="16" spans="1:30" x14ac:dyDescent="0.25">
      <c r="A16" s="31">
        <f>IF(S16="","",INDEX(IPC!$J$5:$J$16,MOD(S16,12)+1)&amp;" de "&amp;INT((S16)/12))</f>
      </c>
      <c r="B16" s="27">
        <v>1310000</v>
      </c>
      <c r="C16" s="27"/>
      <c r="D16" s="27">
        <v>144100</v>
      </c>
      <c r="E16" s="27">
        <v>39300</v>
      </c>
      <c r="F16" s="27">
        <v>39300</v>
      </c>
      <c r="G16" s="27">
        <v>26200</v>
      </c>
      <c r="H16" s="27"/>
      <c r="I16" s="27"/>
      <c r="J16" s="27">
        <v>1061100</v>
      </c>
      <c r="K16" s="28">
        <f>IF(V16=0,"",IF(AND(AB16=0,NOT(ISNUMBER(J16))),"Cargá los descuentos",IF(ABS(X16)&gt;1,"Revisar jubilación",IF(ABS(Y16)&gt;1,"Revisar Ley 19.032",IF(ABS(Z16)&gt;1,"Revisar obra social",IF(ABS(AA16)&gt;1,"Revisar cuota sindical",IF(ABS(AC16)&gt;1,"El neto no da con los descuentos","Cuadra")))))))</f>
      </c>
      <c r="L16" s="29">
        <f>IF(OR(V16=0,AB16=0),"",X16+Y16+Z16+AA16)</f>
      </c>
      <c r="M16" s="29">
        <f>IF(V16=1,MIN(B16,'Mis datos'!$B$24)*'Mis datos'!$B$21,"")</f>
      </c>
      <c r="N16" s="29">
        <f>IF(V16=1,MIN(B16,'Mis datos'!$B$24)*'Mis datos'!$B$22,"")</f>
      </c>
      <c r="O16" s="29">
        <f>IF(V16=1,MIN(B16,'Mis datos'!$B$24)*'Mis datos'!$B$23+IF('Mis datos'!$B$10="Sí",W16*'Mis datos'!$B$23,0),"")</f>
      </c>
      <c r="P16" s="29">
        <f>IF(V16=1,(B16+IF('Mis datos'!$B$11="Sí",W16,0))*'Mis datos'!$H$6,"")</f>
      </c>
      <c r="Q16" s="30">
        <f>IF(V16=1,B16+W16-M16-N16-O16-P16,"")</f>
      </c>
      <c r="S16">
        <f>IF(ISNUMBER('Mis datos'!$H$5),'Mis datos'!$H$5+11,"")</f>
      </c>
      <c r="T16">
        <f>IF(S16="","",INT(S16/12)*2+IF(MOD(S16,12)&gt;=6,1,0))</f>
      </c>
      <c r="U16">
        <f>MAX(IF(V16=1,B16,0),IF(T16=T15,U15,0))</f>
      </c>
      <c r="V16">
        <f>IF(AND(S16&lt;&gt;"",ISNUMBER(B16)),IF(B16&gt;0,1,0),0)</f>
      </c>
      <c r="W16">
        <f>IF(ISNUMBER(C16),C16,0)</f>
      </c>
      <c r="X16">
        <f>IF(AND(V16=1,ISNUMBER(D16)),D16-M16,0)</f>
      </c>
      <c r="Y16">
        <f>IF(AND(V16=1,ISNUMBER(E16)),E16-N16,0)</f>
      </c>
      <c r="Z16">
        <f>IF(AND(V16=1,ISNUMBER(F16)),F16-O16,0)</f>
      </c>
      <c r="AA16">
        <f>IF(AND(V16=1,ISNUMBER(G16)),G16-P16,0)</f>
      </c>
      <c r="AB16">
        <f>COUNT(D16:G16)</f>
      </c>
      <c r="AC16">
        <f>IF(AND(V16=1,ISNUMBER(J16)),B16+W16-SUM(D16:I16)-J16,0)</f>
      </c>
      <c r="AD16">
        <f>IF(V16=1,12,"")</f>
      </c>
    </row>
    <row r="17" spans="1:30" x14ac:dyDescent="0.25">
      <c r="A17" s="26">
        <f>IF(S17="","",INDEX(IPC!$J$5:$J$16,MOD(S17,12)+1)&amp;" de "&amp;INT((S17)/12))</f>
      </c>
      <c r="B17" s="27">
        <v>1310000</v>
      </c>
      <c r="C17" s="27"/>
      <c r="D17" s="27">
        <v>144100</v>
      </c>
      <c r="E17" s="27">
        <v>39300</v>
      </c>
      <c r="F17" s="27">
        <v>39300</v>
      </c>
      <c r="G17" s="27">
        <v>26200</v>
      </c>
      <c r="H17" s="27"/>
      <c r="I17" s="27"/>
      <c r="J17" s="27">
        <v>1061100</v>
      </c>
      <c r="K17" s="28">
        <f>IF(V17=0,"",IF(AND(AB17=0,NOT(ISNUMBER(J17))),"Cargá los descuentos",IF(ABS(X17)&gt;1,"Revisar jubilación",IF(ABS(Y17)&gt;1,"Revisar Ley 19.032",IF(ABS(Z17)&gt;1,"Revisar obra social",IF(ABS(AA17)&gt;1,"Revisar cuota sindical",IF(ABS(AC17)&gt;1,"El neto no da con los descuentos","Cuadra")))))))</f>
      </c>
      <c r="L17" s="29">
        <f>IF(OR(V17=0,AB17=0),"",X17+Y17+Z17+AA17)</f>
      </c>
      <c r="M17" s="29">
        <f>IF(V17=1,MIN(B17,'Mis datos'!$B$24)*'Mis datos'!$B$21,"")</f>
      </c>
      <c r="N17" s="29">
        <f>IF(V17=1,MIN(B17,'Mis datos'!$B$24)*'Mis datos'!$B$22,"")</f>
      </c>
      <c r="O17" s="29">
        <f>IF(V17=1,MIN(B17,'Mis datos'!$B$24)*'Mis datos'!$B$23+IF('Mis datos'!$B$10="Sí",W17*'Mis datos'!$B$23,0),"")</f>
      </c>
      <c r="P17" s="29">
        <f>IF(V17=1,(B17+IF('Mis datos'!$B$11="Sí",W17,0))*'Mis datos'!$H$6,"")</f>
      </c>
      <c r="Q17" s="30">
        <f>IF(V17=1,B17+W17-M17-N17-O17-P17,"")</f>
      </c>
      <c r="S17">
        <f>IF(ISNUMBER('Mis datos'!$H$5),'Mis datos'!$H$5+12,"")</f>
      </c>
      <c r="T17">
        <f>IF(S17="","",INT(S17/12)*2+IF(MOD(S17,12)&gt;=6,1,0))</f>
      </c>
      <c r="U17">
        <f>MAX(IF(V17=1,B17,0),IF(T17=T16,U16,0))</f>
      </c>
      <c r="V17">
        <f>IF(AND(S17&lt;&gt;"",ISNUMBER(B17)),IF(B17&gt;0,1,0),0)</f>
      </c>
      <c r="W17">
        <f>IF(ISNUMBER(C17),C17,0)</f>
      </c>
      <c r="X17">
        <f>IF(AND(V17=1,ISNUMBER(D17)),D17-M17,0)</f>
      </c>
      <c r="Y17">
        <f>IF(AND(V17=1,ISNUMBER(E17)),E17-N17,0)</f>
      </c>
      <c r="Z17">
        <f>IF(AND(V17=1,ISNUMBER(F17)),F17-O17,0)</f>
      </c>
      <c r="AA17">
        <f>IF(AND(V17=1,ISNUMBER(G17)),G17-P17,0)</f>
      </c>
      <c r="AB17">
        <f>COUNT(D17:G17)</f>
      </c>
      <c r="AC17">
        <f>IF(AND(V17=1,ISNUMBER(J17)),B17+W17-SUM(D17:I17)-J17,0)</f>
      </c>
      <c r="AD17">
        <f>IF(V17=1,13,"")</f>
      </c>
    </row>
    <row r="18" spans="1:30" x14ac:dyDescent="0.25">
      <c r="A18" s="31">
        <f>IF(S18="","",INDEX(IPC!$J$5:$J$16,MOD(S18,12)+1)&amp;" de "&amp;INT((S18)/12))</f>
      </c>
      <c r="B18" s="27"/>
      <c r="C18" s="27"/>
      <c r="D18" s="27"/>
      <c r="E18" s="27"/>
      <c r="F18" s="27"/>
      <c r="G18" s="27"/>
      <c r="H18" s="27"/>
      <c r="I18" s="27"/>
      <c r="J18" s="27"/>
      <c r="K18" s="28">
        <f>IF(V18=0,"",IF(AND(AB18=0,NOT(ISNUMBER(J18))),"Cargá los descuentos",IF(ABS(X18)&gt;1,"Revisar jubilación",IF(ABS(Y18)&gt;1,"Revisar Ley 19.032",IF(ABS(Z18)&gt;1,"Revisar obra social",IF(ABS(AA18)&gt;1,"Revisar cuota sindical",IF(ABS(AC18)&gt;1,"El neto no da con los descuentos","Cuadra")))))))</f>
      </c>
      <c r="L18" s="29">
        <f>IF(OR(V18=0,AB18=0),"",X18+Y18+Z18+AA18)</f>
      </c>
      <c r="M18" s="29">
        <f>IF(V18=1,MIN(B18,'Mis datos'!$B$24)*'Mis datos'!$B$21,"")</f>
      </c>
      <c r="N18" s="29">
        <f>IF(V18=1,MIN(B18,'Mis datos'!$B$24)*'Mis datos'!$B$22,"")</f>
      </c>
      <c r="O18" s="29">
        <f>IF(V18=1,MIN(B18,'Mis datos'!$B$24)*'Mis datos'!$B$23+IF('Mis datos'!$B$10="Sí",W18*'Mis datos'!$B$23,0),"")</f>
      </c>
      <c r="P18" s="29">
        <f>IF(V18=1,(B18+IF('Mis datos'!$B$11="Sí",W18,0))*'Mis datos'!$H$6,"")</f>
      </c>
      <c r="Q18" s="30">
        <f>IF(V18=1,B18+W18-M18-N18-O18-P18,"")</f>
      </c>
      <c r="S18">
        <f>IF(ISNUMBER('Mis datos'!$H$5),'Mis datos'!$H$5+13,"")</f>
      </c>
      <c r="T18">
        <f>IF(S18="","",INT(S18/12)*2+IF(MOD(S18,12)&gt;=6,1,0))</f>
      </c>
      <c r="U18">
        <f>MAX(IF(V18=1,B18,0),IF(T18=T17,U17,0))</f>
      </c>
      <c r="V18">
        <f>IF(AND(S18&lt;&gt;"",ISNUMBER(B18)),IF(B18&gt;0,1,0),0)</f>
      </c>
      <c r="W18">
        <f>IF(ISNUMBER(C18),C18,0)</f>
      </c>
      <c r="X18">
        <f>IF(AND(V18=1,ISNUMBER(D18)),D18-M18,0)</f>
      </c>
      <c r="Y18">
        <f>IF(AND(V18=1,ISNUMBER(E18)),E18-N18,0)</f>
      </c>
      <c r="Z18">
        <f>IF(AND(V18=1,ISNUMBER(F18)),F18-O18,0)</f>
      </c>
      <c r="AA18">
        <f>IF(AND(V18=1,ISNUMBER(G18)),G18-P18,0)</f>
      </c>
      <c r="AB18">
        <f>COUNT(D18:G18)</f>
      </c>
      <c r="AC18">
        <f>IF(AND(V18=1,ISNUMBER(J18)),B18+W18-SUM(D18:I18)-J18,0)</f>
      </c>
      <c r="AD18">
        <f>IF(V18=1,14,"")</f>
      </c>
    </row>
    <row r="19" spans="1:30" x14ac:dyDescent="0.25">
      <c r="A19" s="26">
        <f>IF(S19="","",INDEX(IPC!$J$5:$J$16,MOD(S19,12)+1)&amp;" de "&amp;INT((S19)/12))</f>
      </c>
      <c r="B19" s="27"/>
      <c r="C19" s="27"/>
      <c r="D19" s="27"/>
      <c r="E19" s="27"/>
      <c r="F19" s="27"/>
      <c r="G19" s="27"/>
      <c r="H19" s="27"/>
      <c r="I19" s="27"/>
      <c r="J19" s="27"/>
      <c r="K19" s="28">
        <f>IF(V19=0,"",IF(AND(AB19=0,NOT(ISNUMBER(J19))),"Cargá los descuentos",IF(ABS(X19)&gt;1,"Revisar jubilación",IF(ABS(Y19)&gt;1,"Revisar Ley 19.032",IF(ABS(Z19)&gt;1,"Revisar obra social",IF(ABS(AA19)&gt;1,"Revisar cuota sindical",IF(ABS(AC19)&gt;1,"El neto no da con los descuentos","Cuadra")))))))</f>
      </c>
      <c r="L19" s="29">
        <f>IF(OR(V19=0,AB19=0),"",X19+Y19+Z19+AA19)</f>
      </c>
      <c r="M19" s="29">
        <f>IF(V19=1,MIN(B19,'Mis datos'!$B$24)*'Mis datos'!$B$21,"")</f>
      </c>
      <c r="N19" s="29">
        <f>IF(V19=1,MIN(B19,'Mis datos'!$B$24)*'Mis datos'!$B$22,"")</f>
      </c>
      <c r="O19" s="29">
        <f>IF(V19=1,MIN(B19,'Mis datos'!$B$24)*'Mis datos'!$B$23+IF('Mis datos'!$B$10="Sí",W19*'Mis datos'!$B$23,0),"")</f>
      </c>
      <c r="P19" s="29">
        <f>IF(V19=1,(B19+IF('Mis datos'!$B$11="Sí",W19,0))*'Mis datos'!$H$6,"")</f>
      </c>
      <c r="Q19" s="30">
        <f>IF(V19=1,B19+W19-M19-N19-O19-P19,"")</f>
      </c>
      <c r="S19">
        <f>IF(ISNUMBER('Mis datos'!$H$5),'Mis datos'!$H$5+14,"")</f>
      </c>
      <c r="T19">
        <f>IF(S19="","",INT(S19/12)*2+IF(MOD(S19,12)&gt;=6,1,0))</f>
      </c>
      <c r="U19">
        <f>MAX(IF(V19=1,B19,0),IF(T19=T18,U18,0))</f>
      </c>
      <c r="V19">
        <f>IF(AND(S19&lt;&gt;"",ISNUMBER(B19)),IF(B19&gt;0,1,0),0)</f>
      </c>
      <c r="W19">
        <f>IF(ISNUMBER(C19),C19,0)</f>
      </c>
      <c r="X19">
        <f>IF(AND(V19=1,ISNUMBER(D19)),D19-M19,0)</f>
      </c>
      <c r="Y19">
        <f>IF(AND(V19=1,ISNUMBER(E19)),E19-N19,0)</f>
      </c>
      <c r="Z19">
        <f>IF(AND(V19=1,ISNUMBER(F19)),F19-O19,0)</f>
      </c>
      <c r="AA19">
        <f>IF(AND(V19=1,ISNUMBER(G19)),G19-P19,0)</f>
      </c>
      <c r="AB19">
        <f>COUNT(D19:G19)</f>
      </c>
      <c r="AC19">
        <f>IF(AND(V19=1,ISNUMBER(J19)),B19+W19-SUM(D19:I19)-J19,0)</f>
      </c>
      <c r="AD19">
        <f>IF(V19=1,15,"")</f>
      </c>
    </row>
    <row r="20" spans="1:30" x14ac:dyDescent="0.25">
      <c r="A20" s="31">
        <f>IF(S20="","",INDEX(IPC!$J$5:$J$16,MOD(S20,12)+1)&amp;" de "&amp;INT((S20)/12))</f>
      </c>
      <c r="B20" s="27"/>
      <c r="C20" s="27"/>
      <c r="D20" s="27"/>
      <c r="E20" s="27"/>
      <c r="F20" s="27"/>
      <c r="G20" s="27"/>
      <c r="H20" s="27"/>
      <c r="I20" s="27"/>
      <c r="J20" s="27"/>
      <c r="K20" s="28">
        <f>IF(V20=0,"",IF(AND(AB20=0,NOT(ISNUMBER(J20))),"Cargá los descuentos",IF(ABS(X20)&gt;1,"Revisar jubilación",IF(ABS(Y20)&gt;1,"Revisar Ley 19.032",IF(ABS(Z20)&gt;1,"Revisar obra social",IF(ABS(AA20)&gt;1,"Revisar cuota sindical",IF(ABS(AC20)&gt;1,"El neto no da con los descuentos","Cuadra")))))))</f>
      </c>
      <c r="L20" s="29">
        <f>IF(OR(V20=0,AB20=0),"",X20+Y20+Z20+AA20)</f>
      </c>
      <c r="M20" s="29">
        <f>IF(V20=1,MIN(B20,'Mis datos'!$B$24)*'Mis datos'!$B$21,"")</f>
      </c>
      <c r="N20" s="29">
        <f>IF(V20=1,MIN(B20,'Mis datos'!$B$24)*'Mis datos'!$B$22,"")</f>
      </c>
      <c r="O20" s="29">
        <f>IF(V20=1,MIN(B20,'Mis datos'!$B$24)*'Mis datos'!$B$23+IF('Mis datos'!$B$10="Sí",W20*'Mis datos'!$B$23,0),"")</f>
      </c>
      <c r="P20" s="29">
        <f>IF(V20=1,(B20+IF('Mis datos'!$B$11="Sí",W20,0))*'Mis datos'!$H$6,"")</f>
      </c>
      <c r="Q20" s="30">
        <f>IF(V20=1,B20+W20-M20-N20-O20-P20,"")</f>
      </c>
      <c r="S20">
        <f>IF(ISNUMBER('Mis datos'!$H$5),'Mis datos'!$H$5+15,"")</f>
      </c>
      <c r="T20">
        <f>IF(S20="","",INT(S20/12)*2+IF(MOD(S20,12)&gt;=6,1,0))</f>
      </c>
      <c r="U20">
        <f>MAX(IF(V20=1,B20,0),IF(T20=T19,U19,0))</f>
      </c>
      <c r="V20">
        <f>IF(AND(S20&lt;&gt;"",ISNUMBER(B20)),IF(B20&gt;0,1,0),0)</f>
      </c>
      <c r="W20">
        <f>IF(ISNUMBER(C20),C20,0)</f>
      </c>
      <c r="X20">
        <f>IF(AND(V20=1,ISNUMBER(D20)),D20-M20,0)</f>
      </c>
      <c r="Y20">
        <f>IF(AND(V20=1,ISNUMBER(E20)),E20-N20,0)</f>
      </c>
      <c r="Z20">
        <f>IF(AND(V20=1,ISNUMBER(F20)),F20-O20,0)</f>
      </c>
      <c r="AA20">
        <f>IF(AND(V20=1,ISNUMBER(G20)),G20-P20,0)</f>
      </c>
      <c r="AB20">
        <f>COUNT(D20:G20)</f>
      </c>
      <c r="AC20">
        <f>IF(AND(V20=1,ISNUMBER(J20)),B20+W20-SUM(D20:I20)-J20,0)</f>
      </c>
      <c r="AD20">
        <f>IF(V20=1,16,"")</f>
      </c>
    </row>
    <row r="21" spans="1:30" x14ac:dyDescent="0.25">
      <c r="A21" s="26">
        <f>IF(S21="","",INDEX(IPC!$J$5:$J$16,MOD(S21,12)+1)&amp;" de "&amp;INT((S21)/12))</f>
      </c>
      <c r="B21" s="27"/>
      <c r="C21" s="27"/>
      <c r="D21" s="27"/>
      <c r="E21" s="27"/>
      <c r="F21" s="27"/>
      <c r="G21" s="27"/>
      <c r="H21" s="27"/>
      <c r="I21" s="27"/>
      <c r="J21" s="27"/>
      <c r="K21" s="28">
        <f>IF(V21=0,"",IF(AND(AB21=0,NOT(ISNUMBER(J21))),"Cargá los descuentos",IF(ABS(X21)&gt;1,"Revisar jubilación",IF(ABS(Y21)&gt;1,"Revisar Ley 19.032",IF(ABS(Z21)&gt;1,"Revisar obra social",IF(ABS(AA21)&gt;1,"Revisar cuota sindical",IF(ABS(AC21)&gt;1,"El neto no da con los descuentos","Cuadra")))))))</f>
      </c>
      <c r="L21" s="29">
        <f>IF(OR(V21=0,AB21=0),"",X21+Y21+Z21+AA21)</f>
      </c>
      <c r="M21" s="29">
        <f>IF(V21=1,MIN(B21,'Mis datos'!$B$24)*'Mis datos'!$B$21,"")</f>
      </c>
      <c r="N21" s="29">
        <f>IF(V21=1,MIN(B21,'Mis datos'!$B$24)*'Mis datos'!$B$22,"")</f>
      </c>
      <c r="O21" s="29">
        <f>IF(V21=1,MIN(B21,'Mis datos'!$B$24)*'Mis datos'!$B$23+IF('Mis datos'!$B$10="Sí",W21*'Mis datos'!$B$23,0),"")</f>
      </c>
      <c r="P21" s="29">
        <f>IF(V21=1,(B21+IF('Mis datos'!$B$11="Sí",W21,0))*'Mis datos'!$H$6,"")</f>
      </c>
      <c r="Q21" s="30">
        <f>IF(V21=1,B21+W21-M21-N21-O21-P21,"")</f>
      </c>
      <c r="S21">
        <f>IF(ISNUMBER('Mis datos'!$H$5),'Mis datos'!$H$5+16,"")</f>
      </c>
      <c r="T21">
        <f>IF(S21="","",INT(S21/12)*2+IF(MOD(S21,12)&gt;=6,1,0))</f>
      </c>
      <c r="U21">
        <f>MAX(IF(V21=1,B21,0),IF(T21=T20,U20,0))</f>
      </c>
      <c r="V21">
        <f>IF(AND(S21&lt;&gt;"",ISNUMBER(B21)),IF(B21&gt;0,1,0),0)</f>
      </c>
      <c r="W21">
        <f>IF(ISNUMBER(C21),C21,0)</f>
      </c>
      <c r="X21">
        <f>IF(AND(V21=1,ISNUMBER(D21)),D21-M21,0)</f>
      </c>
      <c r="Y21">
        <f>IF(AND(V21=1,ISNUMBER(E21)),E21-N21,0)</f>
      </c>
      <c r="Z21">
        <f>IF(AND(V21=1,ISNUMBER(F21)),F21-O21,0)</f>
      </c>
      <c r="AA21">
        <f>IF(AND(V21=1,ISNUMBER(G21)),G21-P21,0)</f>
      </c>
      <c r="AB21">
        <f>COUNT(D21:G21)</f>
      </c>
      <c r="AC21">
        <f>IF(AND(V21=1,ISNUMBER(J21)),B21+W21-SUM(D21:I21)-J21,0)</f>
      </c>
      <c r="AD21">
        <f>IF(V21=1,17,"")</f>
      </c>
    </row>
    <row r="22" spans="1:30" x14ac:dyDescent="0.25">
      <c r="A22" s="31">
        <f>IF(S22="","",INDEX(IPC!$J$5:$J$16,MOD(S22,12)+1)&amp;" de "&amp;INT((S22)/12))</f>
      </c>
      <c r="B22" s="27"/>
      <c r="C22" s="27"/>
      <c r="D22" s="27"/>
      <c r="E22" s="27"/>
      <c r="F22" s="27"/>
      <c r="G22" s="27"/>
      <c r="H22" s="27"/>
      <c r="I22" s="27"/>
      <c r="J22" s="27"/>
      <c r="K22" s="28">
        <f>IF(V22=0,"",IF(AND(AB22=0,NOT(ISNUMBER(J22))),"Cargá los descuentos",IF(ABS(X22)&gt;1,"Revisar jubilación",IF(ABS(Y22)&gt;1,"Revisar Ley 19.032",IF(ABS(Z22)&gt;1,"Revisar obra social",IF(ABS(AA22)&gt;1,"Revisar cuota sindical",IF(ABS(AC22)&gt;1,"El neto no da con los descuentos","Cuadra")))))))</f>
      </c>
      <c r="L22" s="29">
        <f>IF(OR(V22=0,AB22=0),"",X22+Y22+Z22+AA22)</f>
      </c>
      <c r="M22" s="29">
        <f>IF(V22=1,MIN(B22,'Mis datos'!$B$24)*'Mis datos'!$B$21,"")</f>
      </c>
      <c r="N22" s="29">
        <f>IF(V22=1,MIN(B22,'Mis datos'!$B$24)*'Mis datos'!$B$22,"")</f>
      </c>
      <c r="O22" s="29">
        <f>IF(V22=1,MIN(B22,'Mis datos'!$B$24)*'Mis datos'!$B$23+IF('Mis datos'!$B$10="Sí",W22*'Mis datos'!$B$23,0),"")</f>
      </c>
      <c r="P22" s="29">
        <f>IF(V22=1,(B22+IF('Mis datos'!$B$11="Sí",W22,0))*'Mis datos'!$H$6,"")</f>
      </c>
      <c r="Q22" s="30">
        <f>IF(V22=1,B22+W22-M22-N22-O22-P22,"")</f>
      </c>
      <c r="S22">
        <f>IF(ISNUMBER('Mis datos'!$H$5),'Mis datos'!$H$5+17,"")</f>
      </c>
      <c r="T22">
        <f>IF(S22="","",INT(S22/12)*2+IF(MOD(S22,12)&gt;=6,1,0))</f>
      </c>
      <c r="U22">
        <f>MAX(IF(V22=1,B22,0),IF(T22=T21,U21,0))</f>
      </c>
      <c r="V22">
        <f>IF(AND(S22&lt;&gt;"",ISNUMBER(B22)),IF(B22&gt;0,1,0),0)</f>
      </c>
      <c r="W22">
        <f>IF(ISNUMBER(C22),C22,0)</f>
      </c>
      <c r="X22">
        <f>IF(AND(V22=1,ISNUMBER(D22)),D22-M22,0)</f>
      </c>
      <c r="Y22">
        <f>IF(AND(V22=1,ISNUMBER(E22)),E22-N22,0)</f>
      </c>
      <c r="Z22">
        <f>IF(AND(V22=1,ISNUMBER(F22)),F22-O22,0)</f>
      </c>
      <c r="AA22">
        <f>IF(AND(V22=1,ISNUMBER(G22)),G22-P22,0)</f>
      </c>
      <c r="AB22">
        <f>COUNT(D22:G22)</f>
      </c>
      <c r="AC22">
        <f>IF(AND(V22=1,ISNUMBER(J22)),B22+W22-SUM(D22:I22)-J22,0)</f>
      </c>
      <c r="AD22">
        <f>IF(V22=1,18,"")</f>
      </c>
    </row>
    <row r="23" spans="1:30" x14ac:dyDescent="0.25">
      <c r="A23" s="26">
        <f>IF(S23="","",INDEX(IPC!$J$5:$J$16,MOD(S23,12)+1)&amp;" de "&amp;INT((S23)/12))</f>
      </c>
      <c r="B23" s="27"/>
      <c r="C23" s="27"/>
      <c r="D23" s="27"/>
      <c r="E23" s="27"/>
      <c r="F23" s="27"/>
      <c r="G23" s="27"/>
      <c r="H23" s="27"/>
      <c r="I23" s="27"/>
      <c r="J23" s="27"/>
      <c r="K23" s="28">
        <f>IF(V23=0,"",IF(AND(AB23=0,NOT(ISNUMBER(J23))),"Cargá los descuentos",IF(ABS(X23)&gt;1,"Revisar jubilación",IF(ABS(Y23)&gt;1,"Revisar Ley 19.032",IF(ABS(Z23)&gt;1,"Revisar obra social",IF(ABS(AA23)&gt;1,"Revisar cuota sindical",IF(ABS(AC23)&gt;1,"El neto no da con los descuentos","Cuadra")))))))</f>
      </c>
      <c r="L23" s="29">
        <f>IF(OR(V23=0,AB23=0),"",X23+Y23+Z23+AA23)</f>
      </c>
      <c r="M23" s="29">
        <f>IF(V23=1,MIN(B23,'Mis datos'!$B$24)*'Mis datos'!$B$21,"")</f>
      </c>
      <c r="N23" s="29">
        <f>IF(V23=1,MIN(B23,'Mis datos'!$B$24)*'Mis datos'!$B$22,"")</f>
      </c>
      <c r="O23" s="29">
        <f>IF(V23=1,MIN(B23,'Mis datos'!$B$24)*'Mis datos'!$B$23+IF('Mis datos'!$B$10="Sí",W23*'Mis datos'!$B$23,0),"")</f>
      </c>
      <c r="P23" s="29">
        <f>IF(V23=1,(B23+IF('Mis datos'!$B$11="Sí",W23,0))*'Mis datos'!$H$6,"")</f>
      </c>
      <c r="Q23" s="30">
        <f>IF(V23=1,B23+W23-M23-N23-O23-P23,"")</f>
      </c>
      <c r="S23">
        <f>IF(ISNUMBER('Mis datos'!$H$5),'Mis datos'!$H$5+18,"")</f>
      </c>
      <c r="T23">
        <f>IF(S23="","",INT(S23/12)*2+IF(MOD(S23,12)&gt;=6,1,0))</f>
      </c>
      <c r="U23">
        <f>MAX(IF(V23=1,B23,0),IF(T23=T22,U22,0))</f>
      </c>
      <c r="V23">
        <f>IF(AND(S23&lt;&gt;"",ISNUMBER(B23)),IF(B23&gt;0,1,0),0)</f>
      </c>
      <c r="W23">
        <f>IF(ISNUMBER(C23),C23,0)</f>
      </c>
      <c r="X23">
        <f>IF(AND(V23=1,ISNUMBER(D23)),D23-M23,0)</f>
      </c>
      <c r="Y23">
        <f>IF(AND(V23=1,ISNUMBER(E23)),E23-N23,0)</f>
      </c>
      <c r="Z23">
        <f>IF(AND(V23=1,ISNUMBER(F23)),F23-O23,0)</f>
      </c>
      <c r="AA23">
        <f>IF(AND(V23=1,ISNUMBER(G23)),G23-P23,0)</f>
      </c>
      <c r="AB23">
        <f>COUNT(D23:G23)</f>
      </c>
      <c r="AC23">
        <f>IF(AND(V23=1,ISNUMBER(J23)),B23+W23-SUM(D23:I23)-J23,0)</f>
      </c>
      <c r="AD23">
        <f>IF(V23=1,19,"")</f>
      </c>
    </row>
    <row r="24" spans="1:30" x14ac:dyDescent="0.25">
      <c r="A24" s="31">
        <f>IF(S24="","",INDEX(IPC!$J$5:$J$16,MOD(S24,12)+1)&amp;" de "&amp;INT((S24)/12))</f>
      </c>
      <c r="B24" s="27"/>
      <c r="C24" s="27"/>
      <c r="D24" s="27"/>
      <c r="E24" s="27"/>
      <c r="F24" s="27"/>
      <c r="G24" s="27"/>
      <c r="H24" s="27"/>
      <c r="I24" s="27"/>
      <c r="J24" s="27"/>
      <c r="K24" s="28">
        <f>IF(V24=0,"",IF(AND(AB24=0,NOT(ISNUMBER(J24))),"Cargá los descuentos",IF(ABS(X24)&gt;1,"Revisar jubilación",IF(ABS(Y24)&gt;1,"Revisar Ley 19.032",IF(ABS(Z24)&gt;1,"Revisar obra social",IF(ABS(AA24)&gt;1,"Revisar cuota sindical",IF(ABS(AC24)&gt;1,"El neto no da con los descuentos","Cuadra")))))))</f>
      </c>
      <c r="L24" s="29">
        <f>IF(OR(V24=0,AB24=0),"",X24+Y24+Z24+AA24)</f>
      </c>
      <c r="M24" s="29">
        <f>IF(V24=1,MIN(B24,'Mis datos'!$B$24)*'Mis datos'!$B$21,"")</f>
      </c>
      <c r="N24" s="29">
        <f>IF(V24=1,MIN(B24,'Mis datos'!$B$24)*'Mis datos'!$B$22,"")</f>
      </c>
      <c r="O24" s="29">
        <f>IF(V24=1,MIN(B24,'Mis datos'!$B$24)*'Mis datos'!$B$23+IF('Mis datos'!$B$10="Sí",W24*'Mis datos'!$B$23,0),"")</f>
      </c>
      <c r="P24" s="29">
        <f>IF(V24=1,(B24+IF('Mis datos'!$B$11="Sí",W24,0))*'Mis datos'!$H$6,"")</f>
      </c>
      <c r="Q24" s="30">
        <f>IF(V24=1,B24+W24-M24-N24-O24-P24,"")</f>
      </c>
      <c r="S24">
        <f>IF(ISNUMBER('Mis datos'!$H$5),'Mis datos'!$H$5+19,"")</f>
      </c>
      <c r="T24">
        <f>IF(S24="","",INT(S24/12)*2+IF(MOD(S24,12)&gt;=6,1,0))</f>
      </c>
      <c r="U24">
        <f>MAX(IF(V24=1,B24,0),IF(T24=T23,U23,0))</f>
      </c>
      <c r="V24">
        <f>IF(AND(S24&lt;&gt;"",ISNUMBER(B24)),IF(B24&gt;0,1,0),0)</f>
      </c>
      <c r="W24">
        <f>IF(ISNUMBER(C24),C24,0)</f>
      </c>
      <c r="X24">
        <f>IF(AND(V24=1,ISNUMBER(D24)),D24-M24,0)</f>
      </c>
      <c r="Y24">
        <f>IF(AND(V24=1,ISNUMBER(E24)),E24-N24,0)</f>
      </c>
      <c r="Z24">
        <f>IF(AND(V24=1,ISNUMBER(F24)),F24-O24,0)</f>
      </c>
      <c r="AA24">
        <f>IF(AND(V24=1,ISNUMBER(G24)),G24-P24,0)</f>
      </c>
      <c r="AB24">
        <f>COUNT(D24:G24)</f>
      </c>
      <c r="AC24">
        <f>IF(AND(V24=1,ISNUMBER(J24)),B24+W24-SUM(D24:I24)-J24,0)</f>
      </c>
      <c r="AD24">
        <f>IF(V24=1,20,"")</f>
      </c>
    </row>
    <row r="25" spans="1:30" x14ac:dyDescent="0.25">
      <c r="A25" s="26">
        <f>IF(S25="","",INDEX(IPC!$J$5:$J$16,MOD(S25,12)+1)&amp;" de "&amp;INT((S25)/12))</f>
      </c>
      <c r="B25" s="27"/>
      <c r="C25" s="27"/>
      <c r="D25" s="27"/>
      <c r="E25" s="27"/>
      <c r="F25" s="27"/>
      <c r="G25" s="27"/>
      <c r="H25" s="27"/>
      <c r="I25" s="27"/>
      <c r="J25" s="27"/>
      <c r="K25" s="28">
        <f>IF(V25=0,"",IF(AND(AB25=0,NOT(ISNUMBER(J25))),"Cargá los descuentos",IF(ABS(X25)&gt;1,"Revisar jubilación",IF(ABS(Y25)&gt;1,"Revisar Ley 19.032",IF(ABS(Z25)&gt;1,"Revisar obra social",IF(ABS(AA25)&gt;1,"Revisar cuota sindical",IF(ABS(AC25)&gt;1,"El neto no da con los descuentos","Cuadra")))))))</f>
      </c>
      <c r="L25" s="29">
        <f>IF(OR(V25=0,AB25=0),"",X25+Y25+Z25+AA25)</f>
      </c>
      <c r="M25" s="29">
        <f>IF(V25=1,MIN(B25,'Mis datos'!$B$24)*'Mis datos'!$B$21,"")</f>
      </c>
      <c r="N25" s="29">
        <f>IF(V25=1,MIN(B25,'Mis datos'!$B$24)*'Mis datos'!$B$22,"")</f>
      </c>
      <c r="O25" s="29">
        <f>IF(V25=1,MIN(B25,'Mis datos'!$B$24)*'Mis datos'!$B$23+IF('Mis datos'!$B$10="Sí",W25*'Mis datos'!$B$23,0),"")</f>
      </c>
      <c r="P25" s="29">
        <f>IF(V25=1,(B25+IF('Mis datos'!$B$11="Sí",W25,0))*'Mis datos'!$H$6,"")</f>
      </c>
      <c r="Q25" s="30">
        <f>IF(V25=1,B25+W25-M25-N25-O25-P25,"")</f>
      </c>
      <c r="S25">
        <f>IF(ISNUMBER('Mis datos'!$H$5),'Mis datos'!$H$5+20,"")</f>
      </c>
      <c r="T25">
        <f>IF(S25="","",INT(S25/12)*2+IF(MOD(S25,12)&gt;=6,1,0))</f>
      </c>
      <c r="U25">
        <f>MAX(IF(V25=1,B25,0),IF(T25=T24,U24,0))</f>
      </c>
      <c r="V25">
        <f>IF(AND(S25&lt;&gt;"",ISNUMBER(B25)),IF(B25&gt;0,1,0),0)</f>
      </c>
      <c r="W25">
        <f>IF(ISNUMBER(C25),C25,0)</f>
      </c>
      <c r="X25">
        <f>IF(AND(V25=1,ISNUMBER(D25)),D25-M25,0)</f>
      </c>
      <c r="Y25">
        <f>IF(AND(V25=1,ISNUMBER(E25)),E25-N25,0)</f>
      </c>
      <c r="Z25">
        <f>IF(AND(V25=1,ISNUMBER(F25)),F25-O25,0)</f>
      </c>
      <c r="AA25">
        <f>IF(AND(V25=1,ISNUMBER(G25)),G25-P25,0)</f>
      </c>
      <c r="AB25">
        <f>COUNT(D25:G25)</f>
      </c>
      <c r="AC25">
        <f>IF(AND(V25=1,ISNUMBER(J25)),B25+W25-SUM(D25:I25)-J25,0)</f>
      </c>
      <c r="AD25">
        <f>IF(V25=1,21,"")</f>
      </c>
    </row>
    <row r="26" spans="1:30" x14ac:dyDescent="0.25">
      <c r="A26" s="31">
        <f>IF(S26="","",INDEX(IPC!$J$5:$J$16,MOD(S26,12)+1)&amp;" de "&amp;INT((S26)/12))</f>
      </c>
      <c r="B26" s="27"/>
      <c r="C26" s="27"/>
      <c r="D26" s="27"/>
      <c r="E26" s="27"/>
      <c r="F26" s="27"/>
      <c r="G26" s="27"/>
      <c r="H26" s="27"/>
      <c r="I26" s="27"/>
      <c r="J26" s="27"/>
      <c r="K26" s="28">
        <f>IF(V26=0,"",IF(AND(AB26=0,NOT(ISNUMBER(J26))),"Cargá los descuentos",IF(ABS(X26)&gt;1,"Revisar jubilación",IF(ABS(Y26)&gt;1,"Revisar Ley 19.032",IF(ABS(Z26)&gt;1,"Revisar obra social",IF(ABS(AA26)&gt;1,"Revisar cuota sindical",IF(ABS(AC26)&gt;1,"El neto no da con los descuentos","Cuadra")))))))</f>
      </c>
      <c r="L26" s="29">
        <f>IF(OR(V26=0,AB26=0),"",X26+Y26+Z26+AA26)</f>
      </c>
      <c r="M26" s="29">
        <f>IF(V26=1,MIN(B26,'Mis datos'!$B$24)*'Mis datos'!$B$21,"")</f>
      </c>
      <c r="N26" s="29">
        <f>IF(V26=1,MIN(B26,'Mis datos'!$B$24)*'Mis datos'!$B$22,"")</f>
      </c>
      <c r="O26" s="29">
        <f>IF(V26=1,MIN(B26,'Mis datos'!$B$24)*'Mis datos'!$B$23+IF('Mis datos'!$B$10="Sí",W26*'Mis datos'!$B$23,0),"")</f>
      </c>
      <c r="P26" s="29">
        <f>IF(V26=1,(B26+IF('Mis datos'!$B$11="Sí",W26,0))*'Mis datos'!$H$6,"")</f>
      </c>
      <c r="Q26" s="30">
        <f>IF(V26=1,B26+W26-M26-N26-O26-P26,"")</f>
      </c>
      <c r="S26">
        <f>IF(ISNUMBER('Mis datos'!$H$5),'Mis datos'!$H$5+21,"")</f>
      </c>
      <c r="T26">
        <f>IF(S26="","",INT(S26/12)*2+IF(MOD(S26,12)&gt;=6,1,0))</f>
      </c>
      <c r="U26">
        <f>MAX(IF(V26=1,B26,0),IF(T26=T25,U25,0))</f>
      </c>
      <c r="V26">
        <f>IF(AND(S26&lt;&gt;"",ISNUMBER(B26)),IF(B26&gt;0,1,0),0)</f>
      </c>
      <c r="W26">
        <f>IF(ISNUMBER(C26),C26,0)</f>
      </c>
      <c r="X26">
        <f>IF(AND(V26=1,ISNUMBER(D26)),D26-M26,0)</f>
      </c>
      <c r="Y26">
        <f>IF(AND(V26=1,ISNUMBER(E26)),E26-N26,0)</f>
      </c>
      <c r="Z26">
        <f>IF(AND(V26=1,ISNUMBER(F26)),F26-O26,0)</f>
      </c>
      <c r="AA26">
        <f>IF(AND(V26=1,ISNUMBER(G26)),G26-P26,0)</f>
      </c>
      <c r="AB26">
        <f>COUNT(D26:G26)</f>
      </c>
      <c r="AC26">
        <f>IF(AND(V26=1,ISNUMBER(J26)),B26+W26-SUM(D26:I26)-J26,0)</f>
      </c>
      <c r="AD26">
        <f>IF(V26=1,22,"")</f>
      </c>
    </row>
    <row r="27" spans="1:30" x14ac:dyDescent="0.25">
      <c r="A27" s="26">
        <f>IF(S27="","",INDEX(IPC!$J$5:$J$16,MOD(S27,12)+1)&amp;" de "&amp;INT((S27)/12))</f>
      </c>
      <c r="B27" s="27"/>
      <c r="C27" s="27"/>
      <c r="D27" s="27"/>
      <c r="E27" s="27"/>
      <c r="F27" s="27"/>
      <c r="G27" s="27"/>
      <c r="H27" s="27"/>
      <c r="I27" s="27"/>
      <c r="J27" s="27"/>
      <c r="K27" s="28">
        <f>IF(V27=0,"",IF(AND(AB27=0,NOT(ISNUMBER(J27))),"Cargá los descuentos",IF(ABS(X27)&gt;1,"Revisar jubilación",IF(ABS(Y27)&gt;1,"Revisar Ley 19.032",IF(ABS(Z27)&gt;1,"Revisar obra social",IF(ABS(AA27)&gt;1,"Revisar cuota sindical",IF(ABS(AC27)&gt;1,"El neto no da con los descuentos","Cuadra")))))))</f>
      </c>
      <c r="L27" s="29">
        <f>IF(OR(V27=0,AB27=0),"",X27+Y27+Z27+AA27)</f>
      </c>
      <c r="M27" s="29">
        <f>IF(V27=1,MIN(B27,'Mis datos'!$B$24)*'Mis datos'!$B$21,"")</f>
      </c>
      <c r="N27" s="29">
        <f>IF(V27=1,MIN(B27,'Mis datos'!$B$24)*'Mis datos'!$B$22,"")</f>
      </c>
      <c r="O27" s="29">
        <f>IF(V27=1,MIN(B27,'Mis datos'!$B$24)*'Mis datos'!$B$23+IF('Mis datos'!$B$10="Sí",W27*'Mis datos'!$B$23,0),"")</f>
      </c>
      <c r="P27" s="29">
        <f>IF(V27=1,(B27+IF('Mis datos'!$B$11="Sí",W27,0))*'Mis datos'!$H$6,"")</f>
      </c>
      <c r="Q27" s="30">
        <f>IF(V27=1,B27+W27-M27-N27-O27-P27,"")</f>
      </c>
      <c r="S27">
        <f>IF(ISNUMBER('Mis datos'!$H$5),'Mis datos'!$H$5+22,"")</f>
      </c>
      <c r="T27">
        <f>IF(S27="","",INT(S27/12)*2+IF(MOD(S27,12)&gt;=6,1,0))</f>
      </c>
      <c r="U27">
        <f>MAX(IF(V27=1,B27,0),IF(T27=T26,U26,0))</f>
      </c>
      <c r="V27">
        <f>IF(AND(S27&lt;&gt;"",ISNUMBER(B27)),IF(B27&gt;0,1,0),0)</f>
      </c>
      <c r="W27">
        <f>IF(ISNUMBER(C27),C27,0)</f>
      </c>
      <c r="X27">
        <f>IF(AND(V27=1,ISNUMBER(D27)),D27-M27,0)</f>
      </c>
      <c r="Y27">
        <f>IF(AND(V27=1,ISNUMBER(E27)),E27-N27,0)</f>
      </c>
      <c r="Z27">
        <f>IF(AND(V27=1,ISNUMBER(F27)),F27-O27,0)</f>
      </c>
      <c r="AA27">
        <f>IF(AND(V27=1,ISNUMBER(G27)),G27-P27,0)</f>
      </c>
      <c r="AB27">
        <f>COUNT(D27:G27)</f>
      </c>
      <c r="AC27">
        <f>IF(AND(V27=1,ISNUMBER(J27)),B27+W27-SUM(D27:I27)-J27,0)</f>
      </c>
      <c r="AD27">
        <f>IF(V27=1,23,"")</f>
      </c>
    </row>
    <row r="28" spans="1:30" x14ac:dyDescent="0.25">
      <c r="A28" s="31">
        <f>IF(S28="","",INDEX(IPC!$J$5:$J$16,MOD(S28,12)+1)&amp;" de "&amp;INT((S28)/12))</f>
      </c>
      <c r="B28" s="27"/>
      <c r="C28" s="27"/>
      <c r="D28" s="27"/>
      <c r="E28" s="27"/>
      <c r="F28" s="27"/>
      <c r="G28" s="27"/>
      <c r="H28" s="27"/>
      <c r="I28" s="27"/>
      <c r="J28" s="27"/>
      <c r="K28" s="28">
        <f>IF(V28=0,"",IF(AND(AB28=0,NOT(ISNUMBER(J28))),"Cargá los descuentos",IF(ABS(X28)&gt;1,"Revisar jubilación",IF(ABS(Y28)&gt;1,"Revisar Ley 19.032",IF(ABS(Z28)&gt;1,"Revisar obra social",IF(ABS(AA28)&gt;1,"Revisar cuota sindical",IF(ABS(AC28)&gt;1,"El neto no da con los descuentos","Cuadra")))))))</f>
      </c>
      <c r="L28" s="29">
        <f>IF(OR(V28=0,AB28=0),"",X28+Y28+Z28+AA28)</f>
      </c>
      <c r="M28" s="29">
        <f>IF(V28=1,MIN(B28,'Mis datos'!$B$24)*'Mis datos'!$B$21,"")</f>
      </c>
      <c r="N28" s="29">
        <f>IF(V28=1,MIN(B28,'Mis datos'!$B$24)*'Mis datos'!$B$22,"")</f>
      </c>
      <c r="O28" s="29">
        <f>IF(V28=1,MIN(B28,'Mis datos'!$B$24)*'Mis datos'!$B$23+IF('Mis datos'!$B$10="Sí",W28*'Mis datos'!$B$23,0),"")</f>
      </c>
      <c r="P28" s="29">
        <f>IF(V28=1,(B28+IF('Mis datos'!$B$11="Sí",W28,0))*'Mis datos'!$H$6,"")</f>
      </c>
      <c r="Q28" s="30">
        <f>IF(V28=1,B28+W28-M28-N28-O28-P28,"")</f>
      </c>
      <c r="S28">
        <f>IF(ISNUMBER('Mis datos'!$H$5),'Mis datos'!$H$5+23,"")</f>
      </c>
      <c r="T28">
        <f>IF(S28="","",INT(S28/12)*2+IF(MOD(S28,12)&gt;=6,1,0))</f>
      </c>
      <c r="U28">
        <f>MAX(IF(V28=1,B28,0),IF(T28=T27,U27,0))</f>
      </c>
      <c r="V28">
        <f>IF(AND(S28&lt;&gt;"",ISNUMBER(B28)),IF(B28&gt;0,1,0),0)</f>
      </c>
      <c r="W28">
        <f>IF(ISNUMBER(C28),C28,0)</f>
      </c>
      <c r="X28">
        <f>IF(AND(V28=1,ISNUMBER(D28)),D28-M28,0)</f>
      </c>
      <c r="Y28">
        <f>IF(AND(V28=1,ISNUMBER(E28)),E28-N28,0)</f>
      </c>
      <c r="Z28">
        <f>IF(AND(V28=1,ISNUMBER(F28)),F28-O28,0)</f>
      </c>
      <c r="AA28">
        <f>IF(AND(V28=1,ISNUMBER(G28)),G28-P28,0)</f>
      </c>
      <c r="AB28">
        <f>COUNT(D28:G28)</f>
      </c>
      <c r="AC28">
        <f>IF(AND(V28=1,ISNUMBER(J28)),B28+W28-SUM(D28:I28)-J28,0)</f>
      </c>
      <c r="AD28">
        <f>IF(V28=1,24,"")</f>
      </c>
    </row>
    <row r="30" ht="44" customHeight="1" spans="1:17" x14ac:dyDescent="0.25">
      <c r="A30" s="9" t="s">
        <v>85</v>
      </c>
      <c r="B30" s="9"/>
      <c r="C30" s="9"/>
      <c r="D30" s="9"/>
      <c r="E30" s="9"/>
      <c r="F30" s="9"/>
      <c r="G30" s="9"/>
      <c r="H30" s="9"/>
      <c r="I30" s="9"/>
      <c r="J30" s="9"/>
      <c r="K30" s="9"/>
      <c r="L30" s="9"/>
      <c r="M30" s="9"/>
      <c r="N30" s="9"/>
      <c r="O30" s="9"/>
      <c r="P30" s="9"/>
      <c r="Q30" s="9"/>
    </row>
  </sheetData>
  <sheetProtection sheet="1" formatColumns="0" formatRows="0"/>
  <mergeCells count="6">
    <mergeCell ref="A1:Q1"/>
    <mergeCell ref="A2:Q2"/>
    <mergeCell ref="B3:J3"/>
    <mergeCell ref="K3:L3"/>
    <mergeCell ref="M3:Q3"/>
    <mergeCell ref="A30:Q30"/>
  </mergeCells>
  <conditionalFormatting sqref="K5:K28">
    <cfRule type="containsText" dxfId="0" priority="1">
      <formula>NOT(ISERROR(SEARCH("Revisar",K5)))</formula>
    </cfRule>
    <cfRule type="containsText" dxfId="1" priority="2">
      <formula>NOT(ISERROR(SEARCH("neto",K5)))</formula>
    </cfRule>
    <cfRule type="containsText" dxfId="2" priority="3">
      <formula>NOT(ISERROR(SEARCH("Cuadra",K5)))</formula>
    </cfRule>
  </conditionalFormatting>
  <dataValidations count="2">
    <dataValidation type="decimal" allowBlank="1" showErrorMessage="1" error="Cargá el importe tal cual figura en el recibo, sin puntos ni signo $." sqref="B10:J28">
      <formula1>0</formula1>
      <formula2>10000000000</formula2>
    </dataValidation>
    <dataValidation type="decimal" allowBlank="1" showErrorMessage="1" error="Cargá el importe tal cual figura en el recibo, sin puntos ni signo $." sqref="B5:J28">
      <formula1>0</formula1>
      <formula2>10000000000</formula2>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N34"/>
  <sheetViews>
    <sheetView workbookViewId="0">
      <pane xSplit="1" ySplit="4" topLeftCell="B5" activePane="bottomRight" state="frozen"/>
      <selection pane="bottomRight"/>
    </sheetView>
  </sheetViews>
  <sheetFormatPr defaultRowHeight="15" outlineLevelRow="0" outlineLevelCol="0" x14ac:dyDescent="55"/>
  <cols>
    <col min="1" max="1" width="21" customWidth="1"/>
    <col min="2" max="2" width="17" customWidth="1"/>
    <col min="3" max="4" width="15" customWidth="1"/>
    <col min="5" max="6" width="22" customWidth="1"/>
    <col min="8" max="8" width="9" hidden="1" customWidth="1"/>
    <col min="9" max="9" width="9" hidden="1" customWidth="1"/>
    <col min="10" max="10" width="9" hidden="1" customWidth="1"/>
    <col min="11" max="11" width="9" hidden="1" customWidth="1"/>
    <col min="12" max="12" width="9" hidden="1" customWidth="1"/>
    <col min="13" max="13" width="9" hidden="1" customWidth="1"/>
    <col min="14" max="14" width="9" hidden="1" customWidth="1"/>
  </cols>
  <sheetData>
    <row r="1" ht="28" customHeight="1" spans="1:6" x14ac:dyDescent="0.25">
      <c r="A1" s="32" t="s">
        <v>86</v>
      </c>
      <c r="B1" s="32"/>
      <c r="C1" s="32"/>
      <c r="D1" s="32"/>
      <c r="E1" s="32"/>
      <c r="F1" s="32"/>
    </row>
    <row r="2" ht="30" customHeight="1" spans="1:6" x14ac:dyDescent="0.25">
      <c r="A2" s="10">
        <f>"Cada sueldo llevado a pesos de "&amp;INDEX(IPC!$J$5:$J$16,MOD(IPC!$J$3,12)+1)&amp;" de "&amp;INT((IPC!$J$3)/12)&amp;", el último IPC publicado por el INDEC. Si la columna E baja, tu sueldo compra menos que antes."</f>
      </c>
      <c r="B2" s="10"/>
      <c r="C2" s="10"/>
      <c r="D2" s="10"/>
      <c r="E2" s="10"/>
      <c r="F2" s="10"/>
    </row>
    <row r="4" ht="34" customHeight="1" spans="1:6" x14ac:dyDescent="0.25">
      <c r="A4" s="33" t="s">
        <v>70</v>
      </c>
      <c r="B4" s="33" t="s">
        <v>87</v>
      </c>
      <c r="C4" s="33" t="s">
        <v>88</v>
      </c>
      <c r="D4" s="33" t="s">
        <v>89</v>
      </c>
      <c r="E4" s="33">
        <f>"En pesos de "&amp;INDEX(IPC!$J$5:$J$16,MOD(IPC!$J$3,12)+1)&amp;" de "&amp;INT((IPC!$J$3)/12)</f>
      </c>
      <c r="F4" s="33" t="s">
        <v>90</v>
      </c>
    </row>
    <row r="5" spans="1:14" x14ac:dyDescent="0.25">
      <c r="A5" s="34">
        <f>'Mis recibos'!A5</f>
      </c>
      <c r="B5" s="35">
        <f>IF('Mis recibos'!V5=1,IF('Mis datos'!$B$12="Lo que cobré en mano",IF(ISNUMBER('Mis recibos'!J5),'Mis recibos'!J5,""),'Mis recibos'!B5+'Mis recibos'!W5),"")</f>
      </c>
      <c r="C5" s="36">
        <f>""</f>
      </c>
      <c r="D5" s="36">
        <f>IF(AND(ISNUMBER(H5),'Mis recibos'!S5&gt;IPC!$J$2),H5/INDEX(IPC!$D$5:$D$197,('Mis recibos'!S5-1)-IPC!$J$2+1)-1,"")</f>
      </c>
      <c r="E5" s="35">
        <f>IF(AND(ISNUMBER(B5),ISNUMBER(H5)),B5*INDEX(IPC!$D$5:$D$197,(IPC!$J$3)-IPC!$J$2+1)/H5,"")</f>
      </c>
      <c r="F5" s="36">
        <f>IF(AND(ISNUMBER(E5),ISNUMBER(N25)),E5/N25-1,"")</f>
      </c>
      <c r="H5">
        <f>IF('Mis recibos'!S5="","",IF(OR('Mis recibos'!S5&gt;IPC!$J$3,'Mis recibos'!S5&lt;IPC!$J$2),"",INDEX(IPC!$D$5:$D$197,('Mis recibos'!S5)-IPC!$J$2+1)))</f>
      </c>
      <c r="I5">
        <f>IF(ISNUMBER(B5),1,"")</f>
      </c>
      <c r="J5">
        <f>""</f>
      </c>
      <c r="K5">
        <f>IF(ISNUMBER(E5),1,"")</f>
      </c>
      <c r="N5">
        <f>MAX(I5:I28)</f>
      </c>
    </row>
    <row r="6" spans="1:14" x14ac:dyDescent="0.25">
      <c r="A6" s="34">
        <f>'Mis recibos'!A6</f>
      </c>
      <c r="B6" s="35">
        <f>IF('Mis recibos'!V6=1,IF('Mis datos'!$B$12="Lo que cobré en mano",IF(ISNUMBER('Mis recibos'!J6),'Mis recibos'!J6,""),'Mis recibos'!B6+'Mis recibos'!W6),"")</f>
      </c>
      <c r="C6" s="36">
        <f>IF(AND(ISNUMBER(B6),ISNUMBER(B5)),B6/B5-1,"")</f>
      </c>
      <c r="D6" s="36">
        <f>IF(AND(ISNUMBER(H6),'Mis recibos'!S6&gt;IPC!$J$2),H6/INDEX(IPC!$D$5:$D$197,('Mis recibos'!S6-1)-IPC!$J$2+1)-1,"")</f>
      </c>
      <c r="E6" s="35">
        <f>IF(AND(ISNUMBER(B6),ISNUMBER(H6)),B6*INDEX(IPC!$D$5:$D$197,(IPC!$J$3)-IPC!$J$2+1)/H6,"")</f>
      </c>
      <c r="F6" s="36">
        <f>IF(AND(ISNUMBER(E6),ISNUMBER(N25)),E6/N25-1,"")</f>
      </c>
      <c r="H6">
        <f>IF('Mis recibos'!S6="","",IF(OR('Mis recibos'!S6&gt;IPC!$J$3,'Mis recibos'!S6&lt;IPC!$J$2),"",INDEX(IPC!$D$5:$D$197,('Mis recibos'!S6)-IPC!$J$2+1)))</f>
      </c>
      <c r="I6">
        <f>IF(ISNUMBER(B6),2,"")</f>
      </c>
      <c r="J6">
        <f>IF(AND(ISNUMBER(B6),ISNUMBER(B5)),IF(B6&gt;B5+0.5,2,""),"")</f>
      </c>
      <c r="K6">
        <f>IF(ISNUMBER(E6),2,"")</f>
      </c>
      <c r="N6">
        <f>MAX(J5:J28)</f>
      </c>
    </row>
    <row r="7" spans="1:14" x14ac:dyDescent="0.25">
      <c r="A7" s="34">
        <f>'Mis recibos'!A7</f>
      </c>
      <c r="B7" s="35">
        <f>IF('Mis recibos'!V7=1,IF('Mis datos'!$B$12="Lo que cobré en mano",IF(ISNUMBER('Mis recibos'!J7),'Mis recibos'!J7,""),'Mis recibos'!B7+'Mis recibos'!W7),"")</f>
      </c>
      <c r="C7" s="36">
        <f>IF(AND(ISNUMBER(B7),ISNUMBER(B6)),B7/B6-1,"")</f>
      </c>
      <c r="D7" s="36">
        <f>IF(AND(ISNUMBER(H7),'Mis recibos'!S7&gt;IPC!$J$2),H7/INDEX(IPC!$D$5:$D$197,('Mis recibos'!S7-1)-IPC!$J$2+1)-1,"")</f>
      </c>
      <c r="E7" s="35">
        <f>IF(AND(ISNUMBER(B7),ISNUMBER(H7)),B7*INDEX(IPC!$D$5:$D$197,(IPC!$J$3)-IPC!$J$2+1)/H7,"")</f>
      </c>
      <c r="F7" s="36">
        <f>IF(AND(ISNUMBER(E7),ISNUMBER(N25)),E7/N25-1,"")</f>
      </c>
      <c r="H7">
        <f>IF('Mis recibos'!S7="","",IF(OR('Mis recibos'!S7&gt;IPC!$J$3,'Mis recibos'!S7&lt;IPC!$J$2),"",INDEX(IPC!$D$5:$D$197,('Mis recibos'!S7)-IPC!$J$2+1)))</f>
      </c>
      <c r="I7">
        <f>IF(ISNUMBER(B7),3,"")</f>
      </c>
      <c r="J7">
        <f>IF(AND(ISNUMBER(B7),ISNUMBER(B6)),IF(B7&gt;B6+0.5,3,""),"")</f>
      </c>
      <c r="K7">
        <f>IF(ISNUMBER(E7),3,"")</f>
      </c>
      <c r="N7">
        <f>IF(COUNT(I5:I28)=0,0,MIN(I5:I28))</f>
      </c>
    </row>
    <row r="8" spans="1:14" x14ac:dyDescent="0.25">
      <c r="A8" s="34">
        <f>'Mis recibos'!A8</f>
      </c>
      <c r="B8" s="35">
        <f>IF('Mis recibos'!V8=1,IF('Mis datos'!$B$12="Lo que cobré en mano",IF(ISNUMBER('Mis recibos'!J8),'Mis recibos'!J8,""),'Mis recibos'!B8+'Mis recibos'!W8),"")</f>
      </c>
      <c r="C8" s="36">
        <f>IF(AND(ISNUMBER(B8),ISNUMBER(B7)),B8/B7-1,"")</f>
      </c>
      <c r="D8" s="36">
        <f>IF(AND(ISNUMBER(H8),'Mis recibos'!S8&gt;IPC!$J$2),H8/INDEX(IPC!$D$5:$D$197,('Mis recibos'!S8-1)-IPC!$J$2+1)-1,"")</f>
      </c>
      <c r="E8" s="35">
        <f>IF(AND(ISNUMBER(B8),ISNUMBER(H8)),B8*INDEX(IPC!$D$5:$D$197,(IPC!$J$3)-IPC!$J$2+1)/H8,"")</f>
      </c>
      <c r="F8" s="36">
        <f>IF(AND(ISNUMBER(E8),ISNUMBER(N25)),E8/N25-1,"")</f>
      </c>
      <c r="H8">
        <f>IF('Mis recibos'!S8="","",IF(OR('Mis recibos'!S8&gt;IPC!$J$3,'Mis recibos'!S8&lt;IPC!$J$2),"",INDEX(IPC!$D$5:$D$197,('Mis recibos'!S8)-IPC!$J$2+1)))</f>
      </c>
      <c r="I8">
        <f>IF(ISNUMBER(B8),4,"")</f>
      </c>
      <c r="J8">
        <f>IF(AND(ISNUMBER(B8),ISNUMBER(B7)),IF(B8&gt;B7+0.5,4,""),"")</f>
      </c>
      <c r="K8">
        <f>IF(ISNUMBER(E8),4,"")</f>
      </c>
      <c r="N8">
        <f>IF(N6&gt;0,N6,N7)</f>
      </c>
    </row>
    <row r="9" spans="1:14" x14ac:dyDescent="0.25">
      <c r="A9" s="34">
        <f>'Mis recibos'!A9</f>
      </c>
      <c r="B9" s="35">
        <f>IF('Mis recibos'!V9=1,IF('Mis datos'!$B$12="Lo que cobré en mano",IF(ISNUMBER('Mis recibos'!J9),'Mis recibos'!J9,""),'Mis recibos'!B9+'Mis recibos'!W9),"")</f>
      </c>
      <c r="C9" s="36">
        <f>IF(AND(ISNUMBER(B9),ISNUMBER(B8)),B9/B8-1,"")</f>
      </c>
      <c r="D9" s="36">
        <f>IF(AND(ISNUMBER(H9),'Mis recibos'!S9&gt;IPC!$J$2),H9/INDEX(IPC!$D$5:$D$197,('Mis recibos'!S9-1)-IPC!$J$2+1)-1,"")</f>
      </c>
      <c r="E9" s="35">
        <f>IF(AND(ISNUMBER(B9),ISNUMBER(H9)),B9*INDEX(IPC!$D$5:$D$197,(IPC!$J$3)-IPC!$J$2+1)/H9,"")</f>
      </c>
      <c r="F9" s="36">
        <f>IF(AND(ISNUMBER(E9),ISNUMBER(N25)),E9/N25-1,"")</f>
      </c>
      <c r="H9">
        <f>IF('Mis recibos'!S9="","",IF(OR('Mis recibos'!S9&gt;IPC!$J$3,'Mis recibos'!S9&lt;IPC!$J$2),"",INDEX(IPC!$D$5:$D$197,('Mis recibos'!S9)-IPC!$J$2+1)))</f>
      </c>
      <c r="I9">
        <f>IF(ISNUMBER(B9),5,"")</f>
      </c>
      <c r="J9">
        <f>IF(AND(ISNUMBER(B9),ISNUMBER(B8)),IF(B9&gt;B8+0.5,5,""),"")</f>
      </c>
      <c r="K9">
        <f>IF(ISNUMBER(E9),5,"")</f>
      </c>
      <c r="N9">
        <f>IF(N5&gt;0,INDEX(B5:B28,N5),"")</f>
      </c>
    </row>
    <row r="10" spans="1:14" x14ac:dyDescent="0.25">
      <c r="A10" s="34">
        <f>'Mis recibos'!A10</f>
      </c>
      <c r="B10" s="35">
        <f>IF('Mis recibos'!V10=1,IF('Mis datos'!$B$12="Lo que cobré en mano",IF(ISNUMBER('Mis recibos'!J10),'Mis recibos'!J10,""),'Mis recibos'!B10+'Mis recibos'!W10),"")</f>
      </c>
      <c r="C10" s="36">
        <f>IF(AND(ISNUMBER(B10),ISNUMBER(B9)),B10/B9-1,"")</f>
      </c>
      <c r="D10" s="36">
        <f>IF(AND(ISNUMBER(H10),'Mis recibos'!S10&gt;IPC!$J$2),H10/INDEX(IPC!$D$5:$D$197,('Mis recibos'!S10-1)-IPC!$J$2+1)-1,"")</f>
      </c>
      <c r="E10" s="35">
        <f>IF(AND(ISNUMBER(B10),ISNUMBER(H10)),B10*INDEX(IPC!$D$5:$D$197,(IPC!$J$3)-IPC!$J$2+1)/H10,"")</f>
      </c>
      <c r="F10" s="36">
        <f>IF(AND(ISNUMBER(E10),ISNUMBER(N25)),E10/N25-1,"")</f>
      </c>
      <c r="H10">
        <f>IF('Mis recibos'!S10="","",IF(OR('Mis recibos'!S10&gt;IPC!$J$3,'Mis recibos'!S10&lt;IPC!$J$2),"",INDEX(IPC!$D$5:$D$197,('Mis recibos'!S10)-IPC!$J$2+1)))</f>
      </c>
      <c r="I10">
        <f>IF(ISNUMBER(B10),6,"")</f>
      </c>
      <c r="J10">
        <f>IF(AND(ISNUMBER(B10),ISNUMBER(B9)),IF(B10&gt;B9+0.5,6,""),"")</f>
      </c>
      <c r="K10">
        <f>IF(ISNUMBER(E10),6,"")</f>
      </c>
      <c r="N10">
        <f>IF(N8&gt;0,INDEX(B5:B28,N8),"")</f>
      </c>
    </row>
    <row r="11" spans="1:14" x14ac:dyDescent="0.25">
      <c r="A11" s="34">
        <f>'Mis recibos'!A11</f>
      </c>
      <c r="B11" s="35">
        <f>IF('Mis recibos'!V11=1,IF('Mis datos'!$B$12="Lo que cobré en mano",IF(ISNUMBER('Mis recibos'!J11),'Mis recibos'!J11,""),'Mis recibos'!B11+'Mis recibos'!W11),"")</f>
      </c>
      <c r="C11" s="36">
        <f>IF(AND(ISNUMBER(B11),ISNUMBER(B10)),B11/B10-1,"")</f>
      </c>
      <c r="D11" s="36">
        <f>IF(AND(ISNUMBER(H11),'Mis recibos'!S11&gt;IPC!$J$2),H11/INDEX(IPC!$D$5:$D$197,('Mis recibos'!S11-1)-IPC!$J$2+1)-1,"")</f>
      </c>
      <c r="E11" s="35">
        <f>IF(AND(ISNUMBER(B11),ISNUMBER(H11)),B11*INDEX(IPC!$D$5:$D$197,(IPC!$J$3)-IPC!$J$2+1)/H11,"")</f>
      </c>
      <c r="F11" s="36">
        <f>IF(AND(ISNUMBER(E11),ISNUMBER(N25)),E11/N25-1,"")</f>
      </c>
      <c r="H11">
        <f>IF('Mis recibos'!S11="","",IF(OR('Mis recibos'!S11&gt;IPC!$J$3,'Mis recibos'!S11&lt;IPC!$J$2),"",INDEX(IPC!$D$5:$D$197,('Mis recibos'!S11)-IPC!$J$2+1)))</f>
      </c>
      <c r="I11">
        <f>IF(ISNUMBER(B11),7,"")</f>
      </c>
      <c r="J11">
        <f>IF(AND(ISNUMBER(B11),ISNUMBER(B10)),IF(B11&gt;B10+0.5,7,""),"")</f>
      </c>
      <c r="K11">
        <f>IF(ISNUMBER(E11),7,"")</f>
      </c>
      <c r="N11">
        <f>IF(N8&gt;0,INDEX('Mis recibos'!$S$5:$S$28,N8),"")</f>
      </c>
    </row>
    <row r="12" spans="1:14" x14ac:dyDescent="0.25">
      <c r="A12" s="34">
        <f>'Mis recibos'!A12</f>
      </c>
      <c r="B12" s="35">
        <f>IF('Mis recibos'!V12=1,IF('Mis datos'!$B$12="Lo que cobré en mano",IF(ISNUMBER('Mis recibos'!J12),'Mis recibos'!J12,""),'Mis recibos'!B12+'Mis recibos'!W12),"")</f>
      </c>
      <c r="C12" s="36">
        <f>IF(AND(ISNUMBER(B12),ISNUMBER(B11)),B12/B11-1,"")</f>
      </c>
      <c r="D12" s="36">
        <f>IF(AND(ISNUMBER(H12),'Mis recibos'!S12&gt;IPC!$J$2),H12/INDEX(IPC!$D$5:$D$197,('Mis recibos'!S12-1)-IPC!$J$2+1)-1,"")</f>
      </c>
      <c r="E12" s="35">
        <f>IF(AND(ISNUMBER(B12),ISNUMBER(H12)),B12*INDEX(IPC!$D$5:$D$197,(IPC!$J$3)-IPC!$J$2+1)/H12,"")</f>
      </c>
      <c r="F12" s="36">
        <f>IF(AND(ISNUMBER(E12),ISNUMBER(N25)),E12/N25-1,"")</f>
      </c>
      <c r="H12">
        <f>IF('Mis recibos'!S12="","",IF(OR('Mis recibos'!S12&gt;IPC!$J$3,'Mis recibos'!S12&lt;IPC!$J$2),"",INDEX(IPC!$D$5:$D$197,('Mis recibos'!S12)-IPC!$J$2+1)))</f>
      </c>
      <c r="I12">
        <f>IF(ISNUMBER(B12),8,"")</f>
      </c>
      <c r="J12">
        <f>IF(AND(ISNUMBER(B12),ISNUMBER(B11)),IF(B12&gt;B11+0.5,8,""),"")</f>
      </c>
      <c r="K12">
        <f>IF(ISNUMBER(E12),8,"")</f>
      </c>
      <c r="N12">
        <f>IF(N5&gt;0,INDEX('Mis recibos'!$S$5:$S$28,N5),"")</f>
      </c>
    </row>
    <row r="13" spans="1:14" x14ac:dyDescent="0.25">
      <c r="A13" s="34">
        <f>'Mis recibos'!A13</f>
      </c>
      <c r="B13" s="35">
        <f>IF('Mis recibos'!V13=1,IF('Mis datos'!$B$12="Lo que cobré en mano",IF(ISNUMBER('Mis recibos'!J13),'Mis recibos'!J13,""),'Mis recibos'!B13+'Mis recibos'!W13),"")</f>
      </c>
      <c r="C13" s="36">
        <f>IF(AND(ISNUMBER(B13),ISNUMBER(B12)),B13/B12-1,"")</f>
      </c>
      <c r="D13" s="36">
        <f>IF(AND(ISNUMBER(H13),'Mis recibos'!S13&gt;IPC!$J$2),H13/INDEX(IPC!$D$5:$D$197,('Mis recibos'!S13-1)-IPC!$J$2+1)-1,"")</f>
      </c>
      <c r="E13" s="35">
        <f>IF(AND(ISNUMBER(B13),ISNUMBER(H13)),B13*INDEX(IPC!$D$5:$D$197,(IPC!$J$3)-IPC!$J$2+1)/H13,"")</f>
      </c>
      <c r="F13" s="36">
        <f>IF(AND(ISNUMBER(E13),ISNUMBER(N25)),E13/N25-1,"")</f>
      </c>
      <c r="H13">
        <f>IF('Mis recibos'!S13="","",IF(OR('Mis recibos'!S13&gt;IPC!$J$3,'Mis recibos'!S13&lt;IPC!$J$2),"",INDEX(IPC!$D$5:$D$197,('Mis recibos'!S13)-IPC!$J$2+1)))</f>
      </c>
      <c r="I13">
        <f>IF(ISNUMBER(B13),9,"")</f>
      </c>
      <c r="J13">
        <f>IF(AND(ISNUMBER(B13),ISNUMBER(B12)),IF(B13&gt;B12+0.5,9,""),"")</f>
      </c>
      <c r="K13">
        <f>IF(ISNUMBER(E13),9,"")</f>
      </c>
      <c r="N13">
        <f>IPC!$J$3</f>
      </c>
    </row>
    <row r="14" spans="1:14" x14ac:dyDescent="0.25">
      <c r="A14" s="34">
        <f>'Mis recibos'!A14</f>
      </c>
      <c r="B14" s="35">
        <f>IF('Mis recibos'!V14=1,IF('Mis datos'!$B$12="Lo que cobré en mano",IF(ISNUMBER('Mis recibos'!J14),'Mis recibos'!J14,""),'Mis recibos'!B14+'Mis recibos'!W14),"")</f>
      </c>
      <c r="C14" s="36">
        <f>IF(AND(ISNUMBER(B14),ISNUMBER(B13)),B14/B13-1,"")</f>
      </c>
      <c r="D14" s="36">
        <f>IF(AND(ISNUMBER(H14),'Mis recibos'!S14&gt;IPC!$J$2),H14/INDEX(IPC!$D$5:$D$197,('Mis recibos'!S14-1)-IPC!$J$2+1)-1,"")</f>
      </c>
      <c r="E14" s="35">
        <f>IF(AND(ISNUMBER(B14),ISNUMBER(H14)),B14*INDEX(IPC!$D$5:$D$197,(IPC!$J$3)-IPC!$J$2+1)/H14,"")</f>
      </c>
      <c r="F14" s="36">
        <f>IF(AND(ISNUMBER(E14),ISNUMBER(N25)),E14/N25-1,"")</f>
      </c>
      <c r="H14">
        <f>IF('Mis recibos'!S14="","",IF(OR('Mis recibos'!S14&gt;IPC!$J$3,'Mis recibos'!S14&lt;IPC!$J$2),"",INDEX(IPC!$D$5:$D$197,('Mis recibos'!S14)-IPC!$J$2+1)))</f>
      </c>
      <c r="I14">
        <f>IF(ISNUMBER(B14),10,"")</f>
      </c>
      <c r="J14">
        <f>IF(AND(ISNUMBER(B14),ISNUMBER(B13)),IF(B14&gt;B13+0.5,10,""),"")</f>
      </c>
      <c r="K14">
        <f>IF(ISNUMBER(E14),10,"")</f>
      </c>
      <c r="N14">
        <f>IF(ISNUMBER(N11),IF(AND(N11&lt;=N13,N11&gt;=IPC!$J$2),INDEX(IPC!$D$5:$D$197,(N13)-IPC!$J$2+1)/INDEX(IPC!$D$5:$D$197,(N11)-IPC!$J$2+1),""),"")</f>
      </c>
    </row>
    <row r="15" spans="1:14" x14ac:dyDescent="0.25">
      <c r="A15" s="34">
        <f>'Mis recibos'!A15</f>
      </c>
      <c r="B15" s="35">
        <f>IF('Mis recibos'!V15=1,IF('Mis datos'!$B$12="Lo que cobré en mano",IF(ISNUMBER('Mis recibos'!J15),'Mis recibos'!J15,""),'Mis recibos'!B15+'Mis recibos'!W15),"")</f>
      </c>
      <c r="C15" s="36">
        <f>IF(AND(ISNUMBER(B15),ISNUMBER(B14)),B15/B14-1,"")</f>
      </c>
      <c r="D15" s="36">
        <f>IF(AND(ISNUMBER(H15),'Mis recibos'!S15&gt;IPC!$J$2),H15/INDEX(IPC!$D$5:$D$197,('Mis recibos'!S15-1)-IPC!$J$2+1)-1,"")</f>
      </c>
      <c r="E15" s="35">
        <f>IF(AND(ISNUMBER(B15),ISNUMBER(H15)),B15*INDEX(IPC!$D$5:$D$197,(IPC!$J$3)-IPC!$J$2+1)/H15,"")</f>
      </c>
      <c r="F15" s="36">
        <f>IF(AND(ISNUMBER(E15),ISNUMBER(N25)),E15/N25-1,"")</f>
      </c>
      <c r="H15">
        <f>IF('Mis recibos'!S15="","",IF(OR('Mis recibos'!S15&gt;IPC!$J$3,'Mis recibos'!S15&lt;IPC!$J$2),"",INDEX(IPC!$D$5:$D$197,('Mis recibos'!S15)-IPC!$J$2+1)))</f>
      </c>
      <c r="I15">
        <f>IF(ISNUMBER(B15),11,"")</f>
      </c>
      <c r="J15">
        <f>IF(AND(ISNUMBER(B15),ISNUMBER(B14)),IF(B15&gt;B14+0.5,11,""),"")</f>
      </c>
      <c r="K15">
        <f>IF(ISNUMBER(E15),11,"")</f>
      </c>
      <c r="N15">
        <f>IF(ISNUMBER(N14),N9/(N10*N14)-1,"")</f>
      </c>
    </row>
    <row r="16" spans="1:14" x14ac:dyDescent="0.25">
      <c r="A16" s="34">
        <f>'Mis recibos'!A16</f>
      </c>
      <c r="B16" s="35">
        <f>IF('Mis recibos'!V16=1,IF('Mis datos'!$B$12="Lo que cobré en mano",IF(ISNUMBER('Mis recibos'!J16),'Mis recibos'!J16,""),'Mis recibos'!B16+'Mis recibos'!W16),"")</f>
      </c>
      <c r="C16" s="36">
        <f>IF(AND(ISNUMBER(B16),ISNUMBER(B15)),B16/B15-1,"")</f>
      </c>
      <c r="D16" s="36">
        <f>IF(AND(ISNUMBER(H16),'Mis recibos'!S16&gt;IPC!$J$2),H16/INDEX(IPC!$D$5:$D$197,('Mis recibos'!S16-1)-IPC!$J$2+1)-1,"")</f>
      </c>
      <c r="E16" s="35">
        <f>IF(AND(ISNUMBER(B16),ISNUMBER(H16)),B16*INDEX(IPC!$D$5:$D$197,(IPC!$J$3)-IPC!$J$2+1)/H16,"")</f>
      </c>
      <c r="F16" s="36">
        <f>IF(AND(ISNUMBER(E16),ISNUMBER(N25)),E16/N25-1,"")</f>
      </c>
      <c r="H16">
        <f>IF('Mis recibos'!S16="","",IF(OR('Mis recibos'!S16&gt;IPC!$J$3,'Mis recibos'!S16&lt;IPC!$J$2),"",INDEX(IPC!$D$5:$D$197,('Mis recibos'!S16)-IPC!$J$2+1)))</f>
      </c>
      <c r="I16">
        <f>IF(ISNUMBER(B16),12,"")</f>
      </c>
      <c r="J16">
        <f>IF(AND(ISNUMBER(B16),ISNUMBER(B15)),IF(B16&gt;B15+0.5,12,""),"")</f>
      </c>
      <c r="K16">
        <f>IF(ISNUMBER(E16),12,"")</f>
      </c>
      <c r="N16">
        <f>IF(ISNUMBER(N14),MAX(0,N10*N14/N9-1),"")</f>
      </c>
    </row>
    <row r="17" spans="1:14" x14ac:dyDescent="0.25">
      <c r="A17" s="34">
        <f>'Mis recibos'!A17</f>
      </c>
      <c r="B17" s="35">
        <f>IF('Mis recibos'!V17=1,IF('Mis datos'!$B$12="Lo que cobré en mano",IF(ISNUMBER('Mis recibos'!J17),'Mis recibos'!J17,""),'Mis recibos'!B17+'Mis recibos'!W17),"")</f>
      </c>
      <c r="C17" s="36">
        <f>IF(AND(ISNUMBER(B17),ISNUMBER(B16)),B17/B16-1,"")</f>
      </c>
      <c r="D17" s="36">
        <f>IF(AND(ISNUMBER(H17),'Mis recibos'!S17&gt;IPC!$J$2),H17/INDEX(IPC!$D$5:$D$197,('Mis recibos'!S17-1)-IPC!$J$2+1)-1,"")</f>
      </c>
      <c r="E17" s="35">
        <f>IF(AND(ISNUMBER(B17),ISNUMBER(H17)),B17*INDEX(IPC!$D$5:$D$197,(IPC!$J$3)-IPC!$J$2+1)/H17,"")</f>
      </c>
      <c r="F17" s="36">
        <f>IF(AND(ISNUMBER(E17),ISNUMBER(N25)),E17/N25-1,"")</f>
      </c>
      <c r="H17">
        <f>IF('Mis recibos'!S17="","",IF(OR('Mis recibos'!S17&gt;IPC!$J$3,'Mis recibos'!S17&lt;IPC!$J$2),"",INDEX(IPC!$D$5:$D$197,('Mis recibos'!S17)-IPC!$J$2+1)))</f>
      </c>
      <c r="I17">
        <f>IF(ISNUMBER(B17),13,"")</f>
      </c>
      <c r="J17">
        <f>IF(AND(ISNUMBER(B17),ISNUMBER(B16)),IF(B17&gt;B16+0.5,13,""),"")</f>
      </c>
      <c r="K17">
        <f>IF(ISNUMBER(E17),13,"")</f>
      </c>
      <c r="N17">
        <f>IF(ISNUMBER(N14),N10*N14,"")</f>
      </c>
    </row>
    <row r="18" spans="1:14" x14ac:dyDescent="0.25">
      <c r="A18" s="34">
        <f>'Mis recibos'!A18</f>
      </c>
      <c r="B18" s="35">
        <f>IF('Mis recibos'!V18=1,IF('Mis datos'!$B$12="Lo que cobré en mano",IF(ISNUMBER('Mis recibos'!J18),'Mis recibos'!J18,""),'Mis recibos'!B18+'Mis recibos'!W18),"")</f>
      </c>
      <c r="C18" s="36">
        <f>IF(AND(ISNUMBER(B18),ISNUMBER(B17)),B18/B17-1,"")</f>
      </c>
      <c r="D18" s="36">
        <f>IF(AND(ISNUMBER(H18),'Mis recibos'!S18&gt;IPC!$J$2),H18/INDEX(IPC!$D$5:$D$197,('Mis recibos'!S18-1)-IPC!$J$2+1)-1,"")</f>
      </c>
      <c r="E18" s="35">
        <f>IF(AND(ISNUMBER(B18),ISNUMBER(H18)),B18*INDEX(IPC!$D$5:$D$197,(IPC!$J$3)-IPC!$J$2+1)/H18,"")</f>
      </c>
      <c r="F18" s="36">
        <f>IF(AND(ISNUMBER(E18),ISNUMBER(N25)),E18/N25-1,"")</f>
      </c>
      <c r="H18">
        <f>IF('Mis recibos'!S18="","",IF(OR('Mis recibos'!S18&gt;IPC!$J$3,'Mis recibos'!S18&lt;IPC!$J$2),"",INDEX(IPC!$D$5:$D$197,('Mis recibos'!S18)-IPC!$J$2+1)))</f>
      </c>
      <c r="I18">
        <f>IF(ISNUMBER(B18),14,"")</f>
      </c>
      <c r="J18">
        <f>IF(AND(ISNUMBER(B18),ISNUMBER(B17)),IF(B18&gt;B17+0.5,14,""),"")</f>
      </c>
      <c r="K18">
        <f>IF(ISNUMBER(E18),14,"")</f>
      </c>
      <c r="N18">
        <f>IF(N5&gt;12,N5-12,0)</f>
      </c>
    </row>
    <row r="19" spans="1:14" x14ac:dyDescent="0.25">
      <c r="A19" s="34">
        <f>'Mis recibos'!A19</f>
      </c>
      <c r="B19" s="35">
        <f>IF('Mis recibos'!V19=1,IF('Mis datos'!$B$12="Lo que cobré en mano",IF(ISNUMBER('Mis recibos'!J19),'Mis recibos'!J19,""),'Mis recibos'!B19+'Mis recibos'!W19),"")</f>
      </c>
      <c r="C19" s="36">
        <f>IF(AND(ISNUMBER(B19),ISNUMBER(B18)),B19/B18-1,"")</f>
      </c>
      <c r="D19" s="36">
        <f>IF(AND(ISNUMBER(H19),'Mis recibos'!S19&gt;IPC!$J$2),H19/INDEX(IPC!$D$5:$D$197,('Mis recibos'!S19-1)-IPC!$J$2+1)-1,"")</f>
      </c>
      <c r="E19" s="35">
        <f>IF(AND(ISNUMBER(B19),ISNUMBER(H19)),B19*INDEX(IPC!$D$5:$D$197,(IPC!$J$3)-IPC!$J$2+1)/H19,"")</f>
      </c>
      <c r="F19" s="36">
        <f>IF(AND(ISNUMBER(E19),ISNUMBER(N25)),E19/N25-1,"")</f>
      </c>
      <c r="H19">
        <f>IF('Mis recibos'!S19="","",IF(OR('Mis recibos'!S19&gt;IPC!$J$3,'Mis recibos'!S19&lt;IPC!$J$2),"",INDEX(IPC!$D$5:$D$197,('Mis recibos'!S19)-IPC!$J$2+1)))</f>
      </c>
      <c r="I19">
        <f>IF(ISNUMBER(B19),15,"")</f>
      </c>
      <c r="J19">
        <f>IF(AND(ISNUMBER(B19),ISNUMBER(B18)),IF(B19&gt;B18+0.5,15,""),"")</f>
      </c>
      <c r="K19">
        <f>IF(ISNUMBER(E19),15,"")</f>
      </c>
      <c r="N19">
        <f>IF(N18&gt;0,IF(ISNUMBER(INDEX(B5:B28,N18)),INDEX(B5:B28,N18),""),"")</f>
      </c>
    </row>
    <row r="20" spans="1:14" x14ac:dyDescent="0.25">
      <c r="A20" s="34">
        <f>'Mis recibos'!A20</f>
      </c>
      <c r="B20" s="35">
        <f>IF('Mis recibos'!V20=1,IF('Mis datos'!$B$12="Lo que cobré en mano",IF(ISNUMBER('Mis recibos'!J20),'Mis recibos'!J20,""),'Mis recibos'!B20+'Mis recibos'!W20),"")</f>
      </c>
      <c r="C20" s="36">
        <f>IF(AND(ISNUMBER(B20),ISNUMBER(B19)),B20/B19-1,"")</f>
      </c>
      <c r="D20" s="36">
        <f>IF(AND(ISNUMBER(H20),'Mis recibos'!S20&gt;IPC!$J$2),H20/INDEX(IPC!$D$5:$D$197,('Mis recibos'!S20-1)-IPC!$J$2+1)-1,"")</f>
      </c>
      <c r="E20" s="35">
        <f>IF(AND(ISNUMBER(B20),ISNUMBER(H20)),B20*INDEX(IPC!$D$5:$D$197,(IPC!$J$3)-IPC!$J$2+1)/H20,"")</f>
      </c>
      <c r="F20" s="36">
        <f>IF(AND(ISNUMBER(E20),ISNUMBER(N25)),E20/N25-1,"")</f>
      </c>
      <c r="H20">
        <f>IF('Mis recibos'!S20="","",IF(OR('Mis recibos'!S20&gt;IPC!$J$3,'Mis recibos'!S20&lt;IPC!$J$2),"",INDEX(IPC!$D$5:$D$197,('Mis recibos'!S20)-IPC!$J$2+1)))</f>
      </c>
      <c r="I20">
        <f>IF(ISNUMBER(B20),16,"")</f>
      </c>
      <c r="J20">
        <f>IF(AND(ISNUMBER(B20),ISNUMBER(B19)),IF(B20&gt;B19+0.5,16,""),"")</f>
      </c>
      <c r="K20">
        <f>IF(ISNUMBER(E20),16,"")</f>
      </c>
      <c r="N20">
        <f>IF(ISNUMBER(N19),INDEX('Mis recibos'!$S$5:$S$28,N18),"")</f>
      </c>
    </row>
    <row r="21" spans="1:14" x14ac:dyDescent="0.25">
      <c r="A21" s="34">
        <f>'Mis recibos'!A21</f>
      </c>
      <c r="B21" s="35">
        <f>IF('Mis recibos'!V21=1,IF('Mis datos'!$B$12="Lo que cobré en mano",IF(ISNUMBER('Mis recibos'!J21),'Mis recibos'!J21,""),'Mis recibos'!B21+'Mis recibos'!W21),"")</f>
      </c>
      <c r="C21" s="36">
        <f>IF(AND(ISNUMBER(B21),ISNUMBER(B20)),B21/B20-1,"")</f>
      </c>
      <c r="D21" s="36">
        <f>IF(AND(ISNUMBER(H21),'Mis recibos'!S21&gt;IPC!$J$2),H21/INDEX(IPC!$D$5:$D$197,('Mis recibos'!S21-1)-IPC!$J$2+1)-1,"")</f>
      </c>
      <c r="E21" s="35">
        <f>IF(AND(ISNUMBER(B21),ISNUMBER(H21)),B21*INDEX(IPC!$D$5:$D$197,(IPC!$J$3)-IPC!$J$2+1)/H21,"")</f>
      </c>
      <c r="F21" s="36">
        <f>IF(AND(ISNUMBER(E21),ISNUMBER(N25)),E21/N25-1,"")</f>
      </c>
      <c r="H21">
        <f>IF('Mis recibos'!S21="","",IF(OR('Mis recibos'!S21&gt;IPC!$J$3,'Mis recibos'!S21&lt;IPC!$J$2),"",INDEX(IPC!$D$5:$D$197,('Mis recibos'!S21)-IPC!$J$2+1)))</f>
      </c>
      <c r="I21">
        <f>IF(ISNUMBER(B21),17,"")</f>
      </c>
      <c r="J21">
        <f>IF(AND(ISNUMBER(B21),ISNUMBER(B20)),IF(B21&gt;B20+0.5,17,""),"")</f>
      </c>
      <c r="K21">
        <f>IF(ISNUMBER(E21),17,"")</f>
      </c>
      <c r="N21">
        <f>IF(ISNUMBER(N20),IF(AND(N20&lt;=N13,N20&gt;=IPC!$J$2),INDEX(IPC!$D$5:$D$197,(N13)-IPC!$J$2+1)/INDEX(IPC!$D$5:$D$197,(N20)-IPC!$J$2+1),""),"")</f>
      </c>
    </row>
    <row r="22" spans="1:14" x14ac:dyDescent="0.25">
      <c r="A22" s="34">
        <f>'Mis recibos'!A22</f>
      </c>
      <c r="B22" s="35">
        <f>IF('Mis recibos'!V22=1,IF('Mis datos'!$B$12="Lo que cobré en mano",IF(ISNUMBER('Mis recibos'!J22),'Mis recibos'!J22,""),'Mis recibos'!B22+'Mis recibos'!W22),"")</f>
      </c>
      <c r="C22" s="36">
        <f>IF(AND(ISNUMBER(B22),ISNUMBER(B21)),B22/B21-1,"")</f>
      </c>
      <c r="D22" s="36">
        <f>IF(AND(ISNUMBER(H22),'Mis recibos'!S22&gt;IPC!$J$2),H22/INDEX(IPC!$D$5:$D$197,('Mis recibos'!S22-1)-IPC!$J$2+1)-1,"")</f>
      </c>
      <c r="E22" s="35">
        <f>IF(AND(ISNUMBER(B22),ISNUMBER(H22)),B22*INDEX(IPC!$D$5:$D$197,(IPC!$J$3)-IPC!$J$2+1)/H22,"")</f>
      </c>
      <c r="F22" s="36">
        <f>IF(AND(ISNUMBER(E22),ISNUMBER(N25)),E22/N25-1,"")</f>
      </c>
      <c r="H22">
        <f>IF('Mis recibos'!S22="","",IF(OR('Mis recibos'!S22&gt;IPC!$J$3,'Mis recibos'!S22&lt;IPC!$J$2),"",INDEX(IPC!$D$5:$D$197,('Mis recibos'!S22)-IPC!$J$2+1)))</f>
      </c>
      <c r="I22">
        <f>IF(ISNUMBER(B22),18,"")</f>
      </c>
      <c r="J22">
        <f>IF(AND(ISNUMBER(B22),ISNUMBER(B21)),IF(B22&gt;B21+0.5,18,""),"")</f>
      </c>
      <c r="K22">
        <f>IF(ISNUMBER(E22),18,"")</f>
      </c>
      <c r="N22">
        <f>IF(ISNUMBER(N19),N9/N19-1,"")</f>
      </c>
    </row>
    <row r="23" spans="1:14" x14ac:dyDescent="0.25">
      <c r="A23" s="34">
        <f>'Mis recibos'!A23</f>
      </c>
      <c r="B23" s="35">
        <f>IF('Mis recibos'!V23=1,IF('Mis datos'!$B$12="Lo que cobré en mano",IF(ISNUMBER('Mis recibos'!J23),'Mis recibos'!J23,""),'Mis recibos'!B23+'Mis recibos'!W23),"")</f>
      </c>
      <c r="C23" s="36">
        <f>IF(AND(ISNUMBER(B23),ISNUMBER(B22)),B23/B22-1,"")</f>
      </c>
      <c r="D23" s="36">
        <f>IF(AND(ISNUMBER(H23),'Mis recibos'!S23&gt;IPC!$J$2),H23/INDEX(IPC!$D$5:$D$197,('Mis recibos'!S23-1)-IPC!$J$2+1)-1,"")</f>
      </c>
      <c r="E23" s="35">
        <f>IF(AND(ISNUMBER(B23),ISNUMBER(H23)),B23*INDEX(IPC!$D$5:$D$197,(IPC!$J$3)-IPC!$J$2+1)/H23,"")</f>
      </c>
      <c r="F23" s="36">
        <f>IF(AND(ISNUMBER(E23),ISNUMBER(N25)),E23/N25-1,"")</f>
      </c>
      <c r="H23">
        <f>IF('Mis recibos'!S23="","",IF(OR('Mis recibos'!S23&gt;IPC!$J$3,'Mis recibos'!S23&lt;IPC!$J$2),"",INDEX(IPC!$D$5:$D$197,('Mis recibos'!S23)-IPC!$J$2+1)))</f>
      </c>
      <c r="I23">
        <f>IF(ISNUMBER(B23),19,"")</f>
      </c>
      <c r="J23">
        <f>IF(AND(ISNUMBER(B23),ISNUMBER(B22)),IF(B23&gt;B22+0.5,19,""),"")</f>
      </c>
      <c r="K23">
        <f>IF(ISNUMBER(E23),19,"")</f>
      </c>
      <c r="N23">
        <f>IF(ISNUMBER(N21),N9/(N19*N21)-1,"")</f>
      </c>
    </row>
    <row r="24" spans="1:14" x14ac:dyDescent="0.25">
      <c r="A24" s="34">
        <f>'Mis recibos'!A24</f>
      </c>
      <c r="B24" s="35">
        <f>IF('Mis recibos'!V24=1,IF('Mis datos'!$B$12="Lo que cobré en mano",IF(ISNUMBER('Mis recibos'!J24),'Mis recibos'!J24,""),'Mis recibos'!B24+'Mis recibos'!W24),"")</f>
      </c>
      <c r="C24" s="36">
        <f>IF(AND(ISNUMBER(B24),ISNUMBER(B23)),B24/B23-1,"")</f>
      </c>
      <c r="D24" s="36">
        <f>IF(AND(ISNUMBER(H24),'Mis recibos'!S24&gt;IPC!$J$2),H24/INDEX(IPC!$D$5:$D$197,('Mis recibos'!S24-1)-IPC!$J$2+1)-1,"")</f>
      </c>
      <c r="E24" s="35">
        <f>IF(AND(ISNUMBER(B24),ISNUMBER(H24)),B24*INDEX(IPC!$D$5:$D$197,(IPC!$J$3)-IPC!$J$2+1)/H24,"")</f>
      </c>
      <c r="F24" s="36">
        <f>IF(AND(ISNUMBER(E24),ISNUMBER(N25)),E24/N25-1,"")</f>
      </c>
      <c r="H24">
        <f>IF('Mis recibos'!S24="","",IF(OR('Mis recibos'!S24&gt;IPC!$J$3,'Mis recibos'!S24&lt;IPC!$J$2),"",INDEX(IPC!$D$5:$D$197,('Mis recibos'!S24)-IPC!$J$2+1)))</f>
      </c>
      <c r="I24">
        <f>IF(ISNUMBER(B24),20,"")</f>
      </c>
      <c r="J24">
        <f>IF(AND(ISNUMBER(B24),ISNUMBER(B23)),IF(B24&gt;B23+0.5,20,""),"")</f>
      </c>
      <c r="K24">
        <f>IF(ISNUMBER(E24),20,"")</f>
      </c>
      <c r="N24">
        <f>IF(COUNT(K5:K28)=0,0,MIN(K5:K28))</f>
      </c>
    </row>
    <row r="25" spans="1:14" x14ac:dyDescent="0.25">
      <c r="A25" s="34">
        <f>'Mis recibos'!A25</f>
      </c>
      <c r="B25" s="35">
        <f>IF('Mis recibos'!V25=1,IF('Mis datos'!$B$12="Lo que cobré en mano",IF(ISNUMBER('Mis recibos'!J25),'Mis recibos'!J25,""),'Mis recibos'!B25+'Mis recibos'!W25),"")</f>
      </c>
      <c r="C25" s="36">
        <f>IF(AND(ISNUMBER(B25),ISNUMBER(B24)),B25/B24-1,"")</f>
      </c>
      <c r="D25" s="36">
        <f>IF(AND(ISNUMBER(H25),'Mis recibos'!S25&gt;IPC!$J$2),H25/INDEX(IPC!$D$5:$D$197,('Mis recibos'!S25-1)-IPC!$J$2+1)-1,"")</f>
      </c>
      <c r="E25" s="35">
        <f>IF(AND(ISNUMBER(B25),ISNUMBER(H25)),B25*INDEX(IPC!$D$5:$D$197,(IPC!$J$3)-IPC!$J$2+1)/H25,"")</f>
      </c>
      <c r="F25" s="36">
        <f>IF(AND(ISNUMBER(E25),ISNUMBER(N25)),E25/N25-1,"")</f>
      </c>
      <c r="H25">
        <f>IF('Mis recibos'!S25="","",IF(OR('Mis recibos'!S25&gt;IPC!$J$3,'Mis recibos'!S25&lt;IPC!$J$2),"",INDEX(IPC!$D$5:$D$197,('Mis recibos'!S25)-IPC!$J$2+1)))</f>
      </c>
      <c r="I25">
        <f>IF(ISNUMBER(B25),21,"")</f>
      </c>
      <c r="J25">
        <f>IF(AND(ISNUMBER(B25),ISNUMBER(B24)),IF(B25&gt;B24+0.5,21,""),"")</f>
      </c>
      <c r="K25">
        <f>IF(ISNUMBER(E25),21,"")</f>
      </c>
      <c r="N25">
        <f>IF(N24&gt;0,INDEX(E5:E28,N24),"")</f>
      </c>
    </row>
    <row r="26" spans="1:14" x14ac:dyDescent="0.25">
      <c r="A26" s="34">
        <f>'Mis recibos'!A26</f>
      </c>
      <c r="B26" s="35">
        <f>IF('Mis recibos'!V26=1,IF('Mis datos'!$B$12="Lo que cobré en mano",IF(ISNUMBER('Mis recibos'!J26),'Mis recibos'!J26,""),'Mis recibos'!B26+'Mis recibos'!W26),"")</f>
      </c>
      <c r="C26" s="36">
        <f>IF(AND(ISNUMBER(B26),ISNUMBER(B25)),B26/B25-1,"")</f>
      </c>
      <c r="D26" s="36">
        <f>IF(AND(ISNUMBER(H26),'Mis recibos'!S26&gt;IPC!$J$2),H26/INDEX(IPC!$D$5:$D$197,('Mis recibos'!S26-1)-IPC!$J$2+1)-1,"")</f>
      </c>
      <c r="E26" s="35">
        <f>IF(AND(ISNUMBER(B26),ISNUMBER(H26)),B26*INDEX(IPC!$D$5:$D$197,(IPC!$J$3)-IPC!$J$2+1)/H26,"")</f>
      </c>
      <c r="F26" s="36">
        <f>IF(AND(ISNUMBER(E26),ISNUMBER(N25)),E26/N25-1,"")</f>
      </c>
      <c r="H26">
        <f>IF('Mis recibos'!S26="","",IF(OR('Mis recibos'!S26&gt;IPC!$J$3,'Mis recibos'!S26&lt;IPC!$J$2),"",INDEX(IPC!$D$5:$D$197,('Mis recibos'!S26)-IPC!$J$2+1)))</f>
      </c>
      <c r="I26">
        <f>IF(ISNUMBER(B26),22,"")</f>
      </c>
      <c r="J26">
        <f>IF(AND(ISNUMBER(B26),ISNUMBER(B25)),IF(B26&gt;B25+0.5,22,""),"")</f>
      </c>
      <c r="K26">
        <f>IF(ISNUMBER(E26),22,"")</f>
      </c>
      <c r="N26">
        <f>IF(ISNUMBER(N17),ROUND(N17,0),"")</f>
      </c>
    </row>
    <row r="27" spans="1:14" x14ac:dyDescent="0.25">
      <c r="A27" s="34">
        <f>'Mis recibos'!A27</f>
      </c>
      <c r="B27" s="35">
        <f>IF('Mis recibos'!V27=1,IF('Mis datos'!$B$12="Lo que cobré en mano",IF(ISNUMBER('Mis recibos'!J27),'Mis recibos'!J27,""),'Mis recibos'!B27+'Mis recibos'!W27),"")</f>
      </c>
      <c r="C27" s="36">
        <f>IF(AND(ISNUMBER(B27),ISNUMBER(B26)),B27/B26-1,"")</f>
      </c>
      <c r="D27" s="36">
        <f>IF(AND(ISNUMBER(H27),'Mis recibos'!S27&gt;IPC!$J$2),H27/INDEX(IPC!$D$5:$D$197,('Mis recibos'!S27-1)-IPC!$J$2+1)-1,"")</f>
      </c>
      <c r="E27" s="35">
        <f>IF(AND(ISNUMBER(B27),ISNUMBER(H27)),B27*INDEX(IPC!$D$5:$D$197,(IPC!$J$3)-IPC!$J$2+1)/H27,"")</f>
      </c>
      <c r="F27" s="36">
        <f>IF(AND(ISNUMBER(E27),ISNUMBER(N25)),E27/N25-1,"")</f>
      </c>
      <c r="H27">
        <f>IF('Mis recibos'!S27="","",IF(OR('Mis recibos'!S27&gt;IPC!$J$3,'Mis recibos'!S27&lt;IPC!$J$2),"",INDEX(IPC!$D$5:$D$197,('Mis recibos'!S27)-IPC!$J$2+1)))</f>
      </c>
      <c r="I27">
        <f>IF(ISNUMBER(B27),23,"")</f>
      </c>
      <c r="J27">
        <f>IF(AND(ISNUMBER(B27),ISNUMBER(B26)),IF(B27&gt;B26+0.5,23,""),"")</f>
      </c>
      <c r="K27">
        <f>IF(ISNUMBER(E27),23,"")</f>
      </c>
      <c r="N27">
        <f>IF(ISNUMBER(N14),ROUND((N14-1)*1000,0),"")</f>
      </c>
    </row>
    <row r="28" spans="1:14" x14ac:dyDescent="0.25">
      <c r="A28" s="34">
        <f>'Mis recibos'!A28</f>
      </c>
      <c r="B28" s="35">
        <f>IF('Mis recibos'!V28=1,IF('Mis datos'!$B$12="Lo que cobré en mano",IF(ISNUMBER('Mis recibos'!J28),'Mis recibos'!J28,""),'Mis recibos'!B28+'Mis recibos'!W28),"")</f>
      </c>
      <c r="C28" s="36">
        <f>IF(AND(ISNUMBER(B28),ISNUMBER(B27)),B28/B27-1,"")</f>
      </c>
      <c r="D28" s="36">
        <f>IF(AND(ISNUMBER(H28),'Mis recibos'!S28&gt;IPC!$J$2),H28/INDEX(IPC!$D$5:$D$197,('Mis recibos'!S28-1)-IPC!$J$2+1)-1,"")</f>
      </c>
      <c r="E28" s="35">
        <f>IF(AND(ISNUMBER(B28),ISNUMBER(H28)),B28*INDEX(IPC!$D$5:$D$197,(IPC!$J$3)-IPC!$J$2+1)/H28,"")</f>
      </c>
      <c r="F28" s="36">
        <f>IF(AND(ISNUMBER(E28),ISNUMBER(N25)),E28/N25-1,"")</f>
      </c>
      <c r="H28">
        <f>IF('Mis recibos'!S28="","",IF(OR('Mis recibos'!S28&gt;IPC!$J$3,'Mis recibos'!S28&lt;IPC!$J$2),"",INDEX(IPC!$D$5:$D$197,('Mis recibos'!S28)-IPC!$J$2+1)))</f>
      </c>
      <c r="I28">
        <f>IF(ISNUMBER(B28),24,"")</f>
      </c>
      <c r="J28">
        <f>IF(AND(ISNUMBER(B28),ISNUMBER(B27)),IF(B28&gt;B27+0.5,24,""),"")</f>
      </c>
      <c r="K28">
        <f>IF(ISNUMBER(E28),24,"")</f>
      </c>
      <c r="N28">
        <f>IF(ISNUMBER(N16),ROUND(N16*1000,0),"")</f>
      </c>
    </row>
    <row r="29" spans="14:14" x14ac:dyDescent="0.25">
      <c r="N29">
        <f>IF(ISNUMBER(N15),ROUND(N15*1000,0),"")</f>
      </c>
    </row>
    <row r="30" spans="14:14" x14ac:dyDescent="0.25">
      <c r="N30">
        <f>MAX('Mis recibos'!AD5:AD28)</f>
      </c>
    </row>
    <row r="31" spans="14:14" x14ac:dyDescent="0.25">
      <c r="N31">
        <f>IF(N30&gt;0,INDEX('Mis recibos'!B5:B28,N30)+INDEX('Mis recibos'!W5:W28,N30),"")</f>
      </c>
    </row>
    <row r="32" spans="14:14" x14ac:dyDescent="0.25">
      <c r="N32">
        <f>IF(N30&gt;0,INDEX('Mis recibos'!T5:T28,N30),"")</f>
      </c>
    </row>
    <row r="33" spans="14:14" x14ac:dyDescent="0.25">
      <c r="N33">
        <f>IF(AND(ISNUMBER(N32),ISNUMBER('Aguinaldo'!$I$5)),N32-'Aguinaldo'!$I$5+1,0)</f>
      </c>
    </row>
    <row r="34" spans="14:14" x14ac:dyDescent="0.25">
      <c r="N34">
        <f>IF(ISNUMBER(N31),ROUND(MAX(0,'Mis datos'!$H$8-N31),0),"")</f>
      </c>
    </row>
  </sheetData>
  <sheetProtection sheet="1" formatColumns="0" formatRows="0"/>
  <mergeCells count="2">
    <mergeCell ref="A1:F1"/>
    <mergeCell ref="A2:F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7C00"/>
    <pageSetUpPr fitToPage="1"/>
  </sheetPr>
  <dimension ref="A1:C32"/>
  <sheetFormatPr defaultRowHeight="15" outlineLevelRow="0" outlineLevelCol="0" x14ac:dyDescent="55"/>
  <cols>
    <col min="1" max="1" width="40" customWidth="1"/>
    <col min="2" max="2" width="24" customWidth="1"/>
    <col min="3" max="3" width="48" customWidth="1"/>
  </cols>
  <sheetData>
    <row r="1" ht="28" customHeight="1" spans="1:3" x14ac:dyDescent="0.25">
      <c r="A1" s="1" t="s">
        <v>91</v>
      </c>
      <c r="B1" s="1"/>
      <c r="C1" s="1"/>
    </row>
    <row r="2" ht="30" customHeight="1" spans="1:3" x14ac:dyDescent="0.25">
      <c r="A2" s="10">
        <f>"Referencia de cálculo con el IPC oficial del INDEC hasta "&amp;INDEX(IPC!$J$5:$J$16,MOD(IPC!$J$3,12)+1)&amp;" de "&amp;INT((IPC!$J$3)/12)&amp;" y los descuentos de ley vigentes. Imprimilo o guardalo como PDF desde Archivo &gt; Imprimir."</f>
      </c>
      <c r="B2" s="10"/>
      <c r="C2" s="10"/>
    </row>
    <row r="4" spans="1:3" x14ac:dyDescent="0.25">
      <c r="A4" s="4" t="s">
        <v>92</v>
      </c>
      <c r="B4" s="4"/>
      <c r="C4" s="4"/>
    </row>
    <row r="5" spans="1:2" x14ac:dyDescent="0.25">
      <c r="A5" s="11" t="s">
        <v>93</v>
      </c>
      <c r="B5" s="34">
        <f>IF('Mis datos'!$B$5="","",'Mis datos'!$B$5)</f>
      </c>
    </row>
    <row r="6" spans="1:2" x14ac:dyDescent="0.25">
      <c r="A6" s="11" t="s">
        <v>94</v>
      </c>
      <c r="B6" s="34">
        <f>IF('Mis datos'!$B$6="","",'Mis datos'!$B$6)</f>
      </c>
    </row>
    <row r="7" spans="1:2" x14ac:dyDescent="0.25">
      <c r="A7" s="11" t="s">
        <v>95</v>
      </c>
      <c r="B7" s="34">
        <f>IF('Sueldo vs inflación'!$N$30&gt;0,INDEX('Mis recibos'!$A$5:$A$28,'Sueldo vs inflación'!$N$30),"Todavía no cargaste ningún recibo")</f>
      </c>
    </row>
    <row r="8" spans="1:3" x14ac:dyDescent="0.25">
      <c r="A8" s="4" t="s">
        <v>96</v>
      </c>
      <c r="B8" s="4"/>
      <c r="C8" s="4"/>
    </row>
    <row r="9" spans="1:3" x14ac:dyDescent="0.25">
      <c r="A9" s="11" t="s">
        <v>97</v>
      </c>
      <c r="B9" s="35">
        <f>'Sueldo vs inflación'!$N$31</f>
      </c>
      <c r="C9" s="37">
        <f>IF('Sueldo vs inflación'!$N$30&gt;0,"remunerativo + no remunerativo","")</f>
      </c>
    </row>
    <row r="10" spans="1:3" x14ac:dyDescent="0.25">
      <c r="A10" s="11" t="s">
        <v>98</v>
      </c>
      <c r="B10" s="35">
        <f>IF('Sueldo vs inflación'!$N$30&gt;0,INDEX('Mis recibos'!$Q$5:$Q$28,'Sueldo vs inflación'!$N$30),"")</f>
      </c>
      <c r="C10" s="37">
        <f>IF('Sueldo vs inflación'!$N$30&gt;0,"jubilación, Ley 19.032, obra social y cuota sindical; sin Ganancias ni otros descuentos","")</f>
      </c>
    </row>
    <row r="11" spans="1:3" x14ac:dyDescent="0.25">
      <c r="A11" s="4" t="s">
        <v>99</v>
      </c>
      <c r="B11" s="4"/>
      <c r="C11" s="4"/>
    </row>
    <row r="12" spans="1:3" x14ac:dyDescent="0.25">
      <c r="A12" s="11" t="s">
        <v>100</v>
      </c>
      <c r="B12" s="34">
        <f>IF(ISNUMBER('Sueldo vs inflación'!$N$11),INDEX(IPC!$J$5:$J$16,MOD('Sueldo vs inflación'!$N$11,12)+1)&amp;" de "&amp;INT(('Sueldo vs inflación'!$N$11)/12),"")</f>
      </c>
      <c r="C12" s="37">
        <f>IF('Sueldo vs inflación'!$N$6&gt;0,"el último mes en que subió tu sueldo",IF('Sueldo vs inflación'!$N$8&gt;0,"tu primer recibo cargado: antes no hay un aumento",""))</f>
      </c>
    </row>
    <row r="13" spans="1:3" x14ac:dyDescent="0.25">
      <c r="A13" s="11" t="s">
        <v>101</v>
      </c>
      <c r="B13" s="35">
        <f>'Sueldo vs inflación'!$N$10</f>
      </c>
      <c r="C13" s="37">
        <f>IF('Mis datos'!$B$12="Lo que cobré en mano","lo que cobraste en mano","el bruto total")</f>
      </c>
    </row>
    <row r="14" spans="1:3" x14ac:dyDescent="0.25">
      <c r="A14" s="11" t="s">
        <v>102</v>
      </c>
      <c r="B14" s="36">
        <f>IF(ISNUMBER('Sueldo vs inflación'!$N$14),'Sueldo vs inflación'!$N$14-1,"")</f>
      </c>
      <c r="C14" s="37">
        <f>IF(ISNUMBER('Sueldo vs inflación'!$N$14),"IPC del INDEC de "&amp;INDEX(IPC!$J$5:$J$16,MOD('Sueldo vs inflación'!$N$11,12)+1)&amp;" de "&amp;INT(('Sueldo vs inflación'!$N$11)/12)&amp;" a "&amp;INDEX(IPC!$J$5:$J$16,MOD('Sueldo vs inflación'!$N$13,12)+1)&amp;" de "&amp;INT(('Sueldo vs inflación'!$N$13)/12),IF(ISNUMBER('Sueldo vs inflación'!$N$11),"Todavía no hay IPC publicado de ese mes: el INDEC lo publica entre el 10 y el 15 del mes siguiente.",""))</f>
      </c>
    </row>
    <row r="15" spans="1:3" x14ac:dyDescent="0.25">
      <c r="A15" s="11" t="s">
        <v>103</v>
      </c>
      <c r="B15" s="38">
        <f>'Sueldo vs inflación'!$N$15</f>
      </c>
      <c r="C15" s="37">
        <f>IF(ISNUMBER('Sueldo vs inflación'!$N$15),IF('Sueldo vs inflación'!$N$15&lt;0,"tu sueldo compra menos que en ese mes","tu sueldo le ganó a la inflación"),"")</f>
      </c>
    </row>
    <row r="16" spans="1:2" x14ac:dyDescent="0.25">
      <c r="A16" s="11" t="s">
        <v>104</v>
      </c>
      <c r="B16" s="39">
        <f>'Sueldo vs inflación'!$N$16</f>
      </c>
    </row>
    <row r="17" spans="1:2" x14ac:dyDescent="0.25">
      <c r="A17" s="11" t="s">
        <v>105</v>
      </c>
      <c r="B17" s="40">
        <f>'Sueldo vs inflación'!$N$17</f>
      </c>
    </row>
    <row r="18" ht="62" customHeight="1" spans="1:3" x14ac:dyDescent="0.25">
      <c r="A18" s="11" t="s">
        <v>106</v>
      </c>
      <c r="B18" s="41">
        <f>IF(NOT(ISNUMBER('Sueldo vs inflación'!$N$14)),"",IF('Sueldo vs inflación'!$N$6&gt;0,"Desde mi último aumento, en ","Desde ")&amp;INDEX(IPC!$J$5:$J$16,MOD('Sueldo vs inflación'!$N$11,12)+1)&amp;" de "&amp;INT(('Sueldo vs inflación'!$N$11)/12)&amp;", la inflación fue de "&amp;IF('Sueldo vs inflación'!$N$27&lt;0,"-","")&amp;INT(ABS('Sueldo vs inflación'!$N$27)/10)&amp;","&amp;MOD(ABS('Sueldo vs inflación'!$N$27),10)&amp;"%"&amp;" (IPC del INDEC hasta "&amp;INDEX(IPC!$J$5:$J$16,MOD('Sueldo vs inflación'!$N$13,12)+1)&amp;" de "&amp;INT(('Sueldo vs inflación'!$N$13)/12)&amp;"). "&amp;IF('Sueldo vs inflación'!$N$16&gt;0,"Para tener el mismo poder de compra, mi sueldo tendría que ser de $"&amp;IF('Sueldo vs inflación'!$N$26&gt;=1000000000,INT('Sueldo vs inflación'!$N$26/1000000000)&amp;"."&amp;RIGHT("00"&amp;INT(MOD('Sueldo vs inflación'!$N$26,1000000000)/1000000),3)&amp;"."&amp;RIGHT("00"&amp;INT(MOD('Sueldo vs inflación'!$N$26,1000000)/1000),3)&amp;"."&amp;RIGHT("00"&amp;INT(MOD('Sueldo vs inflación'!$N$26,1000)/1),3),IF('Sueldo vs inflación'!$N$26&gt;=1000000,INT('Sueldo vs inflación'!$N$26/1000000)&amp;"."&amp;RIGHT("00"&amp;INT(MOD('Sueldo vs inflación'!$N$26,1000000)/1000),3)&amp;"."&amp;RIGHT("00"&amp;INT(MOD('Sueldo vs inflación'!$N$26,1000)/1),3),IF('Sueldo vs inflación'!$N$26&gt;=1000,INT('Sueldo vs inflación'!$N$26/1000)&amp;"."&amp;RIGHT("00"&amp;INT(MOD('Sueldo vs inflación'!$N$26,1000)/1),3),""&amp;'Sueldo vs inflación'!$N$26)))&amp;": un aumento de "&amp;IF('Sueldo vs inflación'!$N$28&lt;0,"-","")&amp;INT(ABS('Sueldo vs inflación'!$N$28)/10)&amp;","&amp;MOD(ABS('Sueldo vs inflación'!$N$28),10)&amp;"%"&amp;".","Mi sueldo acompañó esa suba: hoy compra "&amp;IF('Sueldo vs inflación'!$N$29&lt;0,"-","")&amp;INT(ABS('Sueldo vs inflación'!$N$29)/10)&amp;","&amp;MOD(ABS('Sueldo vs inflación'!$N$29),10)&amp;"%"&amp;" más que entonces."))</f>
      </c>
      <c r="C18" s="41"/>
    </row>
    <row r="19" spans="1:3" x14ac:dyDescent="0.25">
      <c r="A19" s="4" t="s">
        <v>107</v>
      </c>
      <c r="B19" s="4"/>
      <c r="C19" s="4"/>
    </row>
    <row r="20" spans="1:3" x14ac:dyDescent="0.25">
      <c r="A20" s="11" t="s">
        <v>108</v>
      </c>
      <c r="B20" s="35">
        <f>'Sueldo vs inflación'!$N$19</f>
      </c>
      <c r="C20" s="37">
        <f>IF(ISNUMBER('Sueldo vs inflación'!$N$20),INDEX(IPC!$J$5:$J$16,MOD('Sueldo vs inflación'!$N$20,12)+1)&amp;" de "&amp;INT(('Sueldo vs inflación'!$N$20)/12),"Cargá el recibo de hace un año para ver esta comparación")</f>
      </c>
    </row>
    <row r="21" spans="1:2" x14ac:dyDescent="0.25">
      <c r="A21" s="11" t="s">
        <v>109</v>
      </c>
      <c r="B21" s="36">
        <f>'Sueldo vs inflación'!$N$22</f>
      </c>
    </row>
    <row r="22" spans="1:2" x14ac:dyDescent="0.25">
      <c r="A22" s="11" t="s">
        <v>110</v>
      </c>
      <c r="B22" s="36">
        <f>IF(ISNUMBER('Sueldo vs inflación'!$N$21),'Sueldo vs inflación'!$N$21-1,"")</f>
      </c>
    </row>
    <row r="23" spans="1:2" x14ac:dyDescent="0.25">
      <c r="A23" s="11" t="s">
        <v>111</v>
      </c>
      <c r="B23" s="42">
        <f>'Sueldo vs inflación'!$N$23</f>
      </c>
    </row>
    <row r="24" spans="1:3" x14ac:dyDescent="0.25">
      <c r="A24" s="4" t="s">
        <v>112</v>
      </c>
      <c r="B24" s="4"/>
      <c r="C24" s="4"/>
    </row>
    <row r="25" spans="1:3" x14ac:dyDescent="0.25">
      <c r="A25" s="11" t="s">
        <v>113</v>
      </c>
      <c r="B25" s="34">
        <f>IF(AND('Sueldo vs inflación'!$N$33&gt;=1,'Sueldo vs inflación'!$N$33&lt;=5),INDEX('Aguinaldo'!$A$5:$A$9,'Sueldo vs inflación'!$N$33),"")</f>
      </c>
      <c r="C25" s="37">
        <f>IF('Sueldo vs inflación'!$N$33&gt;=1,"se paga hasta el "&amp;IF(AND('Sueldo vs inflación'!$N$33&gt;=1,'Sueldo vs inflación'!$N$33&lt;=5),INDEX('Aguinaldo'!$G$5:$G$9,'Sueldo vs inflación'!$N$33),""),"")</f>
      </c>
    </row>
    <row r="26" spans="1:2" x14ac:dyDescent="0.25">
      <c r="A26" s="11" t="s">
        <v>114</v>
      </c>
      <c r="B26" s="35">
        <f>IF(AND('Sueldo vs inflación'!$N$33&gt;=1,'Sueldo vs inflación'!$N$33&lt;=5),INDEX('Aguinaldo'!$D$5:$D$9,'Sueldo vs inflación'!$N$33),"")</f>
      </c>
    </row>
    <row r="27" spans="1:2" x14ac:dyDescent="0.25">
      <c r="A27" s="11" t="s">
        <v>115</v>
      </c>
      <c r="B27" s="35">
        <f>IF(AND('Sueldo vs inflación'!$N$33&gt;=1,'Sueldo vs inflación'!$N$33&lt;=5),INDEX('Aguinaldo'!$F$5:$F$9,'Sueldo vs inflación'!$N$33),"")</f>
      </c>
    </row>
    <row r="28" spans="1:3" x14ac:dyDescent="0.25">
      <c r="A28" s="4" t="s">
        <v>116</v>
      </c>
      <c r="B28" s="4"/>
      <c r="C28" s="4"/>
    </row>
    <row r="29" spans="1:3" x14ac:dyDescent="0.25">
      <c r="A29" s="11" t="s">
        <v>117</v>
      </c>
      <c r="B29" s="35">
        <f>'Mis datos'!$H$8</f>
      </c>
      <c r="C29" s="37">
        <f>"con tus cargas de familia de «Mis datos» y las deducciones del 2do semestre 2026 (julio a diciembre)"</f>
      </c>
    </row>
    <row r="30" ht="34" customHeight="1" spans="1:3" x14ac:dyDescent="0.25">
      <c r="A30" s="11" t="s">
        <v>118</v>
      </c>
      <c r="B30" s="41">
        <f>IF(NOT(ISNUMBER('Sueldo vs inflación'!$N$31)),"",IF('Sueldo vs inflación'!$N$31&gt;='Mis datos'!$H$8,"Con este sueldo podrías estar alcanzado por Ganancias. Revisá la línea de Ganancias de tu recibo y, si tenés dudas, consultalo con tu empleador.",IF('Sueldo vs inflación'!$N$31&gt;='Mis datos'!$H$8*0.85,"Estás cerca del piso: te faltan $"&amp;IF('Sueldo vs inflación'!$N$34&gt;=1000000000,INT('Sueldo vs inflación'!$N$34/1000000000)&amp;"."&amp;RIGHT("00"&amp;INT(MOD('Sueldo vs inflación'!$N$34,1000000000)/1000000),3)&amp;"."&amp;RIGHT("00"&amp;INT(MOD('Sueldo vs inflación'!$N$34,1000000)/1000),3)&amp;"."&amp;RIGHT("00"&amp;INT(MOD('Sueldo vs inflación'!$N$34,1000)/1),3),IF('Sueldo vs inflación'!$N$34&gt;=1000000,INT('Sueldo vs inflación'!$N$34/1000000)&amp;"."&amp;RIGHT("00"&amp;INT(MOD('Sueldo vs inflación'!$N$34,1000000)/1000),3)&amp;"."&amp;RIGHT("00"&amp;INT(MOD('Sueldo vs inflación'!$N$34,1000)/1),3),IF('Sueldo vs inflación'!$N$34&gt;=1000,INT('Sueldo vs inflación'!$N$34/1000)&amp;"."&amp;RIGHT("00"&amp;INT(MOD('Sueldo vs inflación'!$N$34,1000)/1),3),""&amp;'Sueldo vs inflación'!$N$34)))&amp;" de bruto por mes. Un aumento grande puede hacer que empiecen a retenerte.","Estás lejos del piso: te faltan $"&amp;IF('Sueldo vs inflación'!$N$34&gt;=1000000000,INT('Sueldo vs inflación'!$N$34/1000000000)&amp;"."&amp;RIGHT("00"&amp;INT(MOD('Sueldo vs inflación'!$N$34,1000000000)/1000000),3)&amp;"."&amp;RIGHT("00"&amp;INT(MOD('Sueldo vs inflación'!$N$34,1000000)/1000),3)&amp;"."&amp;RIGHT("00"&amp;INT(MOD('Sueldo vs inflación'!$N$34,1000)/1),3),IF('Sueldo vs inflación'!$N$34&gt;=1000000,INT('Sueldo vs inflación'!$N$34/1000000)&amp;"."&amp;RIGHT("00"&amp;INT(MOD('Sueldo vs inflación'!$N$34,1000000)/1000),3)&amp;"."&amp;RIGHT("00"&amp;INT(MOD('Sueldo vs inflación'!$N$34,1000)/1),3),IF('Sueldo vs inflación'!$N$34&gt;=1000,INT('Sueldo vs inflación'!$N$34/1000)&amp;"."&amp;RIGHT("00"&amp;INT(MOD('Sueldo vs inflación'!$N$34,1000)/1),3),""&amp;'Sueldo vs inflación'!$N$34)))&amp;" de bruto por mes.")))</f>
      </c>
      <c r="C30" s="41"/>
    </row>
    <row r="32" ht="44" customHeight="1" spans="1:3" x14ac:dyDescent="0.25">
      <c r="A32" s="9" t="s">
        <v>119</v>
      </c>
      <c r="B32" s="9"/>
      <c r="C32" s="9"/>
    </row>
  </sheetData>
  <sheetProtection sheet="1" formatColumns="0" formatRows="0"/>
  <mergeCells count="11">
    <mergeCell ref="A1:C1"/>
    <mergeCell ref="A2:C2"/>
    <mergeCell ref="A4:C4"/>
    <mergeCell ref="A8:C8"/>
    <mergeCell ref="A11:C11"/>
    <mergeCell ref="B18:C18"/>
    <mergeCell ref="A19:C19"/>
    <mergeCell ref="A24:C24"/>
    <mergeCell ref="A28:C28"/>
    <mergeCell ref="B30:C30"/>
    <mergeCell ref="A32:C32"/>
  </mergeCells>
  <printOptions horizontalCentered="1"/>
  <pageMargins left="0.5" right="0.5" top="0.6" bottom="0.6" header="0.3" footer="0.3"/>
  <pageSetup paperSize="9"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I11"/>
  <sheetFormatPr defaultRowHeight="15" outlineLevelRow="0" outlineLevelCol="0" x14ac:dyDescent="55"/>
  <cols>
    <col min="1" max="1" width="22" customWidth="1"/>
    <col min="2" max="2" width="14" customWidth="1"/>
    <col min="3" max="3" width="22" customWidth="1"/>
    <col min="4" max="4" width="18" customWidth="1"/>
    <col min="5" max="5" width="16" customWidth="1"/>
    <col min="6" max="6" width="18" customWidth="1"/>
    <col min="7" max="7" width="24" customWidth="1"/>
    <col min="9" max="9" width="9" hidden="1" customWidth="1"/>
  </cols>
  <sheetData>
    <row r="1" ht="28" customHeight="1" spans="1:7" x14ac:dyDescent="0.25">
      <c r="A1" s="1" t="s">
        <v>120</v>
      </c>
      <c r="B1" s="1"/>
      <c r="C1" s="1"/>
      <c r="D1" s="1"/>
      <c r="E1" s="1"/>
      <c r="F1" s="1"/>
      <c r="G1" s="1"/>
    </row>
    <row r="2" ht="30" customHeight="1" spans="1:7" x14ac:dyDescent="0.25">
      <c r="A2" s="10" t="s">
        <v>121</v>
      </c>
      <c r="B2" s="10"/>
      <c r="C2" s="10"/>
      <c r="D2" s="10"/>
      <c r="E2" s="10"/>
      <c r="F2" s="10"/>
      <c r="G2" s="10"/>
    </row>
    <row r="4" ht="32" customHeight="1" spans="1:7" x14ac:dyDescent="0.25">
      <c r="A4" s="43" t="s">
        <v>113</v>
      </c>
      <c r="B4" s="43" t="s">
        <v>122</v>
      </c>
      <c r="C4" s="43" t="s">
        <v>123</v>
      </c>
      <c r="D4" s="43" t="s">
        <v>114</v>
      </c>
      <c r="E4" s="43" t="s">
        <v>124</v>
      </c>
      <c r="F4" s="43" t="s">
        <v>115</v>
      </c>
      <c r="G4" s="43" t="s">
        <v>125</v>
      </c>
    </row>
    <row r="5" spans="1:9" x14ac:dyDescent="0.25">
      <c r="A5" s="34">
        <f>IF(I5="","",IF(MOD(I5,2)=0,"1er","2do")&amp;" semestre "&amp;INT(I5/2))</f>
      </c>
      <c r="B5" s="44">
        <f>IF(I5="","",SUMIF('Mis recibos'!$T$5:$T$28,I5,'Mis recibos'!$V$5:$V$28))</f>
      </c>
      <c r="C5" s="29">
        <f>IF(I5="","",IF(B5=0,"",INDEX('Mis recibos'!$U$5:$U$28,MATCH(I5,'Mis recibos'!$T$5:$T$28,1))))</f>
      </c>
      <c r="D5" s="29">
        <f>IF(ISNUMBER(C5),C5/2,"")</f>
      </c>
      <c r="E5" s="29">
        <f>IF(ISNUMBER(D5),D5*('Mis datos'!$B$21+'Mis datos'!$B$22+'Mis datos'!$B$23),"")</f>
      </c>
      <c r="F5" s="30">
        <f>IF(ISNUMBER(D5),D5-E5,"")</f>
      </c>
      <c r="G5" s="34">
        <f>IF(I5="","",IF(MOD(I5,2)=0,"30 de junio de ","18 de diciembre de ")&amp;INT(I5/2))</f>
      </c>
      <c r="I5">
        <f>IF(ISNUMBER('Mis recibos'!T5),'Mis recibos'!T5,"")</f>
      </c>
    </row>
    <row r="6" spans="1:9" x14ac:dyDescent="0.25">
      <c r="A6" s="34">
        <f>IF(I6="","",IF(MOD(I6,2)=0,"1er","2do")&amp;" semestre "&amp;INT(I6/2))</f>
      </c>
      <c r="B6" s="44">
        <f>IF(I6="","",SUMIF('Mis recibos'!$T$5:$T$28,I6,'Mis recibos'!$V$5:$V$28))</f>
      </c>
      <c r="C6" s="29">
        <f>IF(I6="","",IF(B6=0,"",INDEX('Mis recibos'!$U$5:$U$28,MATCH(I6,'Mis recibos'!$T$5:$T$28,1))))</f>
      </c>
      <c r="D6" s="29">
        <f>IF(ISNUMBER(C6),C6/2,"")</f>
      </c>
      <c r="E6" s="29">
        <f>IF(ISNUMBER(D6),D6*('Mis datos'!$B$21+'Mis datos'!$B$22+'Mis datos'!$B$23),"")</f>
      </c>
      <c r="F6" s="30">
        <f>IF(ISNUMBER(D6),D6-E6,"")</f>
      </c>
      <c r="G6" s="34">
        <f>IF(I6="","",IF(MOD(I6,2)=0,"30 de junio de ","18 de diciembre de ")&amp;INT(I6/2))</f>
      </c>
      <c r="I6">
        <f>IF(ISNUMBER(I5),I5+1,"")</f>
      </c>
    </row>
    <row r="7" spans="1:9" x14ac:dyDescent="0.25">
      <c r="A7" s="34">
        <f>IF(I7="","",IF(MOD(I7,2)=0,"1er","2do")&amp;" semestre "&amp;INT(I7/2))</f>
      </c>
      <c r="B7" s="44">
        <f>IF(I7="","",SUMIF('Mis recibos'!$T$5:$T$28,I7,'Mis recibos'!$V$5:$V$28))</f>
      </c>
      <c r="C7" s="29">
        <f>IF(I7="","",IF(B7=0,"",INDEX('Mis recibos'!$U$5:$U$28,MATCH(I7,'Mis recibos'!$T$5:$T$28,1))))</f>
      </c>
      <c r="D7" s="29">
        <f>IF(ISNUMBER(C7),C7/2,"")</f>
      </c>
      <c r="E7" s="29">
        <f>IF(ISNUMBER(D7),D7*('Mis datos'!$B$21+'Mis datos'!$B$22+'Mis datos'!$B$23),"")</f>
      </c>
      <c r="F7" s="30">
        <f>IF(ISNUMBER(D7),D7-E7,"")</f>
      </c>
      <c r="G7" s="34">
        <f>IF(I7="","",IF(MOD(I7,2)=0,"30 de junio de ","18 de diciembre de ")&amp;INT(I7/2))</f>
      </c>
      <c r="I7">
        <f>IF(ISNUMBER(I5),I5+2,"")</f>
      </c>
    </row>
    <row r="8" spans="1:9" x14ac:dyDescent="0.25">
      <c r="A8" s="34">
        <f>IF(I8="","",IF(MOD(I8,2)=0,"1er","2do")&amp;" semestre "&amp;INT(I8/2))</f>
      </c>
      <c r="B8" s="44">
        <f>IF(I8="","",SUMIF('Mis recibos'!$T$5:$T$28,I8,'Mis recibos'!$V$5:$V$28))</f>
      </c>
      <c r="C8" s="29">
        <f>IF(I8="","",IF(B8=0,"",INDEX('Mis recibos'!$U$5:$U$28,MATCH(I8,'Mis recibos'!$T$5:$T$28,1))))</f>
      </c>
      <c r="D8" s="29">
        <f>IF(ISNUMBER(C8),C8/2,"")</f>
      </c>
      <c r="E8" s="29">
        <f>IF(ISNUMBER(D8),D8*('Mis datos'!$B$21+'Mis datos'!$B$22+'Mis datos'!$B$23),"")</f>
      </c>
      <c r="F8" s="30">
        <f>IF(ISNUMBER(D8),D8-E8,"")</f>
      </c>
      <c r="G8" s="34">
        <f>IF(I8="","",IF(MOD(I8,2)=0,"30 de junio de ","18 de diciembre de ")&amp;INT(I8/2))</f>
      </c>
      <c r="I8">
        <f>IF(ISNUMBER(I5),I5+3,"")</f>
      </c>
    </row>
    <row r="9" spans="1:9" x14ac:dyDescent="0.25">
      <c r="A9" s="34">
        <f>IF(I9="","",IF(MOD(I9,2)=0,"1er","2do")&amp;" semestre "&amp;INT(I9/2))</f>
      </c>
      <c r="B9" s="44">
        <f>IF(I9="","",SUMIF('Mis recibos'!$T$5:$T$28,I9,'Mis recibos'!$V$5:$V$28))</f>
      </c>
      <c r="C9" s="29">
        <f>IF(I9="","",IF(B9=0,"",INDEX('Mis recibos'!$U$5:$U$28,MATCH(I9,'Mis recibos'!$T$5:$T$28,1))))</f>
      </c>
      <c r="D9" s="29">
        <f>IF(ISNUMBER(C9),C9/2,"")</f>
      </c>
      <c r="E9" s="29">
        <f>IF(ISNUMBER(D9),D9*('Mis datos'!$B$21+'Mis datos'!$B$22+'Mis datos'!$B$23),"")</f>
      </c>
      <c r="F9" s="30">
        <f>IF(ISNUMBER(D9),D9-E9,"")</f>
      </c>
      <c r="G9" s="34">
        <f>IF(I9="","",IF(MOD(I9,2)=0,"30 de junio de ","18 de diciembre de ")&amp;INT(I9/2))</f>
      </c>
      <c r="I9">
        <f>IF(ISNUMBER(I5),I5+4,"")</f>
      </c>
    </row>
    <row r="11" ht="32" customHeight="1" spans="1:7" x14ac:dyDescent="0.25">
      <c r="A11" s="9" t="s">
        <v>126</v>
      </c>
      <c r="B11" s="9"/>
      <c r="C11" s="9"/>
      <c r="D11" s="9"/>
      <c r="E11" s="9"/>
      <c r="F11" s="9"/>
      <c r="G11" s="9"/>
    </row>
  </sheetData>
  <sheetProtection sheet="1" formatColumns="0" formatRows="0"/>
  <mergeCells count="3">
    <mergeCell ref="A1:G1"/>
    <mergeCell ref="A2:G2"/>
    <mergeCell ref="A11:G1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J197"/>
  <sheetViews>
    <sheetView workbookViewId="0">
      <pane ySplit="4" topLeftCell="A5" activePane="bottomLeft" state="frozen"/>
      <selection pane="bottomLeft"/>
    </sheetView>
  </sheetViews>
  <sheetFormatPr defaultRowHeight="15" outlineLevelRow="0" outlineLevelCol="0" x14ac:dyDescent="55"/>
  <cols>
    <col min="1" max="1" width="24" customWidth="1"/>
    <col min="2" max="3" width="6" customWidth="1"/>
    <col min="4" max="4" width="18" customWidth="1"/>
    <col min="5" max="5" width="16" customWidth="1"/>
    <col min="6" max="6" width="22" customWidth="1"/>
    <col min="7" max="7" width="18" customWidth="1"/>
    <col min="8" max="9" width="2" customWidth="1"/>
    <col min="10" max="10" width="14" hidden="1" customWidth="1"/>
  </cols>
  <sheetData>
    <row r="1" ht="28" customHeight="1" spans="1:7" x14ac:dyDescent="0.25">
      <c r="A1" s="32" t="s">
        <v>127</v>
      </c>
      <c r="B1" s="32"/>
      <c r="C1" s="32"/>
      <c r="D1" s="32"/>
      <c r="E1" s="32"/>
      <c r="F1" s="32"/>
      <c r="G1" s="32"/>
    </row>
    <row r="2" ht="30" customHeight="1" spans="1:10" x14ac:dyDescent="0.25">
      <c r="A2" s="10" t="s">
        <v>128</v>
      </c>
      <c r="B2" s="10"/>
      <c r="C2" s="10"/>
      <c r="D2" s="10"/>
      <c r="E2" s="10"/>
      <c r="F2" s="10"/>
      <c r="G2" s="10"/>
      <c r="J2">
        <v>24203</v>
      </c>
    </row>
    <row r="3" spans="10:10" x14ac:dyDescent="0.25">
      <c r="J3">
        <f>J2+COUNT(D5:D197)-1</f>
      </c>
    </row>
    <row r="4" ht="32" customHeight="1" spans="1:10" x14ac:dyDescent="0.25">
      <c r="A4" s="33" t="s">
        <v>129</v>
      </c>
      <c r="B4" s="33"/>
      <c r="C4" s="33"/>
      <c r="D4" s="33" t="s">
        <v>130</v>
      </c>
      <c r="E4" s="33" t="s">
        <v>131</v>
      </c>
      <c r="F4" s="33" t="s">
        <v>132</v>
      </c>
      <c r="G4" s="33" t="s">
        <v>133</v>
      </c>
      <c r="J4">
        <f>INDEX(IPC!$J$5:$J$16,MOD(J3,12)+1)&amp;" de "&amp;INT((J3)/12)</f>
      </c>
    </row>
    <row r="5" spans="1:10" x14ac:dyDescent="0.25">
      <c r="A5" s="45" t="s">
        <v>134</v>
      </c>
      <c r="B5" s="45"/>
      <c r="C5" s="45"/>
      <c r="D5" s="46">
        <v>100</v>
      </c>
      <c r="E5" s="47"/>
      <c r="F5" s="48"/>
      <c r="G5" s="45" t="s">
        <v>135</v>
      </c>
      <c r="J5" t="s">
        <v>136</v>
      </c>
    </row>
    <row r="6" spans="1:10" x14ac:dyDescent="0.25">
      <c r="A6" s="49" t="s">
        <v>137</v>
      </c>
      <c r="B6" s="49"/>
      <c r="C6" s="49"/>
      <c r="D6" s="50">
        <v>101.5859</v>
      </c>
      <c r="E6" s="51">
        <f>D6/D5-1</f>
      </c>
      <c r="F6" s="48"/>
      <c r="G6" s="49" t="s">
        <v>135</v>
      </c>
      <c r="J6" t="s">
        <v>138</v>
      </c>
    </row>
    <row r="7" spans="1:10" x14ac:dyDescent="0.25">
      <c r="A7" s="45" t="s">
        <v>139</v>
      </c>
      <c r="B7" s="45"/>
      <c r="C7" s="45"/>
      <c r="D7" s="46">
        <v>103.6859</v>
      </c>
      <c r="E7" s="47">
        <f>D7/D6-1</f>
      </c>
      <c r="F7" s="48"/>
      <c r="G7" s="45" t="s">
        <v>135</v>
      </c>
      <c r="J7" t="s">
        <v>140</v>
      </c>
    </row>
    <row r="8" spans="1:10" x14ac:dyDescent="0.25">
      <c r="A8" s="49" t="s">
        <v>141</v>
      </c>
      <c r="B8" s="49"/>
      <c r="C8" s="49"/>
      <c r="D8" s="50">
        <v>106.1476</v>
      </c>
      <c r="E8" s="51">
        <f>D8/D7-1</f>
      </c>
      <c r="F8" s="48"/>
      <c r="G8" s="49" t="s">
        <v>135</v>
      </c>
      <c r="J8" t="s">
        <v>142</v>
      </c>
    </row>
    <row r="9" spans="1:10" x14ac:dyDescent="0.25">
      <c r="A9" s="45" t="s">
        <v>143</v>
      </c>
      <c r="B9" s="45"/>
      <c r="C9" s="45"/>
      <c r="D9" s="46">
        <v>108.9667</v>
      </c>
      <c r="E9" s="47">
        <f>D9/D8-1</f>
      </c>
      <c r="F9" s="48"/>
      <c r="G9" s="45" t="s">
        <v>135</v>
      </c>
      <c r="J9" t="s">
        <v>144</v>
      </c>
    </row>
    <row r="10" spans="1:10" x14ac:dyDescent="0.25">
      <c r="A10" s="49" t="s">
        <v>145</v>
      </c>
      <c r="B10" s="49"/>
      <c r="C10" s="49"/>
      <c r="D10" s="50">
        <v>110.5301</v>
      </c>
      <c r="E10" s="51">
        <f>D10/D9-1</f>
      </c>
      <c r="F10" s="48"/>
      <c r="G10" s="49" t="s">
        <v>135</v>
      </c>
      <c r="J10" t="s">
        <v>146</v>
      </c>
    </row>
    <row r="11" spans="1:10" x14ac:dyDescent="0.25">
      <c r="A11" s="45" t="s">
        <v>147</v>
      </c>
      <c r="B11" s="45"/>
      <c r="C11" s="45"/>
      <c r="D11" s="46">
        <v>111.8477</v>
      </c>
      <c r="E11" s="47">
        <f>D11/D10-1</f>
      </c>
      <c r="F11" s="48"/>
      <c r="G11" s="45" t="s">
        <v>135</v>
      </c>
      <c r="J11" t="s">
        <v>148</v>
      </c>
    </row>
    <row r="12" spans="1:10" x14ac:dyDescent="0.25">
      <c r="A12" s="49" t="s">
        <v>149</v>
      </c>
      <c r="B12" s="49"/>
      <c r="C12" s="49"/>
      <c r="D12" s="50">
        <v>113.7852</v>
      </c>
      <c r="E12" s="51">
        <f>D12/D11-1</f>
      </c>
      <c r="F12" s="48"/>
      <c r="G12" s="49" t="s">
        <v>135</v>
      </c>
      <c r="J12" t="s">
        <v>150</v>
      </c>
    </row>
    <row r="13" spans="1:10" x14ac:dyDescent="0.25">
      <c r="A13" s="45" t="s">
        <v>151</v>
      </c>
      <c r="B13" s="45"/>
      <c r="C13" s="45"/>
      <c r="D13" s="46">
        <v>115.3819</v>
      </c>
      <c r="E13" s="47">
        <f>D13/D12-1</f>
      </c>
      <c r="F13" s="48"/>
      <c r="G13" s="45" t="s">
        <v>135</v>
      </c>
      <c r="J13" t="s">
        <v>29</v>
      </c>
    </row>
    <row r="14" spans="1:10" x14ac:dyDescent="0.25">
      <c r="A14" s="49" t="s">
        <v>152</v>
      </c>
      <c r="B14" s="49"/>
      <c r="C14" s="49"/>
      <c r="D14" s="50">
        <v>117.5719</v>
      </c>
      <c r="E14" s="51">
        <f>D14/D13-1</f>
      </c>
      <c r="F14" s="48"/>
      <c r="G14" s="49" t="s">
        <v>135</v>
      </c>
      <c r="J14" t="s">
        <v>153</v>
      </c>
    </row>
    <row r="15" spans="1:10" x14ac:dyDescent="0.25">
      <c r="A15" s="45" t="s">
        <v>154</v>
      </c>
      <c r="B15" s="45"/>
      <c r="C15" s="45"/>
      <c r="D15" s="46">
        <v>119.3528</v>
      </c>
      <c r="E15" s="47">
        <f>D15/D14-1</f>
      </c>
      <c r="F15" s="48"/>
      <c r="G15" s="45" t="s">
        <v>135</v>
      </c>
      <c r="J15" t="s">
        <v>155</v>
      </c>
    </row>
    <row r="16" spans="1:10" x14ac:dyDescent="0.25">
      <c r="A16" s="49" t="s">
        <v>156</v>
      </c>
      <c r="B16" s="49"/>
      <c r="C16" s="49"/>
      <c r="D16" s="50">
        <v>120.994</v>
      </c>
      <c r="E16" s="51">
        <f>D16/D15-1</f>
      </c>
      <c r="F16" s="48"/>
      <c r="G16" s="49" t="s">
        <v>135</v>
      </c>
      <c r="J16" t="s">
        <v>157</v>
      </c>
    </row>
    <row r="17" spans="1:7" x14ac:dyDescent="0.25">
      <c r="A17" s="45" t="s">
        <v>158</v>
      </c>
      <c r="B17" s="45"/>
      <c r="C17" s="45"/>
      <c r="D17" s="46">
        <v>124.7956</v>
      </c>
      <c r="E17" s="47">
        <f>D17/D16-1</f>
      </c>
      <c r="F17" s="48"/>
      <c r="G17" s="45" t="s">
        <v>135</v>
      </c>
    </row>
    <row r="18" spans="1:7" x14ac:dyDescent="0.25">
      <c r="A18" s="49" t="s">
        <v>159</v>
      </c>
      <c r="B18" s="49"/>
      <c r="C18" s="49"/>
      <c r="D18" s="50">
        <v>126.9887</v>
      </c>
      <c r="E18" s="51">
        <f>D18/D17-1</f>
      </c>
      <c r="F18" s="48"/>
      <c r="G18" s="49" t="s">
        <v>135</v>
      </c>
    </row>
    <row r="19" spans="1:7" x14ac:dyDescent="0.25">
      <c r="A19" s="45" t="s">
        <v>160</v>
      </c>
      <c r="B19" s="45"/>
      <c r="C19" s="45"/>
      <c r="D19" s="46">
        <v>130.0606</v>
      </c>
      <c r="E19" s="47">
        <f>D19/D18-1</f>
      </c>
      <c r="F19" s="48"/>
      <c r="G19" s="45" t="s">
        <v>135</v>
      </c>
    </row>
    <row r="20" spans="1:7" x14ac:dyDescent="0.25">
      <c r="A20" s="49" t="s">
        <v>161</v>
      </c>
      <c r="B20" s="49"/>
      <c r="C20" s="49"/>
      <c r="D20" s="50">
        <v>133.1054</v>
      </c>
      <c r="E20" s="51">
        <f>D20/D19-1</f>
      </c>
      <c r="F20" s="48"/>
      <c r="G20" s="49" t="s">
        <v>135</v>
      </c>
    </row>
    <row r="21" spans="1:7" x14ac:dyDescent="0.25">
      <c r="A21" s="45" t="s">
        <v>162</v>
      </c>
      <c r="B21" s="45"/>
      <c r="C21" s="45"/>
      <c r="D21" s="46">
        <v>136.7512</v>
      </c>
      <c r="E21" s="47">
        <f>D21/D20-1</f>
      </c>
      <c r="F21" s="48"/>
      <c r="G21" s="45" t="s">
        <v>135</v>
      </c>
    </row>
    <row r="22" spans="1:7" x14ac:dyDescent="0.25">
      <c r="A22" s="49" t="s">
        <v>163</v>
      </c>
      <c r="B22" s="49"/>
      <c r="C22" s="49"/>
      <c r="D22" s="50">
        <v>139.5893</v>
      </c>
      <c r="E22" s="51">
        <f>D22/D21-1</f>
      </c>
      <c r="F22" s="48"/>
      <c r="G22" s="49" t="s">
        <v>135</v>
      </c>
    </row>
    <row r="23" spans="1:7" x14ac:dyDescent="0.25">
      <c r="A23" s="45" t="s">
        <v>164</v>
      </c>
      <c r="B23" s="45"/>
      <c r="C23" s="45"/>
      <c r="D23" s="46">
        <v>144.8053</v>
      </c>
      <c r="E23" s="47">
        <f>D23/D22-1</f>
      </c>
      <c r="F23" s="48"/>
      <c r="G23" s="45" t="s">
        <v>135</v>
      </c>
    </row>
    <row r="24" spans="1:7" x14ac:dyDescent="0.25">
      <c r="A24" s="49" t="s">
        <v>165</v>
      </c>
      <c r="B24" s="49"/>
      <c r="C24" s="49"/>
      <c r="D24" s="50">
        <v>149.2966</v>
      </c>
      <c r="E24" s="51">
        <f>D24/D23-1</f>
      </c>
      <c r="F24" s="48"/>
      <c r="G24" s="49" t="s">
        <v>135</v>
      </c>
    </row>
    <row r="25" spans="1:7" x14ac:dyDescent="0.25">
      <c r="A25" s="45" t="s">
        <v>166</v>
      </c>
      <c r="B25" s="45"/>
      <c r="C25" s="45"/>
      <c r="D25" s="46">
        <v>155.1034</v>
      </c>
      <c r="E25" s="47">
        <f>D25/D24-1</f>
      </c>
      <c r="F25" s="48"/>
      <c r="G25" s="45" t="s">
        <v>135</v>
      </c>
    </row>
    <row r="26" spans="1:7" x14ac:dyDescent="0.25">
      <c r="A26" s="49" t="s">
        <v>167</v>
      </c>
      <c r="B26" s="49"/>
      <c r="C26" s="49"/>
      <c r="D26" s="50">
        <v>165.2383</v>
      </c>
      <c r="E26" s="51">
        <f>D26/D25-1</f>
      </c>
      <c r="F26" s="48"/>
      <c r="G26" s="49" t="s">
        <v>135</v>
      </c>
    </row>
    <row r="27" spans="1:7" x14ac:dyDescent="0.25">
      <c r="A27" s="45" t="s">
        <v>168</v>
      </c>
      <c r="B27" s="45"/>
      <c r="C27" s="45"/>
      <c r="D27" s="46">
        <v>174.1473</v>
      </c>
      <c r="E27" s="47">
        <f>D27/D26-1</f>
      </c>
      <c r="F27" s="48"/>
      <c r="G27" s="45" t="s">
        <v>135</v>
      </c>
    </row>
    <row r="28" spans="1:7" x14ac:dyDescent="0.25">
      <c r="A28" s="49" t="s">
        <v>169</v>
      </c>
      <c r="B28" s="49"/>
      <c r="C28" s="49"/>
      <c r="D28" s="50">
        <v>179.6388</v>
      </c>
      <c r="E28" s="51">
        <f>D28/D27-1</f>
      </c>
      <c r="F28" s="48"/>
      <c r="G28" s="49" t="s">
        <v>135</v>
      </c>
    </row>
    <row r="29" spans="1:7" x14ac:dyDescent="0.25">
      <c r="A29" s="45" t="s">
        <v>170</v>
      </c>
      <c r="B29" s="45"/>
      <c r="C29" s="45"/>
      <c r="D29" s="46">
        <v>184.2552</v>
      </c>
      <c r="E29" s="47">
        <f>D29/D28-1</f>
      </c>
      <c r="F29" s="48"/>
      <c r="G29" s="45" t="s">
        <v>135</v>
      </c>
    </row>
    <row r="30" spans="1:7" x14ac:dyDescent="0.25">
      <c r="A30" s="49" t="s">
        <v>171</v>
      </c>
      <c r="B30" s="49"/>
      <c r="C30" s="49"/>
      <c r="D30" s="50">
        <v>189.6101</v>
      </c>
      <c r="E30" s="51">
        <f>D30/D29-1</f>
      </c>
      <c r="F30" s="48"/>
      <c r="G30" s="49" t="s">
        <v>135</v>
      </c>
    </row>
    <row r="31" spans="1:7" x14ac:dyDescent="0.25">
      <c r="A31" s="45" t="s">
        <v>172</v>
      </c>
      <c r="B31" s="45"/>
      <c r="C31" s="45"/>
      <c r="D31" s="46">
        <v>196.7501</v>
      </c>
      <c r="E31" s="47">
        <f>D31/D30-1</f>
      </c>
      <c r="F31" s="48"/>
      <c r="G31" s="45" t="s">
        <v>135</v>
      </c>
    </row>
    <row r="32" spans="1:7" x14ac:dyDescent="0.25">
      <c r="A32" s="49" t="s">
        <v>173</v>
      </c>
      <c r="B32" s="49"/>
      <c r="C32" s="49"/>
      <c r="D32" s="50">
        <v>205.9571</v>
      </c>
      <c r="E32" s="51">
        <f>D32/D31-1</f>
      </c>
      <c r="F32" s="48"/>
      <c r="G32" s="49" t="s">
        <v>135</v>
      </c>
    </row>
    <row r="33" spans="1:7" x14ac:dyDescent="0.25">
      <c r="A33" s="45" t="s">
        <v>174</v>
      </c>
      <c r="B33" s="45"/>
      <c r="C33" s="45"/>
      <c r="D33" s="46">
        <v>212.9596414</v>
      </c>
      <c r="E33" s="47">
        <f>D33/D32-1</f>
      </c>
      <c r="F33" s="48"/>
      <c r="G33" s="45" t="s">
        <v>135</v>
      </c>
    </row>
    <row r="34" spans="1:7" x14ac:dyDescent="0.25">
      <c r="A34" s="49" t="s">
        <v>175</v>
      </c>
      <c r="B34" s="49"/>
      <c r="C34" s="49"/>
      <c r="D34" s="50">
        <v>219.5691</v>
      </c>
      <c r="E34" s="51">
        <f>D34/D33-1</f>
      </c>
      <c r="F34" s="48"/>
      <c r="G34" s="49" t="s">
        <v>135</v>
      </c>
    </row>
    <row r="35" spans="1:7" x14ac:dyDescent="0.25">
      <c r="A35" s="45" t="s">
        <v>176</v>
      </c>
      <c r="B35" s="45"/>
      <c r="C35" s="45"/>
      <c r="D35" s="46">
        <v>225.537</v>
      </c>
      <c r="E35" s="47">
        <f>D35/D34-1</f>
      </c>
      <c r="F35" s="48"/>
      <c r="G35" s="45" t="s">
        <v>135</v>
      </c>
    </row>
    <row r="36" spans="1:7" x14ac:dyDescent="0.25">
      <c r="A36" s="49" t="s">
        <v>177</v>
      </c>
      <c r="B36" s="49"/>
      <c r="C36" s="49"/>
      <c r="D36" s="50">
        <v>230.494</v>
      </c>
      <c r="E36" s="51">
        <f>D36/D35-1</f>
      </c>
      <c r="F36" s="48"/>
      <c r="G36" s="49" t="s">
        <v>135</v>
      </c>
    </row>
    <row r="37" spans="1:7" x14ac:dyDescent="0.25">
      <c r="A37" s="45" t="s">
        <v>178</v>
      </c>
      <c r="B37" s="45"/>
      <c r="C37" s="45"/>
      <c r="D37" s="46">
        <v>239.6077</v>
      </c>
      <c r="E37" s="47">
        <f>D37/D36-1</f>
      </c>
      <c r="F37" s="48"/>
      <c r="G37" s="45" t="s">
        <v>135</v>
      </c>
    </row>
    <row r="38" spans="1:7" x14ac:dyDescent="0.25">
      <c r="A38" s="49" t="s">
        <v>179</v>
      </c>
      <c r="B38" s="49"/>
      <c r="C38" s="49"/>
      <c r="D38" s="50">
        <v>253.7102</v>
      </c>
      <c r="E38" s="51">
        <f>D38/D37-1</f>
      </c>
      <c r="F38" s="48"/>
      <c r="G38" s="49" t="s">
        <v>135</v>
      </c>
    </row>
    <row r="39" spans="1:7" x14ac:dyDescent="0.25">
      <c r="A39" s="45" t="s">
        <v>180</v>
      </c>
      <c r="B39" s="45"/>
      <c r="C39" s="45"/>
      <c r="D39" s="46">
        <v>262.0661</v>
      </c>
      <c r="E39" s="47">
        <f>D39/D38-1</f>
      </c>
      <c r="F39" s="48"/>
      <c r="G39" s="45" t="s">
        <v>135</v>
      </c>
    </row>
    <row r="40" spans="1:7" x14ac:dyDescent="0.25">
      <c r="A40" s="49" t="s">
        <v>181</v>
      </c>
      <c r="B40" s="49"/>
      <c r="C40" s="49"/>
      <c r="D40" s="50">
        <v>273.2158</v>
      </c>
      <c r="E40" s="51">
        <f>D40/D39-1</f>
      </c>
      <c r="F40" s="48"/>
      <c r="G40" s="49" t="s">
        <v>135</v>
      </c>
    </row>
    <row r="41" spans="1:7" x14ac:dyDescent="0.25">
      <c r="A41" s="45" t="s">
        <v>182</v>
      </c>
      <c r="B41" s="45"/>
      <c r="C41" s="45"/>
      <c r="D41" s="46">
        <v>283.4442</v>
      </c>
      <c r="E41" s="47">
        <f>D41/D40-1</f>
      </c>
      <c r="F41" s="48"/>
      <c r="G41" s="45" t="s">
        <v>135</v>
      </c>
    </row>
    <row r="42" spans="1:7" x14ac:dyDescent="0.25">
      <c r="A42" s="49" t="s">
        <v>183</v>
      </c>
      <c r="B42" s="49"/>
      <c r="C42" s="49"/>
      <c r="D42" s="50">
        <v>289.8299</v>
      </c>
      <c r="E42" s="51">
        <f>D42/D41-1</f>
      </c>
      <c r="F42" s="48"/>
      <c r="G42" s="49" t="s">
        <v>135</v>
      </c>
    </row>
    <row r="43" spans="1:7" x14ac:dyDescent="0.25">
      <c r="A43" s="45" t="s">
        <v>184</v>
      </c>
      <c r="B43" s="45"/>
      <c r="C43" s="45"/>
      <c r="D43" s="46">
        <v>295.666</v>
      </c>
      <c r="E43" s="47">
        <f>D43/D42-1</f>
      </c>
      <c r="F43" s="48"/>
      <c r="G43" s="45" t="s">
        <v>135</v>
      </c>
    </row>
    <row r="44" spans="1:7" x14ac:dyDescent="0.25">
      <c r="A44" s="49" t="s">
        <v>185</v>
      </c>
      <c r="B44" s="49"/>
      <c r="C44" s="49"/>
      <c r="D44" s="50">
        <v>305.5515</v>
      </c>
      <c r="E44" s="51">
        <f>D44/D43-1</f>
      </c>
      <c r="F44" s="48"/>
      <c r="G44" s="49" t="s">
        <v>135</v>
      </c>
    </row>
    <row r="45" spans="1:7" x14ac:dyDescent="0.25">
      <c r="A45" s="45" t="s">
        <v>186</v>
      </c>
      <c r="B45" s="45"/>
      <c r="C45" s="45"/>
      <c r="D45" s="46">
        <v>310.1243</v>
      </c>
      <c r="E45" s="47">
        <f>D45/D44-1</f>
      </c>
      <c r="F45" s="48"/>
      <c r="G45" s="45" t="s">
        <v>135</v>
      </c>
    </row>
    <row r="46" spans="1:7" x14ac:dyDescent="0.25">
      <c r="A46" s="49" t="s">
        <v>187</v>
      </c>
      <c r="B46" s="49"/>
      <c r="C46" s="49"/>
      <c r="D46" s="50">
        <v>314.9087</v>
      </c>
      <c r="E46" s="51">
        <f>D46/D45-1</f>
      </c>
      <c r="F46" s="48"/>
      <c r="G46" s="49" t="s">
        <v>135</v>
      </c>
    </row>
    <row r="47" spans="1:7" x14ac:dyDescent="0.25">
      <c r="A47" s="45" t="s">
        <v>188</v>
      </c>
      <c r="B47" s="45"/>
      <c r="C47" s="45"/>
      <c r="D47" s="46">
        <v>321.9738</v>
      </c>
      <c r="E47" s="47">
        <f>D47/D46-1</f>
      </c>
      <c r="F47" s="48"/>
      <c r="G47" s="45" t="s">
        <v>135</v>
      </c>
    </row>
    <row r="48" spans="1:7" x14ac:dyDescent="0.25">
      <c r="A48" s="49" t="s">
        <v>189</v>
      </c>
      <c r="B48" s="49"/>
      <c r="C48" s="49"/>
      <c r="D48" s="50">
        <v>328.2014</v>
      </c>
      <c r="E48" s="51">
        <f>D48/D47-1</f>
      </c>
      <c r="F48" s="48"/>
      <c r="G48" s="49" t="s">
        <v>135</v>
      </c>
    </row>
    <row r="49" spans="1:7" x14ac:dyDescent="0.25">
      <c r="A49" s="45" t="s">
        <v>190</v>
      </c>
      <c r="B49" s="45"/>
      <c r="C49" s="45"/>
      <c r="D49" s="46">
        <v>337.0632</v>
      </c>
      <c r="E49" s="47">
        <f>D49/D48-1</f>
      </c>
      <c r="F49" s="48"/>
      <c r="G49" s="45" t="s">
        <v>135</v>
      </c>
    </row>
    <row r="50" spans="1:7" x14ac:dyDescent="0.25">
      <c r="A50" s="49" t="s">
        <v>191</v>
      </c>
      <c r="B50" s="49"/>
      <c r="C50" s="49"/>
      <c r="D50" s="50">
        <v>346.6207</v>
      </c>
      <c r="E50" s="51">
        <f>D50/D49-1</f>
      </c>
      <c r="F50" s="48"/>
      <c r="G50" s="49" t="s">
        <v>135</v>
      </c>
    </row>
    <row r="51" spans="1:7" x14ac:dyDescent="0.25">
      <c r="A51" s="45" t="s">
        <v>192</v>
      </c>
      <c r="B51" s="45"/>
      <c r="C51" s="45"/>
      <c r="D51" s="46">
        <v>359.657</v>
      </c>
      <c r="E51" s="47">
        <f>D51/D50-1</f>
      </c>
      <c r="F51" s="48"/>
      <c r="G51" s="45" t="s">
        <v>135</v>
      </c>
    </row>
    <row r="52" spans="1:7" x14ac:dyDescent="0.25">
      <c r="A52" s="49" t="s">
        <v>193</v>
      </c>
      <c r="B52" s="49"/>
      <c r="C52" s="49"/>
      <c r="D52" s="50">
        <v>371.0211</v>
      </c>
      <c r="E52" s="51">
        <f>D52/D51-1</f>
      </c>
      <c r="F52" s="48"/>
      <c r="G52" s="49" t="s">
        <v>135</v>
      </c>
    </row>
    <row r="53" spans="1:7" x14ac:dyDescent="0.25">
      <c r="A53" s="45" t="s">
        <v>194</v>
      </c>
      <c r="B53" s="45"/>
      <c r="C53" s="45"/>
      <c r="D53" s="46">
        <v>385.8826</v>
      </c>
      <c r="E53" s="47">
        <f>D53/D52-1</f>
      </c>
      <c r="F53" s="48"/>
      <c r="G53" s="45" t="s">
        <v>135</v>
      </c>
    </row>
    <row r="54" spans="1:7" x14ac:dyDescent="0.25">
      <c r="A54" s="49" t="s">
        <v>195</v>
      </c>
      <c r="B54" s="49"/>
      <c r="C54" s="49"/>
      <c r="D54" s="50">
        <v>401.5071</v>
      </c>
      <c r="E54" s="51">
        <f>D54/D53-1</f>
      </c>
      <c r="F54" s="48"/>
      <c r="G54" s="49" t="s">
        <v>135</v>
      </c>
    </row>
    <row r="55" spans="1:7" x14ac:dyDescent="0.25">
      <c r="A55" s="45" t="s">
        <v>196</v>
      </c>
      <c r="B55" s="45"/>
      <c r="C55" s="45"/>
      <c r="D55" s="46">
        <v>415.8595</v>
      </c>
      <c r="E55" s="47">
        <f>D55/D54-1</f>
      </c>
      <c r="F55" s="48"/>
      <c r="G55" s="45" t="s">
        <v>135</v>
      </c>
    </row>
    <row r="56" spans="1:7" x14ac:dyDescent="0.25">
      <c r="A56" s="49" t="s">
        <v>197</v>
      </c>
      <c r="B56" s="49"/>
      <c r="C56" s="49"/>
      <c r="D56" s="50">
        <v>435.8657</v>
      </c>
      <c r="E56" s="51">
        <f>D56/D55-1</f>
      </c>
      <c r="F56" s="48"/>
      <c r="G56" s="49" t="s">
        <v>135</v>
      </c>
    </row>
    <row r="57" spans="1:7" x14ac:dyDescent="0.25">
      <c r="A57" s="45" t="s">
        <v>198</v>
      </c>
      <c r="B57" s="45"/>
      <c r="C57" s="45"/>
      <c r="D57" s="46">
        <v>453.6503</v>
      </c>
      <c r="E57" s="47">
        <f>D57/D56-1</f>
      </c>
      <c r="F57" s="48"/>
      <c r="G57" s="45" t="s">
        <v>135</v>
      </c>
    </row>
    <row r="58" spans="1:7" x14ac:dyDescent="0.25">
      <c r="A58" s="49" t="s">
        <v>199</v>
      </c>
      <c r="B58" s="49"/>
      <c r="C58" s="49"/>
      <c r="D58" s="50">
        <v>468.725</v>
      </c>
      <c r="E58" s="51">
        <f>D58/D57-1</f>
      </c>
      <c r="F58" s="48"/>
      <c r="G58" s="49" t="s">
        <v>135</v>
      </c>
    </row>
    <row r="59" spans="1:7" x14ac:dyDescent="0.25">
      <c r="A59" s="45" t="s">
        <v>200</v>
      </c>
      <c r="B59" s="45"/>
      <c r="C59" s="45"/>
      <c r="D59" s="46">
        <v>483.6049</v>
      </c>
      <c r="E59" s="47">
        <f>D59/D58-1</f>
      </c>
      <c r="F59" s="48"/>
      <c r="G59" s="45" t="s">
        <v>135</v>
      </c>
    </row>
    <row r="60" spans="1:7" x14ac:dyDescent="0.25">
      <c r="A60" s="49" t="s">
        <v>201</v>
      </c>
      <c r="B60" s="49"/>
      <c r="C60" s="49"/>
      <c r="D60" s="50">
        <v>498.0987</v>
      </c>
      <c r="E60" s="51">
        <f>D60/D59-1</f>
      </c>
      <c r="F60" s="48"/>
      <c r="G60" s="49" t="s">
        <v>135</v>
      </c>
    </row>
    <row r="61" spans="1:7" x14ac:dyDescent="0.25">
      <c r="A61" s="45" t="s">
        <v>202</v>
      </c>
      <c r="B61" s="45"/>
      <c r="C61" s="45"/>
      <c r="D61" s="46">
        <v>510.3942</v>
      </c>
      <c r="E61" s="47">
        <f>D61/D60-1</f>
      </c>
      <c r="F61" s="48"/>
      <c r="G61" s="45" t="s">
        <v>135</v>
      </c>
    </row>
    <row r="62" spans="1:7" x14ac:dyDescent="0.25">
      <c r="A62" s="49" t="s">
        <v>203</v>
      </c>
      <c r="B62" s="49"/>
      <c r="C62" s="49"/>
      <c r="D62" s="50">
        <v>528.4968</v>
      </c>
      <c r="E62" s="51">
        <f>D62/D61-1</f>
      </c>
      <c r="F62" s="48"/>
      <c r="G62" s="49" t="s">
        <v>135</v>
      </c>
    </row>
    <row r="63" spans="1:7" x14ac:dyDescent="0.25">
      <c r="A63" s="45" t="s">
        <v>204</v>
      </c>
      <c r="B63" s="45"/>
      <c r="C63" s="45"/>
      <c r="D63" s="46">
        <v>547.0802</v>
      </c>
      <c r="E63" s="47">
        <f>D63/D62-1</f>
      </c>
      <c r="F63" s="48"/>
      <c r="G63" s="45" t="s">
        <v>135</v>
      </c>
    </row>
    <row r="64" spans="1:7" x14ac:dyDescent="0.25">
      <c r="A64" s="49" t="s">
        <v>205</v>
      </c>
      <c r="B64" s="49"/>
      <c r="C64" s="49"/>
      <c r="D64" s="50">
        <v>560.9184</v>
      </c>
      <c r="E64" s="51">
        <f>D64/D63-1</f>
      </c>
      <c r="F64" s="48"/>
      <c r="G64" s="49" t="s">
        <v>135</v>
      </c>
    </row>
    <row r="65" spans="1:7" x14ac:dyDescent="0.25">
      <c r="A65" s="45" t="s">
        <v>206</v>
      </c>
      <c r="B65" s="45"/>
      <c r="C65" s="45"/>
      <c r="D65" s="46">
        <v>582.4575</v>
      </c>
      <c r="E65" s="47">
        <f>D65/D64-1</f>
      </c>
      <c r="F65" s="48"/>
      <c r="G65" s="45" t="s">
        <v>135</v>
      </c>
    </row>
    <row r="66" spans="1:7" x14ac:dyDescent="0.25">
      <c r="A66" s="49" t="s">
        <v>207</v>
      </c>
      <c r="B66" s="49"/>
      <c r="C66" s="49"/>
      <c r="D66" s="50">
        <v>605.0317</v>
      </c>
      <c r="E66" s="51">
        <f>D66/D65-1</f>
      </c>
      <c r="F66" s="48"/>
      <c r="G66" s="49" t="s">
        <v>135</v>
      </c>
    </row>
    <row r="67" spans="1:7" x14ac:dyDescent="0.25">
      <c r="A67" s="45" t="s">
        <v>208</v>
      </c>
      <c r="B67" s="45"/>
      <c r="C67" s="45"/>
      <c r="D67" s="46">
        <v>633.4341</v>
      </c>
      <c r="E67" s="47">
        <f>D67/D66-1</f>
      </c>
      <c r="F67" s="48"/>
      <c r="G67" s="45" t="s">
        <v>135</v>
      </c>
    </row>
    <row r="68" spans="1:7" x14ac:dyDescent="0.25">
      <c r="A68" s="49" t="s">
        <v>209</v>
      </c>
      <c r="B68" s="49"/>
      <c r="C68" s="49"/>
      <c r="D68" s="50">
        <v>676.0566</v>
      </c>
      <c r="E68" s="51">
        <f>D68/D67-1</f>
      </c>
      <c r="F68" s="48"/>
      <c r="G68" s="49" t="s">
        <v>135</v>
      </c>
    </row>
    <row r="69" spans="1:7" x14ac:dyDescent="0.25">
      <c r="A69" s="45" t="s">
        <v>210</v>
      </c>
      <c r="B69" s="45"/>
      <c r="C69" s="45"/>
      <c r="D69" s="46">
        <v>716.9399</v>
      </c>
      <c r="E69" s="47">
        <f>D69/D68-1</f>
      </c>
      <c r="F69" s="48"/>
      <c r="G69" s="45" t="s">
        <v>135</v>
      </c>
    </row>
    <row r="70" spans="1:7" x14ac:dyDescent="0.25">
      <c r="A70" s="49" t="s">
        <v>211</v>
      </c>
      <c r="B70" s="49"/>
      <c r="C70" s="49"/>
      <c r="D70" s="50">
        <v>753.147</v>
      </c>
      <c r="E70" s="51">
        <f>D70/D69-1</f>
      </c>
      <c r="F70" s="48"/>
      <c r="G70" s="49" t="s">
        <v>135</v>
      </c>
    </row>
    <row r="71" spans="1:7" x14ac:dyDescent="0.25">
      <c r="A71" s="45" t="s">
        <v>212</v>
      </c>
      <c r="B71" s="45"/>
      <c r="C71" s="45"/>
      <c r="D71" s="46">
        <v>793.0278</v>
      </c>
      <c r="E71" s="47">
        <f>D71/D70-1</f>
      </c>
      <c r="F71" s="48"/>
      <c r="G71" s="45" t="s">
        <v>135</v>
      </c>
    </row>
    <row r="72" spans="1:7" x14ac:dyDescent="0.25">
      <c r="A72" s="49" t="s">
        <v>213</v>
      </c>
      <c r="B72" s="49"/>
      <c r="C72" s="49"/>
      <c r="D72" s="50">
        <v>851.761</v>
      </c>
      <c r="E72" s="51">
        <f>D72/D71-1</f>
      </c>
      <c r="F72" s="48"/>
      <c r="G72" s="49" t="s">
        <v>135</v>
      </c>
    </row>
    <row r="73" spans="1:7" x14ac:dyDescent="0.25">
      <c r="A73" s="45" t="s">
        <v>214</v>
      </c>
      <c r="B73" s="45"/>
      <c r="C73" s="45"/>
      <c r="D73" s="46">
        <v>911.1316</v>
      </c>
      <c r="E73" s="47">
        <f>D73/D72-1</f>
      </c>
      <c r="F73" s="48"/>
      <c r="G73" s="45" t="s">
        <v>135</v>
      </c>
    </row>
    <row r="74" spans="1:7" x14ac:dyDescent="0.25">
      <c r="A74" s="49" t="s">
        <v>215</v>
      </c>
      <c r="B74" s="49"/>
      <c r="C74" s="49"/>
      <c r="D74" s="50">
        <v>967.3076</v>
      </c>
      <c r="E74" s="51">
        <f>D74/D73-1</f>
      </c>
      <c r="F74" s="48"/>
      <c r="G74" s="49" t="s">
        <v>135</v>
      </c>
    </row>
    <row r="75" spans="1:7" x14ac:dyDescent="0.25">
      <c r="A75" s="45" t="s">
        <v>216</v>
      </c>
      <c r="B75" s="45"/>
      <c r="C75" s="45"/>
      <c r="D75" s="46">
        <v>1028.706</v>
      </c>
      <c r="E75" s="47">
        <f>D75/D74-1</f>
      </c>
      <c r="F75" s="48"/>
      <c r="G75" s="45" t="s">
        <v>135</v>
      </c>
    </row>
    <row r="76" spans="1:7" x14ac:dyDescent="0.25">
      <c r="A76" s="49" t="s">
        <v>217</v>
      </c>
      <c r="B76" s="49"/>
      <c r="C76" s="49"/>
      <c r="D76" s="50">
        <v>1079.2787</v>
      </c>
      <c r="E76" s="51">
        <f>D76/D75-1</f>
      </c>
      <c r="F76" s="48"/>
      <c r="G76" s="49" t="s">
        <v>135</v>
      </c>
    </row>
    <row r="77" spans="1:7" x14ac:dyDescent="0.25">
      <c r="A77" s="45" t="s">
        <v>218</v>
      </c>
      <c r="B77" s="45"/>
      <c r="C77" s="45"/>
      <c r="D77" s="46">
        <v>1134.5875</v>
      </c>
      <c r="E77" s="47">
        <f>D77/D76-1</f>
      </c>
      <c r="F77" s="48"/>
      <c r="G77" s="45" t="s">
        <v>135</v>
      </c>
    </row>
    <row r="78" spans="1:7" x14ac:dyDescent="0.25">
      <c r="A78" s="49" t="s">
        <v>219</v>
      </c>
      <c r="B78" s="49"/>
      <c r="C78" s="49"/>
      <c r="D78" s="50">
        <v>1202.979</v>
      </c>
      <c r="E78" s="51">
        <f>D78/D77-1</f>
      </c>
      <c r="F78" s="48"/>
      <c r="G78" s="49" t="s">
        <v>135</v>
      </c>
    </row>
    <row r="79" spans="1:7" x14ac:dyDescent="0.25">
      <c r="A79" s="45" t="s">
        <v>220</v>
      </c>
      <c r="B79" s="45"/>
      <c r="C79" s="45"/>
      <c r="D79" s="46">
        <v>1282.7091</v>
      </c>
      <c r="E79" s="47">
        <f>D79/D78-1</f>
      </c>
      <c r="F79" s="48"/>
      <c r="G79" s="45" t="s">
        <v>135</v>
      </c>
    </row>
    <row r="80" spans="1:7" x14ac:dyDescent="0.25">
      <c r="A80" s="49" t="s">
        <v>221</v>
      </c>
      <c r="B80" s="49"/>
      <c r="C80" s="49"/>
      <c r="D80" s="50">
        <v>1381.1601</v>
      </c>
      <c r="E80" s="51">
        <f>D80/D79-1</f>
      </c>
      <c r="F80" s="48"/>
      <c r="G80" s="49" t="s">
        <v>135</v>
      </c>
    </row>
    <row r="81" spans="1:7" x14ac:dyDescent="0.25">
      <c r="A81" s="45" t="s">
        <v>222</v>
      </c>
      <c r="B81" s="45"/>
      <c r="C81" s="45"/>
      <c r="D81" s="46">
        <v>1497.2147</v>
      </c>
      <c r="E81" s="47">
        <f>D81/D80-1</f>
      </c>
      <c r="F81" s="48"/>
      <c r="G81" s="45" t="s">
        <v>135</v>
      </c>
    </row>
    <row r="82" spans="1:7" x14ac:dyDescent="0.25">
      <c r="A82" s="49" t="s">
        <v>223</v>
      </c>
      <c r="B82" s="49"/>
      <c r="C82" s="49"/>
      <c r="D82" s="50">
        <v>1613.5895</v>
      </c>
      <c r="E82" s="51">
        <f>D82/D81-1</f>
      </c>
      <c r="F82" s="48"/>
      <c r="G82" s="49" t="s">
        <v>135</v>
      </c>
    </row>
    <row r="83" spans="1:7" x14ac:dyDescent="0.25">
      <c r="A83" s="45" t="s">
        <v>224</v>
      </c>
      <c r="B83" s="45"/>
      <c r="C83" s="45"/>
      <c r="D83" s="46">
        <v>1709.6115</v>
      </c>
      <c r="E83" s="47">
        <f>D83/D82-1</f>
      </c>
      <c r="F83" s="48"/>
      <c r="G83" s="45" t="s">
        <v>135</v>
      </c>
    </row>
    <row r="84" spans="1:7" x14ac:dyDescent="0.25">
      <c r="A84" s="49" t="s">
        <v>225</v>
      </c>
      <c r="B84" s="49"/>
      <c r="C84" s="49"/>
      <c r="D84" s="50">
        <v>1818.0838</v>
      </c>
      <c r="E84" s="51">
        <f>D84/D83-1</f>
      </c>
      <c r="F84" s="48"/>
      <c r="G84" s="49" t="s">
        <v>135</v>
      </c>
    </row>
    <row r="85" spans="1:7" x14ac:dyDescent="0.25">
      <c r="A85" s="45" t="s">
        <v>226</v>
      </c>
      <c r="B85" s="45"/>
      <c r="C85" s="45"/>
      <c r="D85" s="46">
        <v>2044.2832</v>
      </c>
      <c r="E85" s="47">
        <f>D85/D84-1</f>
      </c>
      <c r="F85" s="48"/>
      <c r="G85" s="45" t="s">
        <v>135</v>
      </c>
    </row>
    <row r="86" spans="1:7" x14ac:dyDescent="0.25">
      <c r="A86" s="49" t="s">
        <v>227</v>
      </c>
      <c r="B86" s="49"/>
      <c r="C86" s="49"/>
      <c r="D86" s="50">
        <v>2304.9242</v>
      </c>
      <c r="E86" s="51">
        <f>D86/D85-1</f>
      </c>
      <c r="F86" s="48"/>
      <c r="G86" s="49" t="s">
        <v>135</v>
      </c>
    </row>
    <row r="87" spans="1:7" x14ac:dyDescent="0.25">
      <c r="A87" s="45" t="s">
        <v>228</v>
      </c>
      <c r="B87" s="45"/>
      <c r="C87" s="45"/>
      <c r="D87" s="46">
        <v>2496.273</v>
      </c>
      <c r="E87" s="47">
        <f>D87/D86-1</f>
      </c>
      <c r="F87" s="48"/>
      <c r="G87" s="45" t="s">
        <v>135</v>
      </c>
    </row>
    <row r="88" spans="1:7" x14ac:dyDescent="0.25">
      <c r="A88" s="49" t="s">
        <v>229</v>
      </c>
      <c r="B88" s="49"/>
      <c r="C88" s="49"/>
      <c r="D88" s="50">
        <v>2816.0628</v>
      </c>
      <c r="E88" s="51">
        <f>D88/D87-1</f>
      </c>
      <c r="F88" s="48"/>
      <c r="G88" s="49" t="s">
        <v>135</v>
      </c>
    </row>
    <row r="89" spans="1:7" x14ac:dyDescent="0.25">
      <c r="A89" s="45" t="s">
        <v>230</v>
      </c>
      <c r="B89" s="45"/>
      <c r="C89" s="45"/>
      <c r="D89" s="46">
        <v>3533.1922</v>
      </c>
      <c r="E89" s="47">
        <f>D89/D88-1</f>
      </c>
      <c r="F89" s="48"/>
      <c r="G89" s="45" t="s">
        <v>135</v>
      </c>
    </row>
    <row r="90" spans="1:7" x14ac:dyDescent="0.25">
      <c r="A90" s="49" t="s">
        <v>231</v>
      </c>
      <c r="B90" s="49"/>
      <c r="C90" s="49"/>
      <c r="D90" s="50">
        <v>4261.5324</v>
      </c>
      <c r="E90" s="51">
        <f>D90/D89-1</f>
      </c>
      <c r="F90" s="48"/>
      <c r="G90" s="49" t="s">
        <v>135</v>
      </c>
    </row>
    <row r="91" spans="1:7" x14ac:dyDescent="0.25">
      <c r="A91" s="45" t="s">
        <v>232</v>
      </c>
      <c r="B91" s="45"/>
      <c r="C91" s="45"/>
      <c r="D91" s="46">
        <v>4825.7881</v>
      </c>
      <c r="E91" s="47">
        <f>D91/D90-1</f>
      </c>
      <c r="F91" s="48"/>
      <c r="G91" s="45" t="s">
        <v>135</v>
      </c>
    </row>
    <row r="92" spans="1:7" x14ac:dyDescent="0.25">
      <c r="A92" s="49" t="s">
        <v>233</v>
      </c>
      <c r="B92" s="49"/>
      <c r="C92" s="49"/>
      <c r="D92" s="50">
        <v>5357.0929</v>
      </c>
      <c r="E92" s="51">
        <f>D92/D91-1</f>
      </c>
      <c r="F92" s="48"/>
      <c r="G92" s="49" t="s">
        <v>135</v>
      </c>
    </row>
    <row r="93" spans="1:7" x14ac:dyDescent="0.25">
      <c r="A93" s="45" t="s">
        <v>234</v>
      </c>
      <c r="B93" s="45"/>
      <c r="C93" s="45"/>
      <c r="D93" s="46">
        <v>5830.2271</v>
      </c>
      <c r="E93" s="47">
        <f>D93/D92-1</f>
      </c>
      <c r="F93" s="48"/>
      <c r="G93" s="45" t="s">
        <v>135</v>
      </c>
    </row>
    <row r="94" spans="1:7" x14ac:dyDescent="0.25">
      <c r="A94" s="49" t="s">
        <v>235</v>
      </c>
      <c r="B94" s="49"/>
      <c r="C94" s="49"/>
      <c r="D94" s="50">
        <v>6073.7</v>
      </c>
      <c r="E94" s="51">
        <f>D94/D93-1</f>
      </c>
      <c r="F94" s="48"/>
      <c r="G94" s="49" t="s">
        <v>135</v>
      </c>
    </row>
    <row r="95" spans="1:7" x14ac:dyDescent="0.25">
      <c r="A95" s="45" t="s">
        <v>236</v>
      </c>
      <c r="B95" s="45"/>
      <c r="C95" s="45"/>
      <c r="D95" s="46">
        <v>6351.7145</v>
      </c>
      <c r="E95" s="47">
        <f>D95/D94-1</f>
      </c>
      <c r="F95" s="48"/>
      <c r="G95" s="45" t="s">
        <v>135</v>
      </c>
    </row>
    <row r="96" spans="1:7" x14ac:dyDescent="0.25">
      <c r="A96" s="49" t="s">
        <v>237</v>
      </c>
      <c r="B96" s="49"/>
      <c r="C96" s="49"/>
      <c r="D96" s="50">
        <v>6607.7479</v>
      </c>
      <c r="E96" s="51">
        <f>D96/D95-1</f>
      </c>
      <c r="F96" s="48"/>
      <c r="G96" s="49" t="s">
        <v>135</v>
      </c>
    </row>
    <row r="97" spans="1:7" x14ac:dyDescent="0.25">
      <c r="A97" s="45" t="s">
        <v>238</v>
      </c>
      <c r="B97" s="45"/>
      <c r="C97" s="45"/>
      <c r="D97" s="46">
        <v>6883.4412</v>
      </c>
      <c r="E97" s="47">
        <f>D97/D96-1</f>
      </c>
      <c r="F97" s="48"/>
      <c r="G97" s="45" t="s">
        <v>135</v>
      </c>
    </row>
    <row r="98" spans="1:7" x14ac:dyDescent="0.25">
      <c r="A98" s="49" t="s">
        <v>239</v>
      </c>
      <c r="B98" s="49"/>
      <c r="C98" s="49"/>
      <c r="D98" s="50">
        <v>7122.2421</v>
      </c>
      <c r="E98" s="51">
        <f>D98/D97-1</f>
      </c>
      <c r="F98" s="48"/>
      <c r="G98" s="49" t="s">
        <v>135</v>
      </c>
    </row>
    <row r="99" spans="1:7" x14ac:dyDescent="0.25">
      <c r="A99" s="45" t="s">
        <v>240</v>
      </c>
      <c r="B99" s="45"/>
      <c r="C99" s="45"/>
      <c r="D99" s="46">
        <v>7313.9542</v>
      </c>
      <c r="E99" s="47">
        <f>D99/D98-1</f>
      </c>
      <c r="F99" s="48"/>
      <c r="G99" s="45" t="s">
        <v>135</v>
      </c>
    </row>
    <row r="100" spans="1:7" x14ac:dyDescent="0.25">
      <c r="A100" s="49" t="s">
        <v>241</v>
      </c>
      <c r="B100" s="49"/>
      <c r="C100" s="49"/>
      <c r="D100" s="50">
        <v>7491.4314</v>
      </c>
      <c r="E100" s="51">
        <f>D100/D99-1</f>
      </c>
      <c r="F100" s="48"/>
      <c r="G100" s="49" t="s">
        <v>135</v>
      </c>
    </row>
    <row r="101" spans="1:7" x14ac:dyDescent="0.25">
      <c r="A101" s="45" t="s">
        <v>242</v>
      </c>
      <c r="B101" s="45"/>
      <c r="C101" s="45"/>
      <c r="D101" s="46">
        <v>7694.0075</v>
      </c>
      <c r="E101" s="47">
        <f>D101/D100-1</f>
      </c>
      <c r="F101" s="48"/>
      <c r="G101" s="45" t="s">
        <v>135</v>
      </c>
    </row>
    <row r="102" spans="1:7" x14ac:dyDescent="0.25">
      <c r="A102" s="49" t="s">
        <v>243</v>
      </c>
      <c r="B102" s="49"/>
      <c r="C102" s="49"/>
      <c r="D102" s="50">
        <v>7864.1257</v>
      </c>
      <c r="E102" s="51">
        <f>D102/D101-1</f>
      </c>
      <c r="F102" s="48"/>
      <c r="G102" s="49" t="s">
        <v>135</v>
      </c>
    </row>
    <row r="103" spans="1:7" x14ac:dyDescent="0.25">
      <c r="A103" s="45" t="s">
        <v>244</v>
      </c>
      <c r="B103" s="45"/>
      <c r="C103" s="45"/>
      <c r="D103" s="46">
        <v>8052.9927</v>
      </c>
      <c r="E103" s="47">
        <f>D103/D102-1</f>
      </c>
      <c r="F103" s="48"/>
      <c r="G103" s="45" t="s">
        <v>135</v>
      </c>
    </row>
    <row r="104" spans="1:7" x14ac:dyDescent="0.25">
      <c r="A104" s="49" t="s">
        <v>245</v>
      </c>
      <c r="B104" s="49"/>
      <c r="C104" s="49"/>
      <c r="D104" s="50">
        <v>8353.3158</v>
      </c>
      <c r="E104" s="51">
        <f>D104/D103-1</f>
      </c>
      <c r="F104" s="48"/>
      <c r="G104" s="49" t="s">
        <v>135</v>
      </c>
    </row>
    <row r="105" spans="1:7" x14ac:dyDescent="0.25">
      <c r="A105" s="45" t="s">
        <v>246</v>
      </c>
      <c r="B105" s="45"/>
      <c r="C105" s="45"/>
      <c r="D105" s="46">
        <v>8585.6078</v>
      </c>
      <c r="E105" s="47">
        <f>D105/D104-1</f>
      </c>
      <c r="F105" s="48"/>
      <c r="G105" s="45" t="s">
        <v>135</v>
      </c>
    </row>
    <row r="106" spans="1:7" x14ac:dyDescent="0.25">
      <c r="A106" s="49" t="s">
        <v>247</v>
      </c>
      <c r="B106" s="49"/>
      <c r="C106" s="49"/>
      <c r="D106" s="50">
        <v>8714.4871</v>
      </c>
      <c r="E106" s="51">
        <f>D106/D105-1</f>
      </c>
      <c r="F106" s="48"/>
      <c r="G106" s="49" t="s">
        <v>135</v>
      </c>
    </row>
    <row r="107" spans="1:7" x14ac:dyDescent="0.25">
      <c r="A107" s="45" t="s">
        <v>248</v>
      </c>
      <c r="B107" s="45"/>
      <c r="C107" s="45"/>
      <c r="D107" s="46">
        <v>8855.5681</v>
      </c>
      <c r="E107" s="47">
        <f>D107/D106-1</f>
      </c>
      <c r="F107" s="48"/>
      <c r="G107" s="45" t="s">
        <v>135</v>
      </c>
    </row>
    <row r="108" spans="1:7" x14ac:dyDescent="0.25">
      <c r="A108" s="49" t="s">
        <v>249</v>
      </c>
      <c r="B108" s="49"/>
      <c r="C108" s="49"/>
      <c r="D108" s="50">
        <v>9023.973</v>
      </c>
      <c r="E108" s="51">
        <f>D108/D107-1</f>
      </c>
      <c r="F108" s="48"/>
      <c r="G108" s="49" t="s">
        <v>135</v>
      </c>
    </row>
    <row r="109" spans="1:7" x14ac:dyDescent="0.25">
      <c r="A109" s="45" t="s">
        <v>250</v>
      </c>
      <c r="B109" s="45"/>
      <c r="C109" s="45"/>
      <c r="D109" s="46">
        <v>9193.2441</v>
      </c>
      <c r="E109" s="47">
        <f>D109/D108-1</f>
      </c>
      <c r="F109" s="48"/>
      <c r="G109" s="45" t="s">
        <v>135</v>
      </c>
    </row>
    <row r="110" spans="1:7" x14ac:dyDescent="0.25">
      <c r="A110" s="49" t="s">
        <v>251</v>
      </c>
      <c r="B110" s="49"/>
      <c r="C110" s="49"/>
      <c r="D110" s="50">
        <v>9384.0922</v>
      </c>
      <c r="E110" s="51">
        <f>D110/D109-1</f>
      </c>
      <c r="F110" s="48"/>
      <c r="G110" s="49" t="s">
        <v>135</v>
      </c>
    </row>
    <row r="111" spans="1:7" x14ac:dyDescent="0.25">
      <c r="A111" s="45" t="s">
        <v>252</v>
      </c>
      <c r="B111" s="45"/>
      <c r="C111" s="45"/>
      <c r="D111" s="46">
        <v>9603.8623</v>
      </c>
      <c r="E111" s="47">
        <f>D111/D110-1</f>
      </c>
      <c r="F111" s="48"/>
      <c r="G111" s="45" t="s">
        <v>135</v>
      </c>
    </row>
    <row r="112" spans="1:7" x14ac:dyDescent="0.25">
      <c r="A112" s="49" t="s">
        <v>253</v>
      </c>
      <c r="B112" s="49"/>
      <c r="C112" s="49"/>
      <c r="D112" s="50">
        <v>9841.3581</v>
      </c>
      <c r="E112" s="51">
        <f>D112/D111-1</f>
      </c>
      <c r="F112" s="48"/>
      <c r="G112" s="49" t="s">
        <v>135</v>
      </c>
    </row>
    <row r="113" spans="1:7" x14ac:dyDescent="0.25">
      <c r="A113" s="45" t="s">
        <v>254</v>
      </c>
      <c r="B113" s="45"/>
      <c r="C113" s="45"/>
      <c r="D113" s="46">
        <v>10121.3715</v>
      </c>
      <c r="E113" s="47">
        <f>D113/D112-1</f>
      </c>
      <c r="F113" s="48"/>
      <c r="G113" s="45" t="s">
        <v>135</v>
      </c>
    </row>
    <row r="114" spans="1:7" x14ac:dyDescent="0.25">
      <c r="A114" s="49" t="s">
        <v>255</v>
      </c>
      <c r="B114" s="49"/>
      <c r="C114" s="49"/>
      <c r="D114" s="50">
        <v>10413.0309</v>
      </c>
      <c r="E114" s="51">
        <f>D114/D113-1</f>
      </c>
      <c r="F114" s="48"/>
      <c r="G114" s="49" t="s">
        <v>135</v>
      </c>
    </row>
    <row r="115" spans="1:7" x14ac:dyDescent="0.25">
      <c r="A115" s="45" t="s">
        <v>256</v>
      </c>
      <c r="B115" s="45"/>
      <c r="C115" s="45"/>
      <c r="D115" s="46">
        <v>10714.6255</v>
      </c>
      <c r="E115" s="47">
        <f>D115/D114-1</f>
      </c>
      <c r="F115" s="48"/>
      <c r="G115" s="45" t="s">
        <v>135</v>
      </c>
    </row>
    <row r="116" spans="1:7" x14ac:dyDescent="0.25">
      <c r="A116" s="49" t="s">
        <v>257</v>
      </c>
      <c r="B116" s="49"/>
      <c r="C116" s="49"/>
      <c r="D116" s="50">
        <v>11077.0608</v>
      </c>
      <c r="E116" s="51">
        <f>D116/D115-1</f>
      </c>
      <c r="F116" s="48"/>
      <c r="G116" s="49" t="s">
        <v>135</v>
      </c>
    </row>
    <row r="117" spans="1:7" x14ac:dyDescent="0.25">
      <c r="A117" s="45" t="s">
        <v>258</v>
      </c>
      <c r="B117" s="45"/>
      <c r="C117" s="45"/>
      <c r="D117" s="46">
        <v>11363.0904</v>
      </c>
      <c r="E117" s="47">
        <f>D117/D116-1</f>
      </c>
      <c r="F117" s="48"/>
      <c r="G117" s="45" t="s">
        <v>135</v>
      </c>
    </row>
    <row r="118" spans="1:7" x14ac:dyDescent="0.25">
      <c r="A118" s="49" t="s">
        <v>259</v>
      </c>
      <c r="B118" s="49"/>
      <c r="C118" s="49"/>
      <c r="D118" s="50">
        <v>11607.3937</v>
      </c>
      <c r="E118" s="51">
        <f>D118/D117-1</f>
      </c>
      <c r="F118" s="48"/>
      <c r="G118" s="49" t="s">
        <v>135</v>
      </c>
    </row>
    <row r="119" spans="1:7" x14ac:dyDescent="0.25">
      <c r="A119" s="45" t="s">
        <v>260</v>
      </c>
      <c r="B119" s="45"/>
      <c r="C119" s="45"/>
      <c r="D119" s="46">
        <v>11826.4103</v>
      </c>
      <c r="E119" s="47">
        <f>D119/D118-1</f>
      </c>
      <c r="F119" s="48"/>
      <c r="G119" s="45" t="s">
        <v>135</v>
      </c>
    </row>
    <row r="120" spans="1:7" x14ac:dyDescent="0.25">
      <c r="A120" s="49" t="s">
        <v>261</v>
      </c>
      <c r="B120" s="49"/>
      <c r="C120" s="49"/>
      <c r="D120" s="50">
        <v>12076.3937</v>
      </c>
      <c r="E120" s="51">
        <f>D120/D119-1</f>
      </c>
      <c r="F120" s="48"/>
      <c r="G120" s="49" t="s">
        <v>135</v>
      </c>
    </row>
    <row r="121" spans="1:7" x14ac:dyDescent="0.25">
      <c r="A121" s="45" t="s">
        <v>262</v>
      </c>
      <c r="B121" s="45"/>
      <c r="C121" s="45"/>
      <c r="D121" s="46">
        <v>12276.766</v>
      </c>
      <c r="E121" s="47">
        <f>D121/D120-1</f>
      </c>
      <c r="F121" s="48"/>
      <c r="G121" s="45" t="s">
        <v>135</v>
      </c>
    </row>
    <row r="122" spans="1:7" x14ac:dyDescent="0.25">
      <c r="A122" s="49" t="s">
        <v>263</v>
      </c>
      <c r="B122" s="49"/>
      <c r="C122" s="49"/>
      <c r="D122" s="50">
        <f>IF(OR(F122="",D121=""),"",D121*(1+F122/100))</f>
      </c>
      <c r="E122" s="51">
        <f>IF(D122="","",D122/D121-1)</f>
      </c>
      <c r="F122" s="52"/>
      <c r="G122" s="49">
        <f>IF(F122="","","Cargado por vos")</f>
      </c>
    </row>
    <row r="123" spans="1:7" x14ac:dyDescent="0.25">
      <c r="A123" s="45" t="s">
        <v>264</v>
      </c>
      <c r="B123" s="45"/>
      <c r="C123" s="45"/>
      <c r="D123" s="46">
        <f>IF(OR(F123="",D122=""),"",D122*(1+F123/100))</f>
      </c>
      <c r="E123" s="47">
        <f>IF(D123="","",D123/D122-1)</f>
      </c>
      <c r="F123" s="52"/>
      <c r="G123" s="45">
        <f>IF(F123="","","Cargado por vos")</f>
      </c>
    </row>
    <row r="124" spans="1:7" x14ac:dyDescent="0.25">
      <c r="A124" s="49" t="s">
        <v>265</v>
      </c>
      <c r="B124" s="49"/>
      <c r="C124" s="49"/>
      <c r="D124" s="50">
        <f>IF(OR(F124="",D123=""),"",D123*(1+F124/100))</f>
      </c>
      <c r="E124" s="51">
        <f>IF(D124="","",D124/D123-1)</f>
      </c>
      <c r="F124" s="52"/>
      <c r="G124" s="49">
        <f>IF(F124="","","Cargado por vos")</f>
      </c>
    </row>
    <row r="125" spans="1:7" x14ac:dyDescent="0.25">
      <c r="A125" s="45" t="s">
        <v>266</v>
      </c>
      <c r="B125" s="45"/>
      <c r="C125" s="45"/>
      <c r="D125" s="46">
        <f>IF(OR(F125="",D124=""),"",D124*(1+F125/100))</f>
      </c>
      <c r="E125" s="47">
        <f>IF(D125="","",D125/D124-1)</f>
      </c>
      <c r="F125" s="52"/>
      <c r="G125" s="45">
        <f>IF(F125="","","Cargado por vos")</f>
      </c>
    </row>
    <row r="126" spans="1:7" x14ac:dyDescent="0.25">
      <c r="A126" s="49" t="s">
        <v>267</v>
      </c>
      <c r="B126" s="49"/>
      <c r="C126" s="49"/>
      <c r="D126" s="50">
        <f>IF(OR(F126="",D125=""),"",D125*(1+F126/100))</f>
      </c>
      <c r="E126" s="51">
        <f>IF(D126="","",D126/D125-1)</f>
      </c>
      <c r="F126" s="52"/>
      <c r="G126" s="49">
        <f>IF(F126="","","Cargado por vos")</f>
      </c>
    </row>
    <row r="127" spans="1:7" x14ac:dyDescent="0.25">
      <c r="A127" s="45" t="s">
        <v>268</v>
      </c>
      <c r="B127" s="45"/>
      <c r="C127" s="45"/>
      <c r="D127" s="46">
        <f>IF(OR(F127="",D126=""),"",D126*(1+F127/100))</f>
      </c>
      <c r="E127" s="47">
        <f>IF(D127="","",D127/D126-1)</f>
      </c>
      <c r="F127" s="52"/>
      <c r="G127" s="45">
        <f>IF(F127="","","Cargado por vos")</f>
      </c>
    </row>
    <row r="128" spans="1:7" x14ac:dyDescent="0.25">
      <c r="A128" s="49" t="s">
        <v>269</v>
      </c>
      <c r="B128" s="49"/>
      <c r="C128" s="49"/>
      <c r="D128" s="50">
        <f>IF(OR(F128="",D127=""),"",D127*(1+F128/100))</f>
      </c>
      <c r="E128" s="51">
        <f>IF(D128="","",D128/D127-1)</f>
      </c>
      <c r="F128" s="52"/>
      <c r="G128" s="49">
        <f>IF(F128="","","Cargado por vos")</f>
      </c>
    </row>
    <row r="129" spans="1:7" x14ac:dyDescent="0.25">
      <c r="A129" s="45" t="s">
        <v>270</v>
      </c>
      <c r="B129" s="45"/>
      <c r="C129" s="45"/>
      <c r="D129" s="46">
        <f>IF(OR(F129="",D128=""),"",D128*(1+F129/100))</f>
      </c>
      <c r="E129" s="47">
        <f>IF(D129="","",D129/D128-1)</f>
      </c>
      <c r="F129" s="52"/>
      <c r="G129" s="45">
        <f>IF(F129="","","Cargado por vos")</f>
      </c>
    </row>
    <row r="130" spans="1:7" x14ac:dyDescent="0.25">
      <c r="A130" s="49" t="s">
        <v>271</v>
      </c>
      <c r="B130" s="49"/>
      <c r="C130" s="49"/>
      <c r="D130" s="50">
        <f>IF(OR(F130="",D129=""),"",D129*(1+F130/100))</f>
      </c>
      <c r="E130" s="51">
        <f>IF(D130="","",D130/D129-1)</f>
      </c>
      <c r="F130" s="52"/>
      <c r="G130" s="49">
        <f>IF(F130="","","Cargado por vos")</f>
      </c>
    </row>
    <row r="131" spans="1:7" x14ac:dyDescent="0.25">
      <c r="A131" s="45" t="s">
        <v>272</v>
      </c>
      <c r="B131" s="45"/>
      <c r="C131" s="45"/>
      <c r="D131" s="46">
        <f>IF(OR(F131="",D130=""),"",D130*(1+F131/100))</f>
      </c>
      <c r="E131" s="47">
        <f>IF(D131="","",D131/D130-1)</f>
      </c>
      <c r="F131" s="52"/>
      <c r="G131" s="45">
        <f>IF(F131="","","Cargado por vos")</f>
      </c>
    </row>
    <row r="132" spans="1:7" x14ac:dyDescent="0.25">
      <c r="A132" s="49" t="s">
        <v>273</v>
      </c>
      <c r="B132" s="49"/>
      <c r="C132" s="49"/>
      <c r="D132" s="50">
        <f>IF(OR(F132="",D131=""),"",D131*(1+F132/100))</f>
      </c>
      <c r="E132" s="51">
        <f>IF(D132="","",D132/D131-1)</f>
      </c>
      <c r="F132" s="52"/>
      <c r="G132" s="49">
        <f>IF(F132="","","Cargado por vos")</f>
      </c>
    </row>
    <row r="133" spans="1:7" x14ac:dyDescent="0.25">
      <c r="A133" s="45" t="s">
        <v>274</v>
      </c>
      <c r="B133" s="45"/>
      <c r="C133" s="45"/>
      <c r="D133" s="46">
        <f>IF(OR(F133="",D132=""),"",D132*(1+F133/100))</f>
      </c>
      <c r="E133" s="47">
        <f>IF(D133="","",D133/D132-1)</f>
      </c>
      <c r="F133" s="52"/>
      <c r="G133" s="45">
        <f>IF(F133="","","Cargado por vos")</f>
      </c>
    </row>
    <row r="134" spans="1:7" x14ac:dyDescent="0.25">
      <c r="A134" s="49" t="s">
        <v>275</v>
      </c>
      <c r="B134" s="49"/>
      <c r="C134" s="49"/>
      <c r="D134" s="50">
        <f>IF(OR(F134="",D133=""),"",D133*(1+F134/100))</f>
      </c>
      <c r="E134" s="51">
        <f>IF(D134="","",D134/D133-1)</f>
      </c>
      <c r="F134" s="52"/>
      <c r="G134" s="49">
        <f>IF(F134="","","Cargado por vos")</f>
      </c>
    </row>
    <row r="135" spans="1:7" x14ac:dyDescent="0.25">
      <c r="A135" s="45" t="s">
        <v>276</v>
      </c>
      <c r="B135" s="45"/>
      <c r="C135" s="45"/>
      <c r="D135" s="46">
        <f>IF(OR(F135="",D134=""),"",D134*(1+F135/100))</f>
      </c>
      <c r="E135" s="47">
        <f>IF(D135="","",D135/D134-1)</f>
      </c>
      <c r="F135" s="52"/>
      <c r="G135" s="45">
        <f>IF(F135="","","Cargado por vos")</f>
      </c>
    </row>
    <row r="136" spans="1:7" x14ac:dyDescent="0.25">
      <c r="A136" s="49" t="s">
        <v>277</v>
      </c>
      <c r="B136" s="49"/>
      <c r="C136" s="49"/>
      <c r="D136" s="50">
        <f>IF(OR(F136="",D135=""),"",D135*(1+F136/100))</f>
      </c>
      <c r="E136" s="51">
        <f>IF(D136="","",D136/D135-1)</f>
      </c>
      <c r="F136" s="52"/>
      <c r="G136" s="49">
        <f>IF(F136="","","Cargado por vos")</f>
      </c>
    </row>
    <row r="137" spans="1:7" x14ac:dyDescent="0.25">
      <c r="A137" s="45" t="s">
        <v>278</v>
      </c>
      <c r="B137" s="45"/>
      <c r="C137" s="45"/>
      <c r="D137" s="46">
        <f>IF(OR(F137="",D136=""),"",D136*(1+F137/100))</f>
      </c>
      <c r="E137" s="47">
        <f>IF(D137="","",D137/D136-1)</f>
      </c>
      <c r="F137" s="52"/>
      <c r="G137" s="45">
        <f>IF(F137="","","Cargado por vos")</f>
      </c>
    </row>
    <row r="138" spans="1:7" x14ac:dyDescent="0.25">
      <c r="A138" s="49" t="s">
        <v>279</v>
      </c>
      <c r="B138" s="49"/>
      <c r="C138" s="49"/>
      <c r="D138" s="50">
        <f>IF(OR(F138="",D137=""),"",D137*(1+F138/100))</f>
      </c>
      <c r="E138" s="51">
        <f>IF(D138="","",D138/D137-1)</f>
      </c>
      <c r="F138" s="52"/>
      <c r="G138" s="49">
        <f>IF(F138="","","Cargado por vos")</f>
      </c>
    </row>
    <row r="139" spans="1:7" x14ac:dyDescent="0.25">
      <c r="A139" s="45" t="s">
        <v>280</v>
      </c>
      <c r="B139" s="45"/>
      <c r="C139" s="45"/>
      <c r="D139" s="46">
        <f>IF(OR(F139="",D138=""),"",D138*(1+F139/100))</f>
      </c>
      <c r="E139" s="47">
        <f>IF(D139="","",D139/D138-1)</f>
      </c>
      <c r="F139" s="52"/>
      <c r="G139" s="45">
        <f>IF(F139="","","Cargado por vos")</f>
      </c>
    </row>
    <row r="140" spans="1:7" x14ac:dyDescent="0.25">
      <c r="A140" s="49" t="s">
        <v>281</v>
      </c>
      <c r="B140" s="49"/>
      <c r="C140" s="49"/>
      <c r="D140" s="50">
        <f>IF(OR(F140="",D139=""),"",D139*(1+F140/100))</f>
      </c>
      <c r="E140" s="51">
        <f>IF(D140="","",D140/D139-1)</f>
      </c>
      <c r="F140" s="52"/>
      <c r="G140" s="49">
        <f>IF(F140="","","Cargado por vos")</f>
      </c>
    </row>
    <row r="141" spans="1:7" x14ac:dyDescent="0.25">
      <c r="A141" s="45" t="s">
        <v>282</v>
      </c>
      <c r="B141" s="45"/>
      <c r="C141" s="45"/>
      <c r="D141" s="46">
        <f>IF(OR(F141="",D140=""),"",D140*(1+F141/100))</f>
      </c>
      <c r="E141" s="47">
        <f>IF(D141="","",D141/D140-1)</f>
      </c>
      <c r="F141" s="52"/>
      <c r="G141" s="45">
        <f>IF(F141="","","Cargado por vos")</f>
      </c>
    </row>
    <row r="142" spans="1:7" x14ac:dyDescent="0.25">
      <c r="A142" s="49" t="s">
        <v>283</v>
      </c>
      <c r="B142" s="49"/>
      <c r="C142" s="49"/>
      <c r="D142" s="50">
        <f>IF(OR(F142="",D141=""),"",D141*(1+F142/100))</f>
      </c>
      <c r="E142" s="51">
        <f>IF(D142="","",D142/D141-1)</f>
      </c>
      <c r="F142" s="52"/>
      <c r="G142" s="49">
        <f>IF(F142="","","Cargado por vos")</f>
      </c>
    </row>
    <row r="143" spans="1:7" x14ac:dyDescent="0.25">
      <c r="A143" s="45" t="s">
        <v>284</v>
      </c>
      <c r="B143" s="45"/>
      <c r="C143" s="45"/>
      <c r="D143" s="46">
        <f>IF(OR(F143="",D142=""),"",D142*(1+F143/100))</f>
      </c>
      <c r="E143" s="47">
        <f>IF(D143="","",D143/D142-1)</f>
      </c>
      <c r="F143" s="52"/>
      <c r="G143" s="45">
        <f>IF(F143="","","Cargado por vos")</f>
      </c>
    </row>
    <row r="144" spans="1:7" x14ac:dyDescent="0.25">
      <c r="A144" s="49" t="s">
        <v>285</v>
      </c>
      <c r="B144" s="49"/>
      <c r="C144" s="49"/>
      <c r="D144" s="50">
        <f>IF(OR(F144="",D143=""),"",D143*(1+F144/100))</f>
      </c>
      <c r="E144" s="51">
        <f>IF(D144="","",D144/D143-1)</f>
      </c>
      <c r="F144" s="52"/>
      <c r="G144" s="49">
        <f>IF(F144="","","Cargado por vos")</f>
      </c>
    </row>
    <row r="145" spans="1:7" x14ac:dyDescent="0.25">
      <c r="A145" s="45" t="s">
        <v>286</v>
      </c>
      <c r="B145" s="45"/>
      <c r="C145" s="45"/>
      <c r="D145" s="46">
        <f>IF(OR(F145="",D144=""),"",D144*(1+F145/100))</f>
      </c>
      <c r="E145" s="47">
        <f>IF(D145="","",D145/D144-1)</f>
      </c>
      <c r="F145" s="52"/>
      <c r="G145" s="45">
        <f>IF(F145="","","Cargado por vos")</f>
      </c>
    </row>
    <row r="146" spans="1:7" x14ac:dyDescent="0.25">
      <c r="A146" s="49" t="s">
        <v>287</v>
      </c>
      <c r="B146" s="49"/>
      <c r="C146" s="49"/>
      <c r="D146" s="50">
        <f>IF(OR(F146="",D145=""),"",D145*(1+F146/100))</f>
      </c>
      <c r="E146" s="51">
        <f>IF(D146="","",D146/D145-1)</f>
      </c>
      <c r="F146" s="52"/>
      <c r="G146" s="49">
        <f>IF(F146="","","Cargado por vos")</f>
      </c>
    </row>
    <row r="147" spans="1:7" x14ac:dyDescent="0.25">
      <c r="A147" s="45" t="s">
        <v>288</v>
      </c>
      <c r="B147" s="45"/>
      <c r="C147" s="45"/>
      <c r="D147" s="46">
        <f>IF(OR(F147="",D146=""),"",D146*(1+F147/100))</f>
      </c>
      <c r="E147" s="47">
        <f>IF(D147="","",D147/D146-1)</f>
      </c>
      <c r="F147" s="52"/>
      <c r="G147" s="45">
        <f>IF(F147="","","Cargado por vos")</f>
      </c>
    </row>
    <row r="148" spans="1:7" x14ac:dyDescent="0.25">
      <c r="A148" s="49" t="s">
        <v>289</v>
      </c>
      <c r="B148" s="49"/>
      <c r="C148" s="49"/>
      <c r="D148" s="50">
        <f>IF(OR(F148="",D147=""),"",D147*(1+F148/100))</f>
      </c>
      <c r="E148" s="51">
        <f>IF(D148="","",D148/D147-1)</f>
      </c>
      <c r="F148" s="52"/>
      <c r="G148" s="49">
        <f>IF(F148="","","Cargado por vos")</f>
      </c>
    </row>
    <row r="149" spans="1:7" x14ac:dyDescent="0.25">
      <c r="A149" s="45" t="s">
        <v>290</v>
      </c>
      <c r="B149" s="45"/>
      <c r="C149" s="45"/>
      <c r="D149" s="46">
        <f>IF(OR(F149="",D148=""),"",D148*(1+F149/100))</f>
      </c>
      <c r="E149" s="47">
        <f>IF(D149="","",D149/D148-1)</f>
      </c>
      <c r="F149" s="52"/>
      <c r="G149" s="45">
        <f>IF(F149="","","Cargado por vos")</f>
      </c>
    </row>
    <row r="150" spans="1:7" x14ac:dyDescent="0.25">
      <c r="A150" s="49" t="s">
        <v>291</v>
      </c>
      <c r="B150" s="49"/>
      <c r="C150" s="49"/>
      <c r="D150" s="50">
        <f>IF(OR(F150="",D149=""),"",D149*(1+F150/100))</f>
      </c>
      <c r="E150" s="51">
        <f>IF(D150="","",D150/D149-1)</f>
      </c>
      <c r="F150" s="52"/>
      <c r="G150" s="49">
        <f>IF(F150="","","Cargado por vos")</f>
      </c>
    </row>
    <row r="151" spans="1:7" x14ac:dyDescent="0.25">
      <c r="A151" s="45" t="s">
        <v>292</v>
      </c>
      <c r="B151" s="45"/>
      <c r="C151" s="45"/>
      <c r="D151" s="46">
        <f>IF(OR(F151="",D150=""),"",D150*(1+F151/100))</f>
      </c>
      <c r="E151" s="47">
        <f>IF(D151="","",D151/D150-1)</f>
      </c>
      <c r="F151" s="52"/>
      <c r="G151" s="45">
        <f>IF(F151="","","Cargado por vos")</f>
      </c>
    </row>
    <row r="152" spans="1:7" x14ac:dyDescent="0.25">
      <c r="A152" s="49" t="s">
        <v>293</v>
      </c>
      <c r="B152" s="49"/>
      <c r="C152" s="49"/>
      <c r="D152" s="50">
        <f>IF(OR(F152="",D151=""),"",D151*(1+F152/100))</f>
      </c>
      <c r="E152" s="51">
        <f>IF(D152="","",D152/D151-1)</f>
      </c>
      <c r="F152" s="52"/>
      <c r="G152" s="49">
        <f>IF(F152="","","Cargado por vos")</f>
      </c>
    </row>
    <row r="153" spans="1:7" x14ac:dyDescent="0.25">
      <c r="A153" s="45" t="s">
        <v>294</v>
      </c>
      <c r="B153" s="45"/>
      <c r="C153" s="45"/>
      <c r="D153" s="46">
        <f>IF(OR(F153="",D152=""),"",D152*(1+F153/100))</f>
      </c>
      <c r="E153" s="47">
        <f>IF(D153="","",D153/D152-1)</f>
      </c>
      <c r="F153" s="52"/>
      <c r="G153" s="45">
        <f>IF(F153="","","Cargado por vos")</f>
      </c>
    </row>
    <row r="154" spans="1:7" x14ac:dyDescent="0.25">
      <c r="A154" s="49" t="s">
        <v>295</v>
      </c>
      <c r="B154" s="49"/>
      <c r="C154" s="49"/>
      <c r="D154" s="50">
        <f>IF(OR(F154="",D153=""),"",D153*(1+F154/100))</f>
      </c>
      <c r="E154" s="51">
        <f>IF(D154="","",D154/D153-1)</f>
      </c>
      <c r="F154" s="52"/>
      <c r="G154" s="49">
        <f>IF(F154="","","Cargado por vos")</f>
      </c>
    </row>
    <row r="155" spans="1:7" x14ac:dyDescent="0.25">
      <c r="A155" s="45" t="s">
        <v>296</v>
      </c>
      <c r="B155" s="45"/>
      <c r="C155" s="45"/>
      <c r="D155" s="46">
        <f>IF(OR(F155="",D154=""),"",D154*(1+F155/100))</f>
      </c>
      <c r="E155" s="47">
        <f>IF(D155="","",D155/D154-1)</f>
      </c>
      <c r="F155" s="52"/>
      <c r="G155" s="45">
        <f>IF(F155="","","Cargado por vos")</f>
      </c>
    </row>
    <row r="156" spans="1:7" x14ac:dyDescent="0.25">
      <c r="A156" s="49" t="s">
        <v>297</v>
      </c>
      <c r="B156" s="49"/>
      <c r="C156" s="49"/>
      <c r="D156" s="50">
        <f>IF(OR(F156="",D155=""),"",D155*(1+F156/100))</f>
      </c>
      <c r="E156" s="51">
        <f>IF(D156="","",D156/D155-1)</f>
      </c>
      <c r="F156" s="52"/>
      <c r="G156" s="49">
        <f>IF(F156="","","Cargado por vos")</f>
      </c>
    </row>
    <row r="157" spans="1:7" x14ac:dyDescent="0.25">
      <c r="A157" s="45" t="s">
        <v>298</v>
      </c>
      <c r="B157" s="45"/>
      <c r="C157" s="45"/>
      <c r="D157" s="46">
        <f>IF(OR(F157="",D156=""),"",D156*(1+F157/100))</f>
      </c>
      <c r="E157" s="47">
        <f>IF(D157="","",D157/D156-1)</f>
      </c>
      <c r="F157" s="52"/>
      <c r="G157" s="45">
        <f>IF(F157="","","Cargado por vos")</f>
      </c>
    </row>
    <row r="158" spans="1:7" x14ac:dyDescent="0.25">
      <c r="A158" s="49" t="s">
        <v>299</v>
      </c>
      <c r="B158" s="49"/>
      <c r="C158" s="49"/>
      <c r="D158" s="50">
        <f>IF(OR(F158="",D157=""),"",D157*(1+F158/100))</f>
      </c>
      <c r="E158" s="51">
        <f>IF(D158="","",D158/D157-1)</f>
      </c>
      <c r="F158" s="52"/>
      <c r="G158" s="49">
        <f>IF(F158="","","Cargado por vos")</f>
      </c>
    </row>
    <row r="159" spans="1:7" x14ac:dyDescent="0.25">
      <c r="A159" s="45" t="s">
        <v>300</v>
      </c>
      <c r="B159" s="45"/>
      <c r="C159" s="45"/>
      <c r="D159" s="46">
        <f>IF(OR(F159="",D158=""),"",D158*(1+F159/100))</f>
      </c>
      <c r="E159" s="47">
        <f>IF(D159="","",D159/D158-1)</f>
      </c>
      <c r="F159" s="52"/>
      <c r="G159" s="45">
        <f>IF(F159="","","Cargado por vos")</f>
      </c>
    </row>
    <row r="160" spans="1:7" x14ac:dyDescent="0.25">
      <c r="A160" s="49" t="s">
        <v>301</v>
      </c>
      <c r="B160" s="49"/>
      <c r="C160" s="49"/>
      <c r="D160" s="50">
        <f>IF(OR(F160="",D159=""),"",D159*(1+F160/100))</f>
      </c>
      <c r="E160" s="51">
        <f>IF(D160="","",D160/D159-1)</f>
      </c>
      <c r="F160" s="52"/>
      <c r="G160" s="49">
        <f>IF(F160="","","Cargado por vos")</f>
      </c>
    </row>
    <row r="161" spans="1:7" x14ac:dyDescent="0.25">
      <c r="A161" s="45" t="s">
        <v>302</v>
      </c>
      <c r="B161" s="45"/>
      <c r="C161" s="45"/>
      <c r="D161" s="46">
        <f>IF(OR(F161="",D160=""),"",D160*(1+F161/100))</f>
      </c>
      <c r="E161" s="47">
        <f>IF(D161="","",D161/D160-1)</f>
      </c>
      <c r="F161" s="52"/>
      <c r="G161" s="45">
        <f>IF(F161="","","Cargado por vos")</f>
      </c>
    </row>
    <row r="162" spans="1:7" x14ac:dyDescent="0.25">
      <c r="A162" s="49" t="s">
        <v>303</v>
      </c>
      <c r="B162" s="49"/>
      <c r="C162" s="49"/>
      <c r="D162" s="50">
        <f>IF(OR(F162="",D161=""),"",D161*(1+F162/100))</f>
      </c>
      <c r="E162" s="51">
        <f>IF(D162="","",D162/D161-1)</f>
      </c>
      <c r="F162" s="52"/>
      <c r="G162" s="49">
        <f>IF(F162="","","Cargado por vos")</f>
      </c>
    </row>
    <row r="163" spans="1:7" x14ac:dyDescent="0.25">
      <c r="A163" s="45" t="s">
        <v>304</v>
      </c>
      <c r="B163" s="45"/>
      <c r="C163" s="45"/>
      <c r="D163" s="46">
        <f>IF(OR(F163="",D162=""),"",D162*(1+F163/100))</f>
      </c>
      <c r="E163" s="47">
        <f>IF(D163="","",D163/D162-1)</f>
      </c>
      <c r="F163" s="52"/>
      <c r="G163" s="45">
        <f>IF(F163="","","Cargado por vos")</f>
      </c>
    </row>
    <row r="164" spans="1:7" x14ac:dyDescent="0.25">
      <c r="A164" s="49" t="s">
        <v>305</v>
      </c>
      <c r="B164" s="49"/>
      <c r="C164" s="49"/>
      <c r="D164" s="50">
        <f>IF(OR(F164="",D163=""),"",D163*(1+F164/100))</f>
      </c>
      <c r="E164" s="51">
        <f>IF(D164="","",D164/D163-1)</f>
      </c>
      <c r="F164" s="52"/>
      <c r="G164" s="49">
        <f>IF(F164="","","Cargado por vos")</f>
      </c>
    </row>
    <row r="165" spans="1:7" x14ac:dyDescent="0.25">
      <c r="A165" s="45" t="s">
        <v>306</v>
      </c>
      <c r="B165" s="45"/>
      <c r="C165" s="45"/>
      <c r="D165" s="46">
        <f>IF(OR(F165="",D164=""),"",D164*(1+F165/100))</f>
      </c>
      <c r="E165" s="47">
        <f>IF(D165="","",D165/D164-1)</f>
      </c>
      <c r="F165" s="52"/>
      <c r="G165" s="45">
        <f>IF(F165="","","Cargado por vos")</f>
      </c>
    </row>
    <row r="166" spans="1:7" x14ac:dyDescent="0.25">
      <c r="A166" s="49" t="s">
        <v>307</v>
      </c>
      <c r="B166" s="49"/>
      <c r="C166" s="49"/>
      <c r="D166" s="50">
        <f>IF(OR(F166="",D165=""),"",D165*(1+F166/100))</f>
      </c>
      <c r="E166" s="51">
        <f>IF(D166="","",D166/D165-1)</f>
      </c>
      <c r="F166" s="52"/>
      <c r="G166" s="49">
        <f>IF(F166="","","Cargado por vos")</f>
      </c>
    </row>
    <row r="167" spans="1:7" x14ac:dyDescent="0.25">
      <c r="A167" s="45" t="s">
        <v>308</v>
      </c>
      <c r="B167" s="45"/>
      <c r="C167" s="45"/>
      <c r="D167" s="46">
        <f>IF(OR(F167="",D166=""),"",D166*(1+F167/100))</f>
      </c>
      <c r="E167" s="47">
        <f>IF(D167="","",D167/D166-1)</f>
      </c>
      <c r="F167" s="52"/>
      <c r="G167" s="45">
        <f>IF(F167="","","Cargado por vos")</f>
      </c>
    </row>
    <row r="168" spans="1:7" x14ac:dyDescent="0.25">
      <c r="A168" s="49" t="s">
        <v>309</v>
      </c>
      <c r="B168" s="49"/>
      <c r="C168" s="49"/>
      <c r="D168" s="50">
        <f>IF(OR(F168="",D167=""),"",D167*(1+F168/100))</f>
      </c>
      <c r="E168" s="51">
        <f>IF(D168="","",D168/D167-1)</f>
      </c>
      <c r="F168" s="52"/>
      <c r="G168" s="49">
        <f>IF(F168="","","Cargado por vos")</f>
      </c>
    </row>
    <row r="169" spans="1:7" x14ac:dyDescent="0.25">
      <c r="A169" s="45" t="s">
        <v>310</v>
      </c>
      <c r="B169" s="45"/>
      <c r="C169" s="45"/>
      <c r="D169" s="46">
        <f>IF(OR(F169="",D168=""),"",D168*(1+F169/100))</f>
      </c>
      <c r="E169" s="47">
        <f>IF(D169="","",D169/D168-1)</f>
      </c>
      <c r="F169" s="52"/>
      <c r="G169" s="45">
        <f>IF(F169="","","Cargado por vos")</f>
      </c>
    </row>
    <row r="170" spans="1:7" x14ac:dyDescent="0.25">
      <c r="A170" s="49" t="s">
        <v>311</v>
      </c>
      <c r="B170" s="49"/>
      <c r="C170" s="49"/>
      <c r="D170" s="50">
        <f>IF(OR(F170="",D169=""),"",D169*(1+F170/100))</f>
      </c>
      <c r="E170" s="51">
        <f>IF(D170="","",D170/D169-1)</f>
      </c>
      <c r="F170" s="52"/>
      <c r="G170" s="49">
        <f>IF(F170="","","Cargado por vos")</f>
      </c>
    </row>
    <row r="171" spans="1:7" x14ac:dyDescent="0.25">
      <c r="A171" s="45" t="s">
        <v>312</v>
      </c>
      <c r="B171" s="45"/>
      <c r="C171" s="45"/>
      <c r="D171" s="46">
        <f>IF(OR(F171="",D170=""),"",D170*(1+F171/100))</f>
      </c>
      <c r="E171" s="47">
        <f>IF(D171="","",D171/D170-1)</f>
      </c>
      <c r="F171" s="52"/>
      <c r="G171" s="45">
        <f>IF(F171="","","Cargado por vos")</f>
      </c>
    </row>
    <row r="172" spans="1:7" x14ac:dyDescent="0.25">
      <c r="A172" s="49" t="s">
        <v>313</v>
      </c>
      <c r="B172" s="49"/>
      <c r="C172" s="49"/>
      <c r="D172" s="50">
        <f>IF(OR(F172="",D171=""),"",D171*(1+F172/100))</f>
      </c>
      <c r="E172" s="51">
        <f>IF(D172="","",D172/D171-1)</f>
      </c>
      <c r="F172" s="52"/>
      <c r="G172" s="49">
        <f>IF(F172="","","Cargado por vos")</f>
      </c>
    </row>
    <row r="173" spans="1:7" x14ac:dyDescent="0.25">
      <c r="A173" s="45" t="s">
        <v>314</v>
      </c>
      <c r="B173" s="45"/>
      <c r="C173" s="45"/>
      <c r="D173" s="46">
        <f>IF(OR(F173="",D172=""),"",D172*(1+F173/100))</f>
      </c>
      <c r="E173" s="47">
        <f>IF(D173="","",D173/D172-1)</f>
      </c>
      <c r="F173" s="52"/>
      <c r="G173" s="45">
        <f>IF(F173="","","Cargado por vos")</f>
      </c>
    </row>
    <row r="174" spans="1:7" x14ac:dyDescent="0.25">
      <c r="A174" s="49" t="s">
        <v>315</v>
      </c>
      <c r="B174" s="49"/>
      <c r="C174" s="49"/>
      <c r="D174" s="50">
        <f>IF(OR(F174="",D173=""),"",D173*(1+F174/100))</f>
      </c>
      <c r="E174" s="51">
        <f>IF(D174="","",D174/D173-1)</f>
      </c>
      <c r="F174" s="52"/>
      <c r="G174" s="49">
        <f>IF(F174="","","Cargado por vos")</f>
      </c>
    </row>
    <row r="175" spans="1:7" x14ac:dyDescent="0.25">
      <c r="A175" s="45" t="s">
        <v>316</v>
      </c>
      <c r="B175" s="45"/>
      <c r="C175" s="45"/>
      <c r="D175" s="46">
        <f>IF(OR(F175="",D174=""),"",D174*(1+F175/100))</f>
      </c>
      <c r="E175" s="47">
        <f>IF(D175="","",D175/D174-1)</f>
      </c>
      <c r="F175" s="52"/>
      <c r="G175" s="45">
        <f>IF(F175="","","Cargado por vos")</f>
      </c>
    </row>
    <row r="176" spans="1:7" x14ac:dyDescent="0.25">
      <c r="A176" s="49" t="s">
        <v>317</v>
      </c>
      <c r="B176" s="49"/>
      <c r="C176" s="49"/>
      <c r="D176" s="50">
        <f>IF(OR(F176="",D175=""),"",D175*(1+F176/100))</f>
      </c>
      <c r="E176" s="51">
        <f>IF(D176="","",D176/D175-1)</f>
      </c>
      <c r="F176" s="52"/>
      <c r="G176" s="49">
        <f>IF(F176="","","Cargado por vos")</f>
      </c>
    </row>
    <row r="177" spans="1:7" x14ac:dyDescent="0.25">
      <c r="A177" s="45" t="s">
        <v>318</v>
      </c>
      <c r="B177" s="45"/>
      <c r="C177" s="45"/>
      <c r="D177" s="46">
        <f>IF(OR(F177="",D176=""),"",D176*(1+F177/100))</f>
      </c>
      <c r="E177" s="47">
        <f>IF(D177="","",D177/D176-1)</f>
      </c>
      <c r="F177" s="52"/>
      <c r="G177" s="45">
        <f>IF(F177="","","Cargado por vos")</f>
      </c>
    </row>
    <row r="178" spans="1:7" x14ac:dyDescent="0.25">
      <c r="A178" s="49" t="s">
        <v>319</v>
      </c>
      <c r="B178" s="49"/>
      <c r="C178" s="49"/>
      <c r="D178" s="50">
        <f>IF(OR(F178="",D177=""),"",D177*(1+F178/100))</f>
      </c>
      <c r="E178" s="51">
        <f>IF(D178="","",D178/D177-1)</f>
      </c>
      <c r="F178" s="52"/>
      <c r="G178" s="49">
        <f>IF(F178="","","Cargado por vos")</f>
      </c>
    </row>
    <row r="179" spans="1:7" x14ac:dyDescent="0.25">
      <c r="A179" s="45" t="s">
        <v>320</v>
      </c>
      <c r="B179" s="45"/>
      <c r="C179" s="45"/>
      <c r="D179" s="46">
        <f>IF(OR(F179="",D178=""),"",D178*(1+F179/100))</f>
      </c>
      <c r="E179" s="47">
        <f>IF(D179="","",D179/D178-1)</f>
      </c>
      <c r="F179" s="52"/>
      <c r="G179" s="45">
        <f>IF(F179="","","Cargado por vos")</f>
      </c>
    </row>
    <row r="180" spans="1:7" x14ac:dyDescent="0.25">
      <c r="A180" s="49" t="s">
        <v>321</v>
      </c>
      <c r="B180" s="49"/>
      <c r="C180" s="49"/>
      <c r="D180" s="50">
        <f>IF(OR(F180="",D179=""),"",D179*(1+F180/100))</f>
      </c>
      <c r="E180" s="51">
        <f>IF(D180="","",D180/D179-1)</f>
      </c>
      <c r="F180" s="52"/>
      <c r="G180" s="49">
        <f>IF(F180="","","Cargado por vos")</f>
      </c>
    </row>
    <row r="181" spans="1:7" x14ac:dyDescent="0.25">
      <c r="A181" s="45" t="s">
        <v>322</v>
      </c>
      <c r="B181" s="45"/>
      <c r="C181" s="45"/>
      <c r="D181" s="46">
        <f>IF(OR(F181="",D180=""),"",D180*(1+F181/100))</f>
      </c>
      <c r="E181" s="47">
        <f>IF(D181="","",D181/D180-1)</f>
      </c>
      <c r="F181" s="52"/>
      <c r="G181" s="45">
        <f>IF(F181="","","Cargado por vos")</f>
      </c>
    </row>
    <row r="182" spans="1:7" x14ac:dyDescent="0.25">
      <c r="A182" s="49" t="s">
        <v>323</v>
      </c>
      <c r="B182" s="49"/>
      <c r="C182" s="49"/>
      <c r="D182" s="50">
        <f>IF(OR(F182="",D181=""),"",D181*(1+F182/100))</f>
      </c>
      <c r="E182" s="51">
        <f>IF(D182="","",D182/D181-1)</f>
      </c>
      <c r="F182" s="52"/>
      <c r="G182" s="49">
        <f>IF(F182="","","Cargado por vos")</f>
      </c>
    </row>
    <row r="183" spans="1:7" x14ac:dyDescent="0.25">
      <c r="A183" s="45" t="s">
        <v>324</v>
      </c>
      <c r="B183" s="45"/>
      <c r="C183" s="45"/>
      <c r="D183" s="46">
        <f>IF(OR(F183="",D182=""),"",D182*(1+F183/100))</f>
      </c>
      <c r="E183" s="47">
        <f>IF(D183="","",D183/D182-1)</f>
      </c>
      <c r="F183" s="52"/>
      <c r="G183" s="45">
        <f>IF(F183="","","Cargado por vos")</f>
      </c>
    </row>
    <row r="184" spans="1:7" x14ac:dyDescent="0.25">
      <c r="A184" s="49" t="s">
        <v>325</v>
      </c>
      <c r="B184" s="49"/>
      <c r="C184" s="49"/>
      <c r="D184" s="50">
        <f>IF(OR(F184="",D183=""),"",D183*(1+F184/100))</f>
      </c>
      <c r="E184" s="51">
        <f>IF(D184="","",D184/D183-1)</f>
      </c>
      <c r="F184" s="52"/>
      <c r="G184" s="49">
        <f>IF(F184="","","Cargado por vos")</f>
      </c>
    </row>
    <row r="185" spans="1:7" x14ac:dyDescent="0.25">
      <c r="A185" s="45" t="s">
        <v>326</v>
      </c>
      <c r="B185" s="45"/>
      <c r="C185" s="45"/>
      <c r="D185" s="46">
        <f>IF(OR(F185="",D184=""),"",D184*(1+F185/100))</f>
      </c>
      <c r="E185" s="47">
        <f>IF(D185="","",D185/D184-1)</f>
      </c>
      <c r="F185" s="52"/>
      <c r="G185" s="45">
        <f>IF(F185="","","Cargado por vos")</f>
      </c>
    </row>
    <row r="186" spans="1:7" x14ac:dyDescent="0.25">
      <c r="A186" s="49" t="s">
        <v>327</v>
      </c>
      <c r="B186" s="49"/>
      <c r="C186" s="49"/>
      <c r="D186" s="50">
        <f>IF(OR(F186="",D185=""),"",D185*(1+F186/100))</f>
      </c>
      <c r="E186" s="51">
        <f>IF(D186="","",D186/D185-1)</f>
      </c>
      <c r="F186" s="52"/>
      <c r="G186" s="49">
        <f>IF(F186="","","Cargado por vos")</f>
      </c>
    </row>
    <row r="187" spans="1:7" x14ac:dyDescent="0.25">
      <c r="A187" s="45" t="s">
        <v>328</v>
      </c>
      <c r="B187" s="45"/>
      <c r="C187" s="45"/>
      <c r="D187" s="46">
        <f>IF(OR(F187="",D186=""),"",D186*(1+F187/100))</f>
      </c>
      <c r="E187" s="47">
        <f>IF(D187="","",D187/D186-1)</f>
      </c>
      <c r="F187" s="52"/>
      <c r="G187" s="45">
        <f>IF(F187="","","Cargado por vos")</f>
      </c>
    </row>
    <row r="188" spans="1:7" x14ac:dyDescent="0.25">
      <c r="A188" s="49" t="s">
        <v>329</v>
      </c>
      <c r="B188" s="49"/>
      <c r="C188" s="49"/>
      <c r="D188" s="50">
        <f>IF(OR(F188="",D187=""),"",D187*(1+F188/100))</f>
      </c>
      <c r="E188" s="51">
        <f>IF(D188="","",D188/D187-1)</f>
      </c>
      <c r="F188" s="52"/>
      <c r="G188" s="49">
        <f>IF(F188="","","Cargado por vos")</f>
      </c>
    </row>
    <row r="189" spans="1:7" x14ac:dyDescent="0.25">
      <c r="A189" s="45" t="s">
        <v>330</v>
      </c>
      <c r="B189" s="45"/>
      <c r="C189" s="45"/>
      <c r="D189" s="46">
        <f>IF(OR(F189="",D188=""),"",D188*(1+F189/100))</f>
      </c>
      <c r="E189" s="47">
        <f>IF(D189="","",D189/D188-1)</f>
      </c>
      <c r="F189" s="52"/>
      <c r="G189" s="45">
        <f>IF(F189="","","Cargado por vos")</f>
      </c>
    </row>
    <row r="190" spans="1:7" x14ac:dyDescent="0.25">
      <c r="A190" s="49" t="s">
        <v>331</v>
      </c>
      <c r="B190" s="49"/>
      <c r="C190" s="49"/>
      <c r="D190" s="50">
        <f>IF(OR(F190="",D189=""),"",D189*(1+F190/100))</f>
      </c>
      <c r="E190" s="51">
        <f>IF(D190="","",D190/D189-1)</f>
      </c>
      <c r="F190" s="52"/>
      <c r="G190" s="49">
        <f>IF(F190="","","Cargado por vos")</f>
      </c>
    </row>
    <row r="191" spans="1:7" x14ac:dyDescent="0.25">
      <c r="A191" s="45" t="s">
        <v>332</v>
      </c>
      <c r="B191" s="45"/>
      <c r="C191" s="45"/>
      <c r="D191" s="46">
        <f>IF(OR(F191="",D190=""),"",D190*(1+F191/100))</f>
      </c>
      <c r="E191" s="47">
        <f>IF(D191="","",D191/D190-1)</f>
      </c>
      <c r="F191" s="52"/>
      <c r="G191" s="45">
        <f>IF(F191="","","Cargado por vos")</f>
      </c>
    </row>
    <row r="192" spans="1:7" x14ac:dyDescent="0.25">
      <c r="A192" s="49" t="s">
        <v>333</v>
      </c>
      <c r="B192" s="49"/>
      <c r="C192" s="49"/>
      <c r="D192" s="50">
        <f>IF(OR(F192="",D191=""),"",D191*(1+F192/100))</f>
      </c>
      <c r="E192" s="51">
        <f>IF(D192="","",D192/D191-1)</f>
      </c>
      <c r="F192" s="52"/>
      <c r="G192" s="49">
        <f>IF(F192="","","Cargado por vos")</f>
      </c>
    </row>
    <row r="193" spans="1:7" x14ac:dyDescent="0.25">
      <c r="A193" s="45" t="s">
        <v>334</v>
      </c>
      <c r="B193" s="45"/>
      <c r="C193" s="45"/>
      <c r="D193" s="46">
        <f>IF(OR(F193="",D192=""),"",D192*(1+F193/100))</f>
      </c>
      <c r="E193" s="47">
        <f>IF(D193="","",D193/D192-1)</f>
      </c>
      <c r="F193" s="52"/>
      <c r="G193" s="45">
        <f>IF(F193="","","Cargado por vos")</f>
      </c>
    </row>
    <row r="194" spans="1:7" x14ac:dyDescent="0.25">
      <c r="A194" s="49" t="s">
        <v>335</v>
      </c>
      <c r="B194" s="49"/>
      <c r="C194" s="49"/>
      <c r="D194" s="50">
        <f>IF(OR(F194="",D193=""),"",D193*(1+F194/100))</f>
      </c>
      <c r="E194" s="51">
        <f>IF(D194="","",D194/D193-1)</f>
      </c>
      <c r="F194" s="52"/>
      <c r="G194" s="49">
        <f>IF(F194="","","Cargado por vos")</f>
      </c>
    </row>
    <row r="195" spans="1:7" x14ac:dyDescent="0.25">
      <c r="A195" s="45" t="s">
        <v>336</v>
      </c>
      <c r="B195" s="45"/>
      <c r="C195" s="45"/>
      <c r="D195" s="46">
        <f>IF(OR(F195="",D194=""),"",D194*(1+F195/100))</f>
      </c>
      <c r="E195" s="47">
        <f>IF(D195="","",D195/D194-1)</f>
      </c>
      <c r="F195" s="52"/>
      <c r="G195" s="45">
        <f>IF(F195="","","Cargado por vos")</f>
      </c>
    </row>
    <row r="196" spans="1:7" x14ac:dyDescent="0.25">
      <c r="A196" s="49" t="s">
        <v>337</v>
      </c>
      <c r="B196" s="49"/>
      <c r="C196" s="49"/>
      <c r="D196" s="50">
        <f>IF(OR(F196="",D195=""),"",D195*(1+F196/100))</f>
      </c>
      <c r="E196" s="51">
        <f>IF(D196="","",D196/D195-1)</f>
      </c>
      <c r="F196" s="52"/>
      <c r="G196" s="49">
        <f>IF(F196="","","Cargado por vos")</f>
      </c>
    </row>
    <row r="197" spans="1:7" x14ac:dyDescent="0.25">
      <c r="A197" s="45" t="s">
        <v>338</v>
      </c>
      <c r="B197" s="45"/>
      <c r="C197" s="45"/>
      <c r="D197" s="46">
        <f>IF(OR(F197="",D196=""),"",D196*(1+F197/100))</f>
      </c>
      <c r="E197" s="47">
        <f>IF(D197="","",D197/D196-1)</f>
      </c>
      <c r="F197" s="52"/>
      <c r="G197" s="45">
        <f>IF(F197="","","Cargado por vos")</f>
      </c>
    </row>
  </sheetData>
  <sheetProtection sheet="1" formatColumns="0" formatRows="0"/>
  <mergeCells count="196">
    <mergeCell ref="A1:G1"/>
    <mergeCell ref="A2:G2"/>
    <mergeCell ref="A4:C4"/>
    <mergeCell ref="A5:C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64:C164"/>
    <mergeCell ref="A165:C165"/>
    <mergeCell ref="A166:C166"/>
    <mergeCell ref="A167:C167"/>
    <mergeCell ref="A168:C168"/>
    <mergeCell ref="A169:C169"/>
    <mergeCell ref="A170:C170"/>
    <mergeCell ref="A171:C171"/>
    <mergeCell ref="A172:C172"/>
    <mergeCell ref="A173:C173"/>
    <mergeCell ref="A174:C174"/>
    <mergeCell ref="A175:C175"/>
    <mergeCell ref="A176:C176"/>
    <mergeCell ref="A177:C177"/>
    <mergeCell ref="A178:C178"/>
    <mergeCell ref="A179:C179"/>
    <mergeCell ref="A180:C180"/>
    <mergeCell ref="A181:C181"/>
    <mergeCell ref="A182:C182"/>
    <mergeCell ref="A183:C183"/>
    <mergeCell ref="A184:C184"/>
    <mergeCell ref="A185:C185"/>
    <mergeCell ref="A186:C186"/>
    <mergeCell ref="A187:C187"/>
    <mergeCell ref="A188:C188"/>
    <mergeCell ref="A189:C189"/>
    <mergeCell ref="A190:C190"/>
    <mergeCell ref="A191:C191"/>
    <mergeCell ref="A192:C192"/>
    <mergeCell ref="A193:C193"/>
    <mergeCell ref="A194:C194"/>
    <mergeCell ref="A195:C195"/>
    <mergeCell ref="A196:C196"/>
    <mergeCell ref="A197:C197"/>
  </mergeCells>
  <dataValidations count="1">
    <dataValidation type="decimal" allowBlank="1" showErrorMessage="1" error="Cargá el % del mes como número: por ejemplo 2,1 para 2,1%." sqref="F122:F197">
      <formula1>-50</formula1>
      <formula2>100</formula2>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74F"/>
  </sheetPr>
  <dimension ref="A1:B16"/>
  <sheetFormatPr defaultRowHeight="15" outlineLevelRow="0" outlineLevelCol="0" x14ac:dyDescent="55"/>
  <cols>
    <col min="1" max="1" width="62" customWidth="1"/>
    <col min="2" max="2" width="76" customWidth="1"/>
  </cols>
  <sheetData>
    <row r="1" ht="28" customHeight="1" spans="1:2" x14ac:dyDescent="0.25">
      <c r="A1" s="53" t="s">
        <v>339</v>
      </c>
      <c r="B1" s="53"/>
    </row>
    <row r="2" ht="30" customHeight="1" spans="1:2" x14ac:dyDescent="0.25">
      <c r="A2" s="54" t="s">
        <v>340</v>
      </c>
      <c r="B2" s="54"/>
    </row>
    <row r="4" spans="1:2" x14ac:dyDescent="0.25">
      <c r="A4" s="55" t="s">
        <v>341</v>
      </c>
      <c r="B4" s="55" t="s">
        <v>342</v>
      </c>
    </row>
    <row r="5" ht="32" customHeight="1" spans="1:2" x14ac:dyDescent="0.25">
      <c r="A5" s="56" t="s">
        <v>343</v>
      </c>
      <c r="B5" s="57" t="s">
        <v>344</v>
      </c>
    </row>
    <row r="6" ht="32" customHeight="1" spans="1:2" x14ac:dyDescent="0.25">
      <c r="A6" s="58" t="s">
        <v>345</v>
      </c>
      <c r="B6" s="59" t="s">
        <v>346</v>
      </c>
    </row>
    <row r="7" ht="32" customHeight="1" spans="1:2" x14ac:dyDescent="0.25">
      <c r="A7" s="56" t="s">
        <v>347</v>
      </c>
      <c r="B7" s="57" t="s">
        <v>348</v>
      </c>
    </row>
    <row r="8" ht="32" customHeight="1" spans="1:2" x14ac:dyDescent="0.25">
      <c r="A8" s="58" t="s">
        <v>349</v>
      </c>
      <c r="B8" s="59" t="s">
        <v>350</v>
      </c>
    </row>
    <row r="9" ht="32" customHeight="1" spans="1:2" x14ac:dyDescent="0.25">
      <c r="A9" s="56" t="s">
        <v>351</v>
      </c>
      <c r="B9" s="57" t="s">
        <v>352</v>
      </c>
    </row>
    <row r="10" ht="32" customHeight="1" spans="1:2" x14ac:dyDescent="0.25">
      <c r="A10" s="58" t="s">
        <v>353</v>
      </c>
      <c r="B10" s="59" t="s">
        <v>354</v>
      </c>
    </row>
    <row r="11" ht="32" customHeight="1" spans="1:2" x14ac:dyDescent="0.25">
      <c r="A11" s="56" t="s">
        <v>355</v>
      </c>
      <c r="B11" s="57" t="s">
        <v>356</v>
      </c>
    </row>
    <row r="12" ht="32" customHeight="1" spans="1:2" x14ac:dyDescent="0.25">
      <c r="A12" s="58" t="s">
        <v>357</v>
      </c>
      <c r="B12" s="59" t="s">
        <v>358</v>
      </c>
    </row>
    <row r="13" ht="32" customHeight="1" spans="1:2" x14ac:dyDescent="0.25">
      <c r="A13" s="56" t="s">
        <v>359</v>
      </c>
      <c r="B13" s="57" t="s">
        <v>360</v>
      </c>
    </row>
    <row r="14" ht="32" customHeight="1" spans="1:2" x14ac:dyDescent="0.25">
      <c r="A14" s="58" t="s">
        <v>361</v>
      </c>
      <c r="B14" s="59" t="s">
        <v>362</v>
      </c>
    </row>
    <row r="16" spans="1:2" x14ac:dyDescent="0.25">
      <c r="A16" s="9" t="s">
        <v>363</v>
      </c>
      <c r="B16" s="9"/>
    </row>
  </sheetData>
  <mergeCells count="3">
    <mergeCell ref="A1:B1"/>
    <mergeCell ref="A2:B2"/>
    <mergeCell ref="A16:B16"/>
  </mergeCells>
  <hyperlinks>
    <hyperlink ref="B5" r:id="rId1"/>
    <hyperlink ref="B6" r:id="rId2"/>
    <hyperlink ref="B7" r:id="rId3"/>
    <hyperlink ref="B8" r:id="rId4"/>
    <hyperlink ref="B9" r:id="rId5"/>
    <hyperlink ref="B10" r:id="rId6"/>
    <hyperlink ref="B11" r:id="rId7"/>
    <hyperlink ref="B12" r:id="rId8"/>
    <hyperlink ref="B13" r:id="rId9"/>
    <hyperlink ref="B14" r:id="rId1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Cómo usarla</vt:lpstr>
      <vt:lpstr>Mis datos</vt:lpstr>
      <vt:lpstr>Mis recibos</vt:lpstr>
      <vt:lpstr>Sueldo vs inflación</vt:lpstr>
      <vt:lpstr>Para pedir aumento</vt:lpstr>
      <vt:lpstr>Aguinaldo</vt:lpstr>
      <vt:lpstr>IPC</vt:lpstr>
      <vt:lpstr>Fuentes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CalculAR (calcular.ar)</dc:creator>
  <dc:title>Planilla Mi Sueldo 2026</dc:title>
  <dc:subject>Control del recibo de sueldo, sueldo real contra el IPC del INDEC y resumen para pedir aumento</dc:subject>
  <dc:description/>
  <cp:keywords>recibo de sueldo, aportes, inflación, ipc, indec, aumento, aguinaldo, ganancias, planilla</cp:keywords>
  <cp:category/>
  <cp:lastModifiedBy>Unknown</cp:lastModifiedBy>
  <dcterms:created xsi:type="dcterms:W3CDTF">2026-10-10T01:16:08Z</dcterms:created>
  <dcterms:modified xsi:type="dcterms:W3CDTF">2026-10-10T01:16:08Z</dcterms:modified>
</cp:coreProperties>
</file>