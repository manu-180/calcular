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Equipo" state="visible" r:id="rId5"/>
    <sheet sheetId="3" name="Liquidación" state="visible" r:id="rId6"/>
    <sheet sheetId="4" name="Notificación" state="visible" r:id="rId7"/>
    <sheet sheetId="5" name="Temporada" state="visible" r:id="rId8"/>
    <sheet sheetId="6" name="Egresos" state="visible" r:id="rId9"/>
    <sheet sheetId="7" name="Feriados" state="visible" r:id="rId10"/>
    <sheet sheetId="8" name="Fuentes" state="visible" r:id="rId11"/>
  </sheets>
  <definedNames>
    <definedName name="_xlnm.Print_Area" localSheetId="3">'Notificación'!$A11:$D49</definedName>
  </definedNames>
  <calcPr calcId="171027"/>
</workbook>
</file>

<file path=xl/sharedStrings.xml><?xml version="1.0" encoding="utf-8"?>
<sst xmlns="http://schemas.openxmlformats.org/spreadsheetml/2006/main" count="214" uniqueCount="147">
  <si>
    <t>Vacaciones 2026 de tu equipo — cómo usar esta planilla</t>
  </si>
  <si>
    <t>1</t>
  </si>
  <si>
    <t>En «Equipo» cargá a cada persona: nombre, fecha de ingreso y sueldo bruto mensual (hasta 40). Te dice cuántos días le corresponden y cuánto le tenés que pagar. Las celdas amarillas son las tuyas; las verdes se calculan solas.</t>
  </si>
  <si>
    <t>2</t>
  </si>
  <si>
    <t>Elegí la fecha de inicio de cada uno. La columna «Estado» te avisa si no cae en lunes, si se pasa del 30 de abril, si el tramo es muy corto o si se te está por vencer el aviso. Probá fechas hasta que todas digan «En regla».</t>
  </si>
  <si>
    <t>3</t>
  </si>
  <si>
    <t>En «Notificación» elegí el número de empleado: la nota sale lista, con días, fechas y regreso, por duplicado. Imprimila, firmala y que la persona firme la copia que te quedás. Después marcá «Sí» en la columna «¿Notificado?».</t>
  </si>
  <si>
    <t>4</t>
  </si>
  <si>
    <t>«Liquidación» muestra el detalle del pago de una persona; «Temporada» te dice cuánto vas a pagar en vacaciones mes por mes, para que no te agarre la caja en enero.</t>
  </si>
  <si>
    <t>5</t>
  </si>
  <si>
    <t>Si alguien se va, en «Egresos» ponés su número y la fecha de egreso: te calcula las vacaciones no gozadas para la liquidación final.</t>
  </si>
  <si>
    <t>LO QUE DICE LA LEY (Ley de Contrato de Trabajo, con la reforma de la Ley 27.802)</t>
  </si>
  <si>
    <t>•  Días según la antigüedad al 31 de diciembre de 2026: hasta 5 años, 14 días corridos; más de 5 y hasta 10 años, 21 días corridos; más de 10 y hasta 20 años, 28 días corridos; más de 20 años, 35 días corridos (art. 150). Son corridos: cuentan sábados, domingos y feriados.</t>
  </si>
  <si>
    <t>•  Quien no trabajó al menos la mitad de los días hábiles del año tiene 1 día de descanso cada 20 días trabajados (arts. 151 y 153). La planilla lo detecta sola por la fecha de ingreso.</t>
  </si>
  <si>
    <t>•  Se otorgan entre el 1 de octubre y el 30 de abril. Fuera de ese período, sólo de común acuerdo (art. 154). La fecha de inicio se avisa por escrito con al menos 30 días de anticipación; si tu convenio fija otra anticipación, cambiala en la celda de arriba de «Equipo».</t>
  </si>
  <si>
    <t>•  Empiezan un lunes, o el día hábil siguiente si ese lunes es feriado (art. 151). Para quien trabaja en días inhábiles la regla es otra: empiezan el día siguiente a su franco.</t>
  </si>
  <si>
    <t>•  Se pueden partir en tramos, si los dos están de acuerdo, siempre que ningún tramo tenga menos de 7 días (art. 154). Cargá los días del tramo en la columna «Días de este tramo» y el saldo te queda a la vista.</t>
  </si>
  <si>
    <t>•  Si no las tomás todos juntos, organizalas para que cada persona tenga vacaciones en verano al menos una vez cada tres años (art. 154).</t>
  </si>
  <si>
    <t>•  Cada día se paga el sueldo mensual dividido 25, y se paga al empezar las vacaciones (art. 155). Es bruto: lleva los mismos descuentos que el sueldo. Con sueldo variable (comisiones, destajo), cargá el promedio del año o, si la persona lo prefiere, el de los últimos seis meses. Si cobra por día o por hora, cada día de vacaciones vale lo que habría cobrado en la jornada anterior al inicio (art. 155 inc. b): para que la cuenta dé eso, cargá en «Sueldo» ese jornal multiplicado por 25.</t>
  </si>
  <si>
    <t>•  Si no avisaste a tiempo, la persona puede tomárselas avisándote de forma fehaciente, para que terminen antes del 31 de mayo (art. 157). No se pueden pagar en plata en lugar de tomarlas, salvo al terminar la relación (arts. 156 y 162).</t>
  </si>
  <si>
    <t>•  Si se enferma durante las vacaciones y te avisa a tiempo, vuelve en la fecha prevista y el saldo de días se reprograma (art. 154).</t>
  </si>
  <si>
    <t>Esta planilla da los mismos números que la calculadora gratuita de calcular.ar/vacaciones: misma ley, misma fórmula. Antes de publicar cada versión, una verificación automática recalcula el archivo y lo compara contra la calculadora. Es una referencia de cálculo con sus fuentes, no asesoramiento legal: tu convenio colectivo puede tener reglas propias.</t>
  </si>
  <si>
    <t>Las fechas se escriben como dd/mm/aaaa. Si tu Excel está configurado en inglés y lee las fechas al revés, escribilas como aaaa-mm-dd.</t>
  </si>
  <si>
    <t>Vacaciones 2026 del equipo — días, fechas, aviso y pago</t>
  </si>
  <si>
    <t>LCT arts. 150 a 157 · art. 154 según Ley 27.802 · Verificado el 11 de junio de 2026</t>
  </si>
  <si>
    <t>Año</t>
  </si>
  <si>
    <t>Días de aviso previo</t>
  </si>
  <si>
    <t>Fecha de hoy</t>
  </si>
  <si>
    <t>Nº</t>
  </si>
  <si>
    <t>Nombre y apellido</t>
  </si>
  <si>
    <t>Fecha de ingreso</t>
  </si>
  <si>
    <t>Sueldo bruto mensual</t>
  </si>
  <si>
    <t>Días de este tramo (vacío = todos)</t>
  </si>
  <si>
    <t>Fecha de inicio</t>
  </si>
  <si>
    <t>¿Notificado?</t>
  </si>
  <si>
    <t>Antigüedad al 31/12</t>
  </si>
  <si>
    <t>Días que le tocan</t>
  </si>
  <si>
    <t>Régimen</t>
  </si>
  <si>
    <t>Días del tramo</t>
  </si>
  <si>
    <t>Saldo</t>
  </si>
  <si>
    <t>Último día</t>
  </si>
  <si>
    <t>Vuelve a trabajar</t>
  </si>
  <si>
    <t>Notificar hasta el</t>
  </si>
  <si>
    <t>Valor del día (÷ 25)</t>
  </si>
  <si>
    <t>A pagar al inicio</t>
  </si>
  <si>
    <t>Plus vacacional</t>
  </si>
  <si>
    <t>Estado</t>
  </si>
  <si>
    <t>Ana (ejemplo)</t>
  </si>
  <si>
    <t>No</t>
  </si>
  <si>
    <t>Bruno (ejemplo)</t>
  </si>
  <si>
    <t>Carla (ejemplo)</t>
  </si>
  <si>
    <t>TOTAL DE LA TEMPORADA</t>
  </si>
  <si>
    <t>* «Notificar hasta el»: último día para entregar el aviso por escrito con 30 días de anticipación (o los que pongas arriba si tu convenio fija otro plazo). «A pagar al inicio» es bruto: lleva los mismos descuentos que el sueldo.</t>
  </si>
  <si>
    <t>* Los feriados para la regla del lunes están en la hoja «Feriados». Los días no laborables (Jueves Santo, días turísticos) no cuentan: los decide cada empleador.</t>
  </si>
  <si>
    <t>Vacaciones de una persona — detalle del pago</t>
  </si>
  <si>
    <t>Elegí el número de empleado de la hoja «Equipo». Todo lo demás se completa solo.</t>
  </si>
  <si>
    <t>EMPLEADO</t>
  </si>
  <si>
    <t>Empleado Nº (de la hoja Equipo)</t>
  </si>
  <si>
    <t>Antigüedad al 31 de diciembre</t>
  </si>
  <si>
    <t>DÍAS Y FECHAS</t>
  </si>
  <si>
    <t>Días de vacaciones que le corresponden</t>
  </si>
  <si>
    <t>Días de este tramo</t>
  </si>
  <si>
    <t>Primer día de vacaciones</t>
  </si>
  <si>
    <t>Último día de vacaciones</t>
  </si>
  <si>
    <t>Vuelve a trabajar el</t>
  </si>
  <si>
    <t>Notificar por escrito hasta el</t>
  </si>
  <si>
    <t>PAGO (art. 155 LCT)</t>
  </si>
  <si>
    <t>Valor del día de vacaciones (sueldo ÷ 25)</t>
  </si>
  <si>
    <t>Valor del día trabajado (sueldo ÷ 30)</t>
  </si>
  <si>
    <t>A PAGAR AL INICIO DE LAS VACACIONES</t>
  </si>
  <si>
    <t>Plus vacacional incluido</t>
  </si>
  <si>
    <t>* El plus vacacional no es un adicional aparte: sale de pagar cada día de vacaciones a sueldo ÷ 25 en lugar de ÷ 30. El importe es bruto: lleva los mismos aportes que el sueldo (jubilación, PAMI, obra social y, si corresponde, sindicato y Ganancias).</t>
  </si>
  <si>
    <t>Notificación de vacaciones — lista para imprimir y firmar</t>
  </si>
  <si>
    <t>Empleador o razón social</t>
  </si>
  <si>
    <t/>
  </si>
  <si>
    <t>Lugar</t>
  </si>
  <si>
    <t>Fecha de la nota</t>
  </si>
  <si>
    <t>Antes de imprimir, revisá</t>
  </si>
  <si>
    <t>Se imprimen las dos copias en una hoja A4: una para la persona y otra, firmada por ella, para el legajo. Las celdas amarillas son las únicas que completás acá.</t>
  </si>
  <si>
    <t>NOTIFICACIÓN DE VACACIONES · ORIGINAL (para la persona)</t>
  </si>
  <si>
    <t>Presente</t>
  </si>
  <si>
    <t>Importe bruto de sus vacaciones, que se abona al inicio de la licencia (art. 155):</t>
  </si>
  <si>
    <t>Si durante las vacaciones se enfermara, avísenos en el momento: se reincorporará en la fecha prevista y los días que no haya podido gozar se reprogramarán (art. 154). Saludamos a usted atentamente.</t>
  </si>
  <si>
    <t>Recibí la notificación. Firma, aclaración y fecha</t>
  </si>
  <si>
    <t>NOTIFICACIÓN DE VACACIONES · DUPLICADO (firmado, para el legajo)</t>
  </si>
  <si>
    <t>La temporada en números — cuánto pagás y cuándo</t>
  </si>
  <si>
    <t>RESUMEN DEL EQUIPO</t>
  </si>
  <si>
    <t>Personas con vacaciones cargadas</t>
  </si>
  <si>
    <t>Días de vacaciones de este tramo</t>
  </si>
  <si>
    <t>TOTAL A PAGAR EN VACACIONES</t>
  </si>
  <si>
    <t>Personas con algo para revisar en «Estado»</t>
  </si>
  <si>
    <t>Mes en que empiezan</t>
  </si>
  <si>
    <t>Personas</t>
  </si>
  <si>
    <t>Días</t>
  </si>
  <si>
    <t>A pagar ese mes</t>
  </si>
  <si>
    <t>Fuera de temporada (con acuerdo)</t>
  </si>
  <si>
    <t>Todavía sin fecha de inicio</t>
  </si>
  <si>
    <t>* Cada licencia se cuenta en el mes en que empieza, que es cuando se paga (art. 155). Los importes son brutos, antes de descuentos y sin las contribuciones patronales.</t>
  </si>
  <si>
    <t>Si alguien se va — vacaciones no gozadas (art. 156 LCT)</t>
  </si>
  <si>
    <t>Corresponde por cualquier causa de egreso (renuncia, despido, acuerdo). Se paga en la liquidación final: días de la escala × días trabajados en el año ÷ 365, a sueldo ÷ 25, más el aguinaldo sobre ese importe.</t>
  </si>
  <si>
    <t>Si ya se tomó a cuenta vacaciones de este mismo año, o le quedó sin gozar un período anterior, ajustalo con quien liquida: esta hoja calcula el proporcional del año del egreso.</t>
  </si>
  <si>
    <t>Nombre</t>
  </si>
  <si>
    <t>Ingreso</t>
  </si>
  <si>
    <t>Mejor sueldo mensual</t>
  </si>
  <si>
    <t>Fecha de egreso</t>
  </si>
  <si>
    <t>Días del año trabajados</t>
  </si>
  <si>
    <t>Días proporcionales</t>
  </si>
  <si>
    <t>Vacaciones no gozadas</t>
  </si>
  <si>
    <t>Aguinaldo sobre vacaciones</t>
  </si>
  <si>
    <t>TOTAL</t>
  </si>
  <si>
    <t>Feriados nacionales 2026 y 2027 (Ley 27.399)</t>
  </si>
  <si>
    <t>Los usa la regla del art. 151: si el lunes de inicio es feriado, las vacaciones empiezan el hábil siguiente. Están los inamovibles y los trasladables ya trasladados. Si tu provincia tiene un feriado propio, agregalo al final de la lista.</t>
  </si>
  <si>
    <t>Fecha</t>
  </si>
  <si>
    <t>Feriado</t>
  </si>
  <si>
    <t>Año Nuevo</t>
  </si>
  <si>
    <t>Lunes de Carnaval</t>
  </si>
  <si>
    <t>Martes de Carnaval</t>
  </si>
  <si>
    <t>Día Nacional de la Memoria por la Verdad y la Justicia</t>
  </si>
  <si>
    <t>Día del Veterano y de los Caídos en la Guerra de Malvinas</t>
  </si>
  <si>
    <t>Viernes Santo</t>
  </si>
  <si>
    <t>Día del Trabajo</t>
  </si>
  <si>
    <t>Día de la Revolución de Mayo</t>
  </si>
  <si>
    <t>Paso a la Inmortalidad del General Martín Miguel de Güemes</t>
  </si>
  <si>
    <t>Paso a la Inmortalidad del General Manuel Belgrano</t>
  </si>
  <si>
    <t>Día de la Independencia</t>
  </si>
  <si>
    <t>Paso a la Inmortalidad del General José de San Martín</t>
  </si>
  <si>
    <t>Día del Respeto a la Diversidad Cultural</t>
  </si>
  <si>
    <t>Día de la Soberanía Nacional</t>
  </si>
  <si>
    <t>Día de la Inmaculada Concepción de María</t>
  </si>
  <si>
    <t>Navidad</t>
  </si>
  <si>
    <t>Fuentes oficiales</t>
  </si>
  <si>
    <t>Todos los datos de esta planilla se verificaron el 6 de octubre de 2026 contra los documentos oficiales de abajo. Ningún blog, ningún resumen de terceros.</t>
  </si>
  <si>
    <t>Documento</t>
  </si>
  <si>
    <t>Link</t>
  </si>
  <si>
    <t>Ley de Contrato de Trabajo 20.744, arts. 150-164 (texto actualizado)</t>
  </si>
  <si>
    <t>https://servicios.infoleg.gob.ar/infolegInternet/anexos/25000-29999/25552/texact.htm</t>
  </si>
  <si>
    <t>Ley 27.802: nuevo art. 154 LCT (B.O. 6/3/2026)</t>
  </si>
  <si>
    <t>https://servicios.infoleg.gob.ar/infolegInternet/verNorma.do?id=423680</t>
  </si>
  <si>
    <t>Ley 27.399: Régimen de feriados nacionales y días no laborables</t>
  </si>
  <si>
    <t>https://servicios.infoleg.gob.ar/infolegInternet/anexos/280000-284999/281835/norma.htm</t>
  </si>
  <si>
    <t>Decreto 614/2025: traslado de los feriados que caen fin de semana</t>
  </si>
  <si>
    <t>https://www.boletinoficial.gob.ar/detalleAviso/primera/330457/20250828</t>
  </si>
  <si>
    <t>Resolución 164/2025: días no laborables con fines turísticos 2026</t>
  </si>
  <si>
    <t>https://www.boletinoficial.gob.ar/detalleAviso/primera/336753/20251226</t>
  </si>
  <si>
    <t>Calendario oficial de feriados: Jefatura de Gabinete</t>
  </si>
  <si>
    <t>https://www.argentina.gob.ar/jefatura/feriados-nacionales-2026</t>
  </si>
  <si>
    <t>Planilla de calcular.ar. Las actualizaciones del año están incluidas en el precio: si cambia una norma de vacaciones o el calendario de feriados, regeneramos la planilla y el mismo enlace de descarga te baja la versión al día. Referencia de cálculo con fuentes; no reemplaza el asesoramiento de un profesional.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</si>
</sst>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quot;$&quot;#,##0"/>
    <numFmt numFmtId="166" formatCode="&quot;$&quot;#,##0.00"/>
  </numFmts>
  <fonts count="12" x14ac:knownFonts="1">
    <font>
      <color theme="1"/>
      <family val="2"/>
      <scheme val="minor"/>
      <sz val="11"/>
      <name val="Calibri"/>
    </font>
    <font>
      <b/>
      <color rgb="FFFFFFFF"/>
      <sz val="13"/>
    </font>
    <font>
      <b/>
      <color rgb="FFFFFFFF"/>
    </font>
    <font>
      <b/>
      <color rgb="FFFFFFFF"/>
      <sz val="11"/>
    </font>
    <font>
      <i/>
      <color rgb="FF777777"/>
      <sz val="9"/>
    </font>
    <font>
      <i/>
      <color rgb="FF555555"/>
      <sz val="10"/>
    </font>
    <font>
      <b/>
    </font>
    <font>
      <b/>
      <color rgb="FFFFFFFF"/>
      <sz val="10"/>
    </font>
    <font>
      <b/>
      <color rgb="FF607D8B"/>
      <sz val="9"/>
    </font>
    <font>
      <sz val="10"/>
    </font>
    <font>
      <sz val="9"/>
    </font>
    <font>
      <u/>
      <color rgb="FF1565C0"/>
    </font>
  </fonts>
  <fills count="20">
    <fill>
      <patternFill patternType="none"/>
    </fill>
    <fill>
      <patternFill patternType="gray125"/>
    </fill>
    <fill>
      <patternFill patternType="solid">
        <fgColor rgb="FFF57C00"/>
      </patternFill>
    </fill>
    <fill>
      <patternFill patternType="solid">
        <fgColor rgb="FF1B5E20"/>
      </patternFill>
    </fill>
    <fill>
      <patternFill patternType="solid">
        <fgColor rgb="FFF5F5F5"/>
      </patternFill>
    </fill>
    <fill>
      <patternFill patternType="solid">
        <fgColor rgb="FFFFFDE7"/>
      </patternFill>
    </fill>
    <fill>
      <patternFill patternType="solid">
        <fgColor rgb="FFE8F5E9"/>
      </patternFill>
    </fill>
    <fill>
      <patternFill patternType="solid">
        <fgColor rgb="FF33691E"/>
      </patternFill>
    </fill>
    <fill>
      <patternFill patternType="solid">
        <fgColor rgb="FFF1F8F1"/>
      </patternFill>
    </fill>
    <fill>
      <patternFill patternType="solid">
        <fgColor rgb="FFC8E6C9"/>
      </patternFill>
    </fill>
    <fill>
      <patternFill patternType="solid">
        <fgColor rgb="FF00695C"/>
      </patternFill>
    </fill>
    <fill>
      <patternFill patternType="solid">
        <fgColor rgb="FF455A64"/>
      </patternFill>
    </fill>
    <fill>
      <patternFill patternType="solid">
        <fgColor rgb="FF1565C0"/>
      </patternFill>
    </fill>
    <fill>
      <patternFill patternType="solid">
        <fgColor rgb="FF1976D2"/>
      </patternFill>
    </fill>
    <fill>
      <patternFill patternType="solid">
        <fgColor rgb="FFFFFFFF"/>
      </patternFill>
    </fill>
    <fill>
      <patternFill patternType="solid">
        <fgColor rgb="FFF3F8FF"/>
      </patternFill>
    </fill>
    <fill>
      <patternFill patternType="solid">
        <fgColor rgb="FF6A1B9A"/>
      </patternFill>
    </fill>
    <fill>
      <patternFill patternType="solid">
        <fgColor rgb="FF7B1FA2"/>
      </patternFill>
    </fill>
    <fill>
      <patternFill patternType="solid">
        <fgColor rgb="FF546E7A"/>
      </patternFill>
    </fill>
    <fill>
      <patternFill patternType="solid">
        <fgColor rgb="FF37474F"/>
      </patternFill>
    </fill>
  </fills>
  <borders count="4">
    <border>
      <left/>
      <right/>
      <top/>
      <bottom/>
      <diagonal/>
    </border>
    <border>
      <left style="thin">
        <color rgb="FFB0BEC5"/>
      </left>
      <right style="thin">
        <color rgb="FFB0BEC5"/>
      </right>
      <top style="thin">
        <color rgb="FFB0BEC5"/>
      </top>
      <bottom style="thin">
        <color rgb="FFB0BEC5"/>
      </bottom>
      <diagonal/>
    </border>
    <border>
      <left/>
      <right/>
      <top/>
      <bottom style="thin">
        <color rgb="FFB0BEC5"/>
      </bottom>
      <diagonal/>
    </border>
    <border>
      <left/>
      <right/>
      <top style="thin">
        <color rgb="FF455A64"/>
      </top>
      <bottom/>
      <diagonal/>
    </border>
  </borders>
  <cellStyleXfs count="1">
    <xf numFmtId="0" fontId="0" fillId="0" borderId="0"/>
  </cellStyleXfs>
  <cellXfs count="6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center" wrapText="1" indent="1"/>
    </xf>
    <xf numFmtId="0" fontId="3" fillId="3" borderId="0" xfId="0" applyFont="1" applyFill="1" applyAlignment="1">
      <alignment horizontal="left" indent="1"/>
    </xf>
    <xf numFmtId="0" fontId="0" fillId="0" borderId="0" xfId="0" applyAlignment="1">
      <alignment vertical="top" wrapText="1" indent="1"/>
    </xf>
    <xf numFmtId="0" fontId="4" fillId="0" borderId="0" xfId="0" applyFont="1" applyAlignment="1">
      <alignment vertical="top" wrapText="1"/>
    </xf>
    <xf numFmtId="0" fontId="1" fillId="3" borderId="0" xfId="0" applyFont="1" applyFill="1" applyAlignment="1">
      <alignment horizontal="center" vertical="center"/>
    </xf>
    <xf numFmtId="0" fontId="5" fillId="4" borderId="0" xfId="0" applyFont="1" applyFill="1" applyAlignment="1">
      <alignment horizontal="center"/>
    </xf>
    <xf numFmtId="0" fontId="0" fillId="4" borderId="1" xfId="0" applyFill="1" applyBorder="1" applyAlignment="1">
      <alignment horizontal="left" indent="1"/>
    </xf>
    <xf numFmtId="1" fontId="6" fillId="5" borderId="1" xfId="0" applyNumberFormat="1" applyFont="1" applyFill="1" applyBorder="1" applyAlignment="1">
      <alignment horizontal="right"/>
    </xf>
    <xf numFmtId="164" fontId="0" fillId="6" borderId="1" xfId="0" applyNumberFormat="1" applyFill="1" applyBorder="1" applyAlignment="1">
      <alignment horizontal="right"/>
    </xf>
    <xf numFmtId="0" fontId="7" fillId="7"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0" fillId="4" borderId="1" xfId="0" applyFill="1" applyBorder="1" applyAlignment="1">
      <alignment horizontal="center"/>
    </xf>
    <xf numFmtId="0" fontId="6" fillId="5" borderId="1" xfId="0" applyFont="1" applyFill="1" applyBorder="1" applyAlignment="1">
      <alignment horizontal="left" indent="1"/>
    </xf>
    <xf numFmtId="164" fontId="6" fillId="5" borderId="1" xfId="0" applyNumberFormat="1" applyFont="1" applyFill="1" applyBorder="1" applyAlignment="1">
      <alignment horizontal="right"/>
    </xf>
    <xf numFmtId="165" fontId="6" fillId="5" borderId="1" xfId="0" applyNumberFormat="1" applyFont="1" applyFill="1" applyBorder="1" applyAlignment="1">
      <alignment horizontal="right"/>
    </xf>
    <xf numFmtId="0" fontId="6" fillId="5" borderId="1" xfId="0" applyFont="1" applyFill="1" applyBorder="1" applyAlignment="1">
      <alignment horizontal="center"/>
    </xf>
    <xf numFmtId="0" fontId="0" fillId="6" borderId="1" xfId="0" applyFill="1" applyBorder="1" applyAlignment="1">
      <alignment horizontal="left" indent="1"/>
    </xf>
    <xf numFmtId="1" fontId="0" fillId="6" borderId="1" xfId="0" applyNumberFormat="1" applyFill="1" applyBorder="1" applyAlignment="1">
      <alignment horizontal="right"/>
    </xf>
    <xf numFmtId="165" fontId="0" fillId="6" borderId="1" xfId="0" applyNumberFormat="1" applyFill="1" applyBorder="1" applyAlignment="1">
      <alignment horizontal="right"/>
    </xf>
    <xf numFmtId="0" fontId="0" fillId="8" borderId="1" xfId="0" applyFill="1" applyBorder="1" applyAlignment="1">
      <alignment horizontal="left" indent="1"/>
    </xf>
    <xf numFmtId="1" fontId="0" fillId="8" borderId="1" xfId="0" applyNumberFormat="1" applyFill="1" applyBorder="1" applyAlignment="1">
      <alignment horizontal="right"/>
    </xf>
    <xf numFmtId="164" fontId="0" fillId="8" borderId="1" xfId="0" applyNumberFormat="1" applyFill="1" applyBorder="1" applyAlignment="1">
      <alignment horizontal="right"/>
    </xf>
    <xf numFmtId="165" fontId="0" fillId="8" borderId="1" xfId="0" applyNumberFormat="1" applyFill="1" applyBorder="1" applyAlignment="1">
      <alignment horizontal="right"/>
    </xf>
    <xf numFmtId="0" fontId="6" fillId="9" borderId="1" xfId="0" applyFont="1" applyFill="1" applyBorder="1" applyAlignment="1">
      <alignment horizontal="right" indent="1"/>
    </xf>
    <xf numFmtId="1" fontId="6" fillId="9" borderId="1" xfId="0" applyNumberFormat="1" applyFont="1" applyFill="1" applyBorder="1" applyAlignment="1">
      <alignment horizontal="right"/>
    </xf>
    <xf numFmtId="165" fontId="6" fillId="9" borderId="1" xfId="0" applyNumberFormat="1" applyFont="1" applyFill="1" applyBorder="1" applyAlignment="1">
      <alignment horizontal="right"/>
    </xf>
    <xf numFmtId="0" fontId="1" fillId="10" borderId="0" xfId="0" applyFont="1" applyFill="1" applyAlignment="1">
      <alignment horizontal="center" vertical="center"/>
    </xf>
    <xf numFmtId="49" fontId="0" fillId="6" borderId="1" xfId="0" applyNumberFormat="1" applyFill="1" applyBorder="1" applyAlignment="1">
      <alignment horizontal="left" indent="1"/>
    </xf>
    <xf numFmtId="166" fontId="0" fillId="6" borderId="1" xfId="0" applyNumberFormat="1" applyFill="1" applyBorder="1" applyAlignment="1">
      <alignment horizontal="right"/>
    </xf>
    <xf numFmtId="0" fontId="6" fillId="9" borderId="1" xfId="0" applyFont="1" applyFill="1" applyBorder="1" applyAlignment="1">
      <alignment horizontal="left" indent="1"/>
    </xf>
    <xf numFmtId="166" fontId="6" fillId="9" borderId="1" xfId="0" applyNumberFormat="1" applyFont="1" applyFill="1" applyBorder="1" applyAlignment="1">
      <alignment horizontal="right"/>
    </xf>
    <xf numFmtId="0" fontId="0" fillId="6" borderId="1" xfId="0" applyFill="1" applyBorder="1" applyAlignment="1">
      <alignment horizontal="left" vertical="top" wrapText="1" indent="1"/>
    </xf>
    <xf numFmtId="0" fontId="1" fillId="11" borderId="0" xfId="0" applyFont="1" applyFill="1" applyAlignment="1">
      <alignment horizontal="center" vertical="center"/>
    </xf>
    <xf numFmtId="1" fontId="6" fillId="5" borderId="1" xfId="0" applyNumberFormat="1" applyFont="1" applyFill="1" applyBorder="1" applyAlignment="1">
      <alignment horizontal="left" indent="1"/>
    </xf>
    <xf numFmtId="164" fontId="6" fillId="5" borderId="1" xfId="0" applyNumberFormat="1" applyFont="1" applyFill="1" applyBorder="1" applyAlignment="1">
      <alignment horizontal="left" indent="1"/>
    </xf>
    <xf numFmtId="0" fontId="8" fillId="0" borderId="2" xfId="0" applyFont="1" applyBorder="1" applyAlignment="1">
      <alignment horizontal="left"/>
    </xf>
    <xf numFmtId="0" fontId="0" fillId="0" borderId="0" xfId="0" applyAlignment="1">
      <alignment horizontal="right"/>
    </xf>
    <xf numFmtId="0" fontId="6" fillId="0" borderId="0" xfId="0" applyFont="1"/>
    <xf numFmtId="0" fontId="0" fillId="0" borderId="0" xfId="0" applyAlignment="1">
      <alignment vertical="top" wrapText="1"/>
    </xf>
    <xf numFmtId="166" fontId="6" fillId="0" borderId="0" xfId="0" applyNumberFormat="1" applyFont="1" applyAlignment="1">
      <alignment horizontal="right"/>
    </xf>
    <xf numFmtId="0" fontId="9" fillId="0" borderId="0" xfId="0" applyFont="1" applyAlignment="1">
      <alignment vertical="top" wrapText="1"/>
    </xf>
    <xf numFmtId="0" fontId="10" fillId="0" borderId="3" xfId="0" applyFont="1" applyBorder="1" applyAlignment="1">
      <alignment horizontal="center" wrapText="1"/>
    </xf>
    <xf numFmtId="0" fontId="1" fillId="12" borderId="0" xfId="0" applyFont="1" applyFill="1" applyAlignment="1">
      <alignment horizontal="center" vertical="center"/>
    </xf>
    <xf numFmtId="0" fontId="2" fillId="13" borderId="1" xfId="0" applyFont="1" applyFill="1" applyBorder="1" applyAlignment="1">
      <alignment horizontal="left" indent="1"/>
    </xf>
    <xf numFmtId="0" fontId="2" fillId="13" borderId="1" xfId="0" applyFont="1" applyFill="1" applyBorder="1" applyAlignment="1">
      <alignment horizontal="center"/>
    </xf>
    <xf numFmtId="0" fontId="0" fillId="14" borderId="1" xfId="0" applyFill="1" applyBorder="1" applyAlignment="1">
      <alignment horizontal="left" indent="1"/>
    </xf>
    <xf numFmtId="0" fontId="0" fillId="15" borderId="1" xfId="0" applyFill="1" applyBorder="1" applyAlignment="1">
      <alignment horizontal="left" indent="1"/>
    </xf>
    <xf numFmtId="0" fontId="1" fillId="16" borderId="0" xfId="0" applyFont="1" applyFill="1" applyAlignment="1">
      <alignment horizontal="center" vertical="center"/>
    </xf>
    <xf numFmtId="0" fontId="7" fillId="17" borderId="1" xfId="0" applyFont="1" applyFill="1" applyBorder="1" applyAlignment="1">
      <alignment horizontal="center" vertical="center" wrapText="1"/>
    </xf>
    <xf numFmtId="1" fontId="6" fillId="5" borderId="1" xfId="0" applyNumberFormat="1" applyFont="1" applyFill="1" applyBorder="1" applyAlignment="1">
      <alignment horizontal="center"/>
    </xf>
    <xf numFmtId="2" fontId="0" fillId="6" borderId="1" xfId="0" applyNumberFormat="1" applyFill="1" applyBorder="1" applyAlignment="1">
      <alignment horizontal="right"/>
    </xf>
    <xf numFmtId="0" fontId="2" fillId="18" borderId="1" xfId="0" applyFont="1" applyFill="1" applyBorder="1"/>
    <xf numFmtId="164" fontId="0" fillId="14" borderId="1" xfId="0" applyNumberFormat="1" applyFill="1" applyBorder="1"/>
    <xf numFmtId="0" fontId="0" fillId="14" borderId="1" xfId="0" applyFill="1" applyBorder="1"/>
    <xf numFmtId="164" fontId="0" fillId="4" borderId="1" xfId="0" applyNumberFormat="1" applyFill="1" applyBorder="1"/>
    <xf numFmtId="0" fontId="0" fillId="4" borderId="1" xfId="0" applyFill="1" applyBorder="1"/>
    <xf numFmtId="0" fontId="1" fillId="19" borderId="0" xfId="0" applyFont="1" applyFill="1" applyAlignment="1">
      <alignment horizontal="center" vertical="center"/>
    </xf>
    <xf numFmtId="0" fontId="5" fillId="0" borderId="0" xfId="0" applyFont="1" applyAlignment="1">
      <alignment vertical="top" wrapText="1"/>
    </xf>
    <xf numFmtId="0" fontId="0" fillId="14" borderId="1" xfId="0" applyFill="1" applyBorder="1" applyAlignment="1">
      <alignment vertical="top" wrapText="1"/>
    </xf>
    <xf numFmtId="0" fontId="11" fillId="14" borderId="1" xfId="0" applyFont="1" applyFill="1" applyBorder="1" applyAlignment="1">
      <alignment vertical="top" wrapText="1"/>
    </xf>
    <xf numFmtId="0" fontId="0" fillId="4" borderId="1" xfId="0" applyFill="1" applyBorder="1" applyAlignment="1">
      <alignment vertical="top" wrapText="1"/>
    </xf>
    <xf numFmtId="0" fontId="11"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servicios.infoleg.gob.ar/infolegInternet/anexos/25000-29999/25552/texact.htm" TargetMode="External"/><Relationship Id="rId2" Type="http://schemas.openxmlformats.org/officeDocument/2006/relationships/hyperlink" Target="https://servicios.infoleg.gob.ar/infolegInternet/verNorma.do?id=423680" TargetMode="External"/><Relationship Id="rId3" Type="http://schemas.openxmlformats.org/officeDocument/2006/relationships/hyperlink" Target="https://servicios.infoleg.gob.ar/infolegInternet/anexos/280000-284999/281835/norma.htm" TargetMode="External"/><Relationship Id="rId4" Type="http://schemas.openxmlformats.org/officeDocument/2006/relationships/hyperlink" Target="https://www.boletinoficial.gob.ar/detalleAviso/primera/330457/20250828" TargetMode="External"/><Relationship Id="rId5" Type="http://schemas.openxmlformats.org/officeDocument/2006/relationships/hyperlink" Target="https://www.boletinoficial.gob.ar/detalleAviso/primera/336753/20251226" TargetMode="External"/><Relationship Id="rId6" Type="http://schemas.openxmlformats.org/officeDocument/2006/relationships/hyperlink" Target="https://www.argentina.gob.ar/jefatura/feriados-nacionales-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7C00"/>
  </sheetPr>
  <dimension ref="A1:B21"/>
  <sheetFormatPr defaultRowHeight="15" outlineLevelRow="0" outlineLevelCol="0" x14ac:dyDescent="55"/>
  <cols>
    <col min="1" max="1" width="4" customWidth="1"/>
    <col min="2" max="2" width="108" customWidth="1"/>
  </cols>
  <sheetData>
    <row r="1" ht="28" customHeight="1" spans="1:2" x14ac:dyDescent="0.25">
      <c r="A1" s="1" t="s">
        <v>0</v>
      </c>
      <c r="B1" s="1"/>
    </row>
    <row r="3" ht="36" customHeight="1" spans="1:2" x14ac:dyDescent="0.25">
      <c r="A3" s="2" t="s">
        <v>1</v>
      </c>
      <c r="B3" s="3" t="s">
        <v>2</v>
      </c>
    </row>
    <row r="4" ht="36" customHeight="1" spans="1:2" x14ac:dyDescent="0.25">
      <c r="A4" s="2" t="s">
        <v>3</v>
      </c>
      <c r="B4" s="3" t="s">
        <v>4</v>
      </c>
    </row>
    <row r="5" ht="36" customHeight="1" spans="1:2" x14ac:dyDescent="0.25">
      <c r="A5" s="2" t="s">
        <v>5</v>
      </c>
      <c r="B5" s="3" t="s">
        <v>6</v>
      </c>
    </row>
    <row r="6" ht="36" customHeight="1" spans="1:2" x14ac:dyDescent="0.25">
      <c r="A6" s="2" t="s">
        <v>7</v>
      </c>
      <c r="B6" s="3" t="s">
        <v>8</v>
      </c>
    </row>
    <row r="7" ht="36" customHeight="1" spans="1:2" x14ac:dyDescent="0.25">
      <c r="A7" s="2" t="s">
        <v>9</v>
      </c>
      <c r="B7" s="3" t="s">
        <v>10</v>
      </c>
    </row>
    <row r="9" spans="1:2" x14ac:dyDescent="0.25">
      <c r="A9" s="4" t="s">
        <v>11</v>
      </c>
      <c r="B9" s="4"/>
    </row>
    <row r="10" ht="34" customHeight="1" spans="2:2" x14ac:dyDescent="0.25">
      <c r="B10" s="5" t="s">
        <v>12</v>
      </c>
    </row>
    <row r="11" ht="34" customHeight="1" spans="2:2" x14ac:dyDescent="0.25">
      <c r="B11" s="5" t="s">
        <v>13</v>
      </c>
    </row>
    <row r="12" ht="34" customHeight="1" spans="2:2" x14ac:dyDescent="0.25">
      <c r="B12" s="5" t="s">
        <v>14</v>
      </c>
    </row>
    <row r="13" ht="34" customHeight="1" spans="2:2" x14ac:dyDescent="0.25">
      <c r="B13" s="5" t="s">
        <v>15</v>
      </c>
    </row>
    <row r="14" ht="34" customHeight="1" spans="2:2" x14ac:dyDescent="0.25">
      <c r="B14" s="5" t="s">
        <v>16</v>
      </c>
    </row>
    <row r="15" ht="34" customHeight="1" spans="2:2" x14ac:dyDescent="0.25">
      <c r="B15" s="5" t="s">
        <v>17</v>
      </c>
    </row>
    <row r="16" ht="34" customHeight="1" spans="2:2" x14ac:dyDescent="0.25">
      <c r="B16" s="5" t="s">
        <v>18</v>
      </c>
    </row>
    <row r="17" ht="34" customHeight="1" spans="2:2" x14ac:dyDescent="0.25">
      <c r="B17" s="5" t="s">
        <v>19</v>
      </c>
    </row>
    <row r="18" ht="34" customHeight="1" spans="2:2" x14ac:dyDescent="0.25">
      <c r="B18" s="5" t="s">
        <v>20</v>
      </c>
    </row>
    <row r="20" ht="44" customHeight="1" spans="1:2" x14ac:dyDescent="0.25">
      <c r="A20" s="6" t="s">
        <v>21</v>
      </c>
      <c r="B20" s="6"/>
    </row>
    <row r="21" spans="1:2" x14ac:dyDescent="0.25">
      <c r="A21" s="6" t="s">
        <v>22</v>
      </c>
      <c r="B21" s="6"/>
    </row>
  </sheetData>
  <mergeCells count="4">
    <mergeCell ref="A1:B1"/>
    <mergeCell ref="A9:B9"/>
    <mergeCell ref="A20:B20"/>
    <mergeCell ref="A21:B2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X49"/>
  <sheetViews>
    <sheetView workbookViewId="0">
      <pane xSplit="2" ySplit="5" topLeftCell="C6" activePane="bottomRight" state="frozen"/>
      <selection pane="bottomRight"/>
    </sheetView>
  </sheetViews>
  <sheetFormatPr defaultRowHeight="15" outlineLevelRow="0" outlineLevelCol="0" x14ac:dyDescent="55"/>
  <cols>
    <col min="1" max="1" width="5" customWidth="1"/>
    <col min="2" max="2" width="26" customWidth="1"/>
    <col min="3" max="3" width="13" customWidth="1"/>
    <col min="4" max="4" width="15" customWidth="1"/>
    <col min="5" max="5" width="11" customWidth="1"/>
    <col min="6" max="6" width="13" customWidth="1"/>
    <col min="7" max="7" width="11" customWidth="1"/>
    <col min="8" max="8" width="18" customWidth="1"/>
    <col min="9" max="9" width="11" customWidth="1"/>
    <col min="10" max="10" width="22" customWidth="1"/>
    <col min="11" max="11" width="10" customWidth="1"/>
    <col min="13" max="14" width="13" customWidth="1"/>
    <col min="15" max="16" width="14" customWidth="1"/>
    <col min="17" max="17" width="16" customWidth="1"/>
    <col min="18" max="18" width="14" customWidth="1"/>
    <col min="19" max="19" width="50" customWidth="1"/>
    <col min="20" max="24" width="4" hidden="1" customWidth="1"/>
  </cols>
  <sheetData>
    <row r="1" ht="28" customHeight="1" spans="1:19" x14ac:dyDescent="0.25">
      <c r="A1" s="7" t="s">
        <v>23</v>
      </c>
      <c r="B1" s="7"/>
      <c r="C1" s="7"/>
      <c r="D1" s="7"/>
      <c r="E1" s="7"/>
      <c r="F1" s="7"/>
      <c r="G1" s="7"/>
      <c r="H1" s="7"/>
      <c r="I1" s="7"/>
      <c r="J1" s="7"/>
      <c r="K1" s="7"/>
      <c r="L1" s="7"/>
      <c r="M1" s="7"/>
      <c r="N1" s="7"/>
      <c r="O1" s="7"/>
      <c r="P1" s="7"/>
      <c r="Q1" s="7"/>
      <c r="R1" s="7"/>
      <c r="S1" s="7"/>
    </row>
    <row r="2" spans="1:19" x14ac:dyDescent="0.25">
      <c r="A2" s="8" t="s">
        <v>24</v>
      </c>
      <c r="B2" s="8"/>
      <c r="C2" s="8"/>
      <c r="D2" s="8"/>
      <c r="E2" s="8"/>
      <c r="F2" s="8"/>
      <c r="G2" s="8"/>
      <c r="H2" s="8"/>
      <c r="I2" s="8"/>
      <c r="J2" s="8"/>
      <c r="K2" s="8"/>
      <c r="L2" s="8"/>
      <c r="M2" s="8"/>
      <c r="N2" s="8"/>
      <c r="O2" s="8"/>
      <c r="P2" s="8"/>
      <c r="Q2" s="8"/>
      <c r="R2" s="8"/>
      <c r="S2" s="8"/>
    </row>
    <row r="3" spans="1:8" x14ac:dyDescent="0.25">
      <c r="A3" s="9" t="s">
        <v>25</v>
      </c>
      <c r="B3" s="10">
        <v>2026</v>
      </c>
      <c r="C3" s="9" t="s">
        <v>26</v>
      </c>
      <c r="D3" s="9"/>
      <c r="E3" s="10">
        <v>30</v>
      </c>
      <c r="F3" s="9" t="s">
        <v>27</v>
      </c>
      <c r="G3" s="9"/>
      <c r="H3" s="11">
        <f>TODAY()</f>
      </c>
    </row>
    <row r="5" ht="44" customHeight="1" spans="1:19" x14ac:dyDescent="0.25">
      <c r="A5" s="12" t="s">
        <v>28</v>
      </c>
      <c r="B5" s="12" t="s">
        <v>29</v>
      </c>
      <c r="C5" s="12" t="s">
        <v>30</v>
      </c>
      <c r="D5" s="12" t="s">
        <v>31</v>
      </c>
      <c r="E5" s="12" t="s">
        <v>32</v>
      </c>
      <c r="F5" s="12" t="s">
        <v>33</v>
      </c>
      <c r="G5" s="12" t="s">
        <v>34</v>
      </c>
      <c r="H5" s="13" t="s">
        <v>35</v>
      </c>
      <c r="I5" s="13" t="s">
        <v>36</v>
      </c>
      <c r="J5" s="13" t="s">
        <v>37</v>
      </c>
      <c r="K5" s="13" t="s">
        <v>38</v>
      </c>
      <c r="L5" s="13" t="s">
        <v>39</v>
      </c>
      <c r="M5" s="13" t="s">
        <v>40</v>
      </c>
      <c r="N5" s="13" t="s">
        <v>41</v>
      </c>
      <c r="O5" s="13" t="s">
        <v>42</v>
      </c>
      <c r="P5" s="13" t="s">
        <v>43</v>
      </c>
      <c r="Q5" s="13" t="s">
        <v>44</v>
      </c>
      <c r="R5" s="13" t="s">
        <v>45</v>
      </c>
      <c r="S5" s="13" t="s">
        <v>46</v>
      </c>
    </row>
    <row r="6" spans="1:24" x14ac:dyDescent="0.25">
      <c r="A6" s="14">
        <v>1</v>
      </c>
      <c r="B6" s="15" t="s">
        <v>47</v>
      </c>
      <c r="C6" s="16">
        <v>43535</v>
      </c>
      <c r="D6" s="17">
        <v>1450000</v>
      </c>
      <c r="E6" s="10"/>
      <c r="F6" s="16">
        <v>46370</v>
      </c>
      <c r="G6" s="18" t="s">
        <v>48</v>
      </c>
      <c r="H6" s="19">
        <f>IF(U6=1,INT((($B$3-YEAR(C6))*12+12-MONTH(C6))/12)&amp;IF(INT((($B$3-YEAR(C6))*12+12-MONTH(C6))/12)=1," año"," años")&amp;" y "&amp;MOD((($B$3-YEAR(C6))*12+12-MONTH(C6)),12)&amp;IF(MOD((($B$3-YEAR(C6))*12+12-MONTH(C6)),12)=1," mes"," meses"),"")</f>
      </c>
      <c r="I6" s="20">
        <f>IF(U6=1,IF(X6=1,INT(W6/20),V6),"")</f>
      </c>
      <c r="J6" s="19">
        <f>IF(U6=1,IF(X6=1,"Proporcional (art. 153)","Escala (art. 150)"),"")</f>
      </c>
      <c r="K6" s="20">
        <f>IF(U6=1,IF(E6="",I6,MIN(MAX(E6,0),I6)),"")</f>
      </c>
      <c r="L6" s="20">
        <f>IF(U6=1,I6-K6,"")</f>
      </c>
      <c r="M6" s="11">
        <f>IF(AND(U6=1,F6&lt;&gt;""),IF(K6&gt;0,F6+K6-1,""),"")</f>
      </c>
      <c r="N6" s="11">
        <f>IF(M6="","",M6+1)</f>
      </c>
      <c r="O6" s="11">
        <f>IF(AND(U6=1,F6&lt;&gt;""),F6-$E$3,"")</f>
      </c>
      <c r="P6" s="21">
        <f>IF(U6=1,D6/25,"")</f>
      </c>
      <c r="Q6" s="21">
        <f>IF(U6=1,P6*K6,"")</f>
      </c>
      <c r="R6" s="21">
        <f>IF(U6=1,(D6/25-D6/30)*K6,"")</f>
      </c>
      <c r="S6" s="19">
        <f>IF(OR(C6="",D6=""),"",IF(C6&gt;DATE($B$3,12,31),"Ingresa después del 31/12: no entra en este período",IF(I6=0,"Todavía no generó días de vacaciones (art. 153)",IF(F6="","Falta la fecha de inicio",IF(F6&lt;&gt;WORKDAY(F6-WEEKDAY(F6,2),1,'Feriados'!$A$5:$A$35),"Tiene que empezar un lunes (o el hábil siguiente si es feriado)",IF(AND(K6&lt;I6,OR(K6&lt;7,L6&lt;7)),"Cada tramo tiene que ser de 7 días o más",IF(OR(F6&lt;DATE($B$3,10,1),M6&gt;DATE($B$3+1,4,30)),"Fuera del 1/10 al 30/4: sólo con acuerdo por escrito",IF(G6="Sí","Notificado",IF($H$3&gt;O6,"Aviso fuera de plazo: notificá hoy o acordá otra fecha",IF(O6-$H$3&lt;=7,"Notificá ya: el plazo vence el "&amp;DAY(O6)&amp;"/"&amp;MONTH(O6)&amp;"/"&amp;YEAR(O6),"En regla: notificar hasta el "&amp;DAY(O6)&amp;"/"&amp;MONTH(O6)&amp;"/"&amp;YEAR(O6)))))))))))</f>
      </c>
      <c r="T6">
        <f>IF(OR(S6="Notificado",LEFT(S6,8)="En regla"),1,0)</f>
      </c>
      <c r="U6">
        <f>IF(OR(C6="",D6=""),0,IF(C6&gt;DATE($B$3,12,31),0,1))</f>
      </c>
      <c r="V6">
        <f>IF(U6=1,IF(C6&gt;=DATE($B$3-5,12,31),14,IF(C6&gt;=DATE($B$3-10,12,31),21,IF(C6&gt;=DATE($B$3-20,12,31),28,35))),"")</f>
      </c>
      <c r="W6">
        <f>IF(U6=1,IF(C6&gt;DATE($B$3,1,1),NETWORKDAYS(C6,DATE($B$3,12,31)),""),"")</f>
      </c>
      <c r="X6">
        <f>IF(U6=1,IF(W6="",0,IF(W6&lt;NETWORKDAYS(DATE($B$3,1,1),DATE($B$3,12,31))/2,1,0)),"")</f>
      </c>
    </row>
    <row r="7" spans="1:24" x14ac:dyDescent="0.25">
      <c r="A7" s="14">
        <v>2</v>
      </c>
      <c r="B7" s="15" t="s">
        <v>49</v>
      </c>
      <c r="C7" s="16">
        <v>41792</v>
      </c>
      <c r="D7" s="17">
        <v>1900000</v>
      </c>
      <c r="E7" s="10">
        <v>14</v>
      </c>
      <c r="F7" s="16">
        <v>46391</v>
      </c>
      <c r="G7" s="18" t="s">
        <v>48</v>
      </c>
      <c r="H7" s="22">
        <f>IF(U7=1,INT((($B$3-YEAR(C7))*12+12-MONTH(C7))/12)&amp;IF(INT((($B$3-YEAR(C7))*12+12-MONTH(C7))/12)=1," año"," años")&amp;" y "&amp;MOD((($B$3-YEAR(C7))*12+12-MONTH(C7)),12)&amp;IF(MOD((($B$3-YEAR(C7))*12+12-MONTH(C7)),12)=1," mes"," meses"),"")</f>
      </c>
      <c r="I7" s="23">
        <f>IF(U7=1,IF(X7=1,INT(W7/20),V7),"")</f>
      </c>
      <c r="J7" s="22">
        <f>IF(U7=1,IF(X7=1,"Proporcional (art. 153)","Escala (art. 150)"),"")</f>
      </c>
      <c r="K7" s="23">
        <f>IF(U7=1,IF(E7="",I7,MIN(MAX(E7,0),I7)),"")</f>
      </c>
      <c r="L7" s="23">
        <f>IF(U7=1,I7-K7,"")</f>
      </c>
      <c r="M7" s="24">
        <f>IF(AND(U7=1,F7&lt;&gt;""),IF(K7&gt;0,F7+K7-1,""),"")</f>
      </c>
      <c r="N7" s="24">
        <f>IF(M7="","",M7+1)</f>
      </c>
      <c r="O7" s="24">
        <f>IF(AND(U7=1,F7&lt;&gt;""),F7-$E$3,"")</f>
      </c>
      <c r="P7" s="25">
        <f>IF(U7=1,D7/25,"")</f>
      </c>
      <c r="Q7" s="25">
        <f>IF(U7=1,P7*K7,"")</f>
      </c>
      <c r="R7" s="25">
        <f>IF(U7=1,(D7/25-D7/30)*K7,"")</f>
      </c>
      <c r="S7" s="22">
        <f>IF(OR(C7="",D7=""),"",IF(C7&gt;DATE($B$3,12,31),"Ingresa después del 31/12: no entra en este período",IF(I7=0,"Todavía no generó días de vacaciones (art. 153)",IF(F7="","Falta la fecha de inicio",IF(F7&lt;&gt;WORKDAY(F7-WEEKDAY(F7,2),1,'Feriados'!$A$5:$A$35),"Tiene que empezar un lunes (o el hábil siguiente si es feriado)",IF(AND(K7&lt;I7,OR(K7&lt;7,L7&lt;7)),"Cada tramo tiene que ser de 7 días o más",IF(OR(F7&lt;DATE($B$3,10,1),M7&gt;DATE($B$3+1,4,30)),"Fuera del 1/10 al 30/4: sólo con acuerdo por escrito",IF(G7="Sí","Notificado",IF($H$3&gt;O7,"Aviso fuera de plazo: notificá hoy o acordá otra fecha",IF(O7-$H$3&lt;=7,"Notificá ya: el plazo vence el "&amp;DAY(O7)&amp;"/"&amp;MONTH(O7)&amp;"/"&amp;YEAR(O7),"En regla: notificar hasta el "&amp;DAY(O7)&amp;"/"&amp;MONTH(O7)&amp;"/"&amp;YEAR(O7)))))))))))</f>
      </c>
      <c r="T7">
        <f>IF(OR(S7="Notificado",LEFT(S7,8)="En regla"),1,0)</f>
      </c>
      <c r="U7">
        <f>IF(OR(C7="",D7=""),0,IF(C7&gt;DATE($B$3,12,31),0,1))</f>
      </c>
      <c r="V7">
        <f>IF(U7=1,IF(C7&gt;=DATE($B$3-5,12,31),14,IF(C7&gt;=DATE($B$3-10,12,31),21,IF(C7&gt;=DATE($B$3-20,12,31),28,35))),"")</f>
      </c>
      <c r="W7">
        <f>IF(U7=1,IF(C7&gt;DATE($B$3,1,1),NETWORKDAYS(C7,DATE($B$3,12,31)),""),"")</f>
      </c>
      <c r="X7">
        <f>IF(U7=1,IF(W7="",0,IF(W7&lt;NETWORKDAYS(DATE($B$3,1,1),DATE($B$3,12,31))/2,1,0)),"")</f>
      </c>
    </row>
    <row r="8" spans="1:24" x14ac:dyDescent="0.25">
      <c r="A8" s="14">
        <v>3</v>
      </c>
      <c r="B8" s="15" t="s">
        <v>50</v>
      </c>
      <c r="C8" s="16">
        <v>46237</v>
      </c>
      <c r="D8" s="17">
        <v>1200000</v>
      </c>
      <c r="E8" s="10"/>
      <c r="F8" s="16">
        <v>46428</v>
      </c>
      <c r="G8" s="18" t="s">
        <v>48</v>
      </c>
      <c r="H8" s="19">
        <f>IF(U8=1,INT((($B$3-YEAR(C8))*12+12-MONTH(C8))/12)&amp;IF(INT((($B$3-YEAR(C8))*12+12-MONTH(C8))/12)=1," año"," años")&amp;" y "&amp;MOD((($B$3-YEAR(C8))*12+12-MONTH(C8)),12)&amp;IF(MOD((($B$3-YEAR(C8))*12+12-MONTH(C8)),12)=1," mes"," meses"),"")</f>
      </c>
      <c r="I8" s="20">
        <f>IF(U8=1,IF(X8=1,INT(W8/20),V8),"")</f>
      </c>
      <c r="J8" s="19">
        <f>IF(U8=1,IF(X8=1,"Proporcional (art. 153)","Escala (art. 150)"),"")</f>
      </c>
      <c r="K8" s="20">
        <f>IF(U8=1,IF(E8="",I8,MIN(MAX(E8,0),I8)),"")</f>
      </c>
      <c r="L8" s="20">
        <f>IF(U8=1,I8-K8,"")</f>
      </c>
      <c r="M8" s="11">
        <f>IF(AND(U8=1,F8&lt;&gt;""),IF(K8&gt;0,F8+K8-1,""),"")</f>
      </c>
      <c r="N8" s="11">
        <f>IF(M8="","",M8+1)</f>
      </c>
      <c r="O8" s="11">
        <f>IF(AND(U8=1,F8&lt;&gt;""),F8-$E$3,"")</f>
      </c>
      <c r="P8" s="21">
        <f>IF(U8=1,D8/25,"")</f>
      </c>
      <c r="Q8" s="21">
        <f>IF(U8=1,P8*K8,"")</f>
      </c>
      <c r="R8" s="21">
        <f>IF(U8=1,(D8/25-D8/30)*K8,"")</f>
      </c>
      <c r="S8" s="19">
        <f>IF(OR(C8="",D8=""),"",IF(C8&gt;DATE($B$3,12,31),"Ingresa después del 31/12: no entra en este período",IF(I8=0,"Todavía no generó días de vacaciones (art. 153)",IF(F8="","Falta la fecha de inicio",IF(F8&lt;&gt;WORKDAY(F8-WEEKDAY(F8,2),1,'Feriados'!$A$5:$A$35),"Tiene que empezar un lunes (o el hábil siguiente si es feriado)",IF(AND(K8&lt;I8,OR(K8&lt;7,L8&lt;7)),"Cada tramo tiene que ser de 7 días o más",IF(OR(F8&lt;DATE($B$3,10,1),M8&gt;DATE($B$3+1,4,30)),"Fuera del 1/10 al 30/4: sólo con acuerdo por escrito",IF(G8="Sí","Notificado",IF($H$3&gt;O8,"Aviso fuera de plazo: notificá hoy o acordá otra fecha",IF(O8-$H$3&lt;=7,"Notificá ya: el plazo vence el "&amp;DAY(O8)&amp;"/"&amp;MONTH(O8)&amp;"/"&amp;YEAR(O8),"En regla: notificar hasta el "&amp;DAY(O8)&amp;"/"&amp;MONTH(O8)&amp;"/"&amp;YEAR(O8)))))))))))</f>
      </c>
      <c r="T8">
        <f>IF(OR(S8="Notificado",LEFT(S8,8)="En regla"),1,0)</f>
      </c>
      <c r="U8">
        <f>IF(OR(C8="",D8=""),0,IF(C8&gt;DATE($B$3,12,31),0,1))</f>
      </c>
      <c r="V8">
        <f>IF(U8=1,IF(C8&gt;=DATE($B$3-5,12,31),14,IF(C8&gt;=DATE($B$3-10,12,31),21,IF(C8&gt;=DATE($B$3-20,12,31),28,35))),"")</f>
      </c>
      <c r="W8">
        <f>IF(U8=1,IF(C8&gt;DATE($B$3,1,1),NETWORKDAYS(C8,DATE($B$3,12,31)),""),"")</f>
      </c>
      <c r="X8">
        <f>IF(U8=1,IF(W8="",0,IF(W8&lt;NETWORKDAYS(DATE($B$3,1,1),DATE($B$3,12,31))/2,1,0)),"")</f>
      </c>
    </row>
    <row r="9" spans="1:24" x14ac:dyDescent="0.25">
      <c r="A9" s="14">
        <v>4</v>
      </c>
      <c r="B9" s="15"/>
      <c r="C9" s="16"/>
      <c r="D9" s="17"/>
      <c r="E9" s="10"/>
      <c r="F9" s="16"/>
      <c r="G9" s="18" t="s">
        <v>48</v>
      </c>
      <c r="H9" s="22">
        <f>IF(U9=1,INT((($B$3-YEAR(C9))*12+12-MONTH(C9))/12)&amp;IF(INT((($B$3-YEAR(C9))*12+12-MONTH(C9))/12)=1," año"," años")&amp;" y "&amp;MOD((($B$3-YEAR(C9))*12+12-MONTH(C9)),12)&amp;IF(MOD((($B$3-YEAR(C9))*12+12-MONTH(C9)),12)=1," mes"," meses"),"")</f>
      </c>
      <c r="I9" s="23">
        <f>IF(U9=1,IF(X9=1,INT(W9/20),V9),"")</f>
      </c>
      <c r="J9" s="22">
        <f>IF(U9=1,IF(X9=1,"Proporcional (art. 153)","Escala (art. 150)"),"")</f>
      </c>
      <c r="K9" s="23">
        <f>IF(U9=1,IF(E9="",I9,MIN(MAX(E9,0),I9)),"")</f>
      </c>
      <c r="L9" s="23">
        <f>IF(U9=1,I9-K9,"")</f>
      </c>
      <c r="M9" s="24">
        <f>IF(AND(U9=1,F9&lt;&gt;""),IF(K9&gt;0,F9+K9-1,""),"")</f>
      </c>
      <c r="N9" s="24">
        <f>IF(M9="","",M9+1)</f>
      </c>
      <c r="O9" s="24">
        <f>IF(AND(U9=1,F9&lt;&gt;""),F9-$E$3,"")</f>
      </c>
      <c r="P9" s="25">
        <f>IF(U9=1,D9/25,"")</f>
      </c>
      <c r="Q9" s="25">
        <f>IF(U9=1,P9*K9,"")</f>
      </c>
      <c r="R9" s="25">
        <f>IF(U9=1,(D9/25-D9/30)*K9,"")</f>
      </c>
      <c r="S9" s="22">
        <f>IF(OR(C9="",D9=""),"",IF(C9&gt;DATE($B$3,12,31),"Ingresa después del 31/12: no entra en este período",IF(I9=0,"Todavía no generó días de vacaciones (art. 153)",IF(F9="","Falta la fecha de inicio",IF(F9&lt;&gt;WORKDAY(F9-WEEKDAY(F9,2),1,'Feriados'!$A$5:$A$35),"Tiene que empezar un lunes (o el hábil siguiente si es feriado)",IF(AND(K9&lt;I9,OR(K9&lt;7,L9&lt;7)),"Cada tramo tiene que ser de 7 días o más",IF(OR(F9&lt;DATE($B$3,10,1),M9&gt;DATE($B$3+1,4,30)),"Fuera del 1/10 al 30/4: sólo con acuerdo por escrito",IF(G9="Sí","Notificado",IF($H$3&gt;O9,"Aviso fuera de plazo: notificá hoy o acordá otra fecha",IF(O9-$H$3&lt;=7,"Notificá ya: el plazo vence el "&amp;DAY(O9)&amp;"/"&amp;MONTH(O9)&amp;"/"&amp;YEAR(O9),"En regla: notificar hasta el "&amp;DAY(O9)&amp;"/"&amp;MONTH(O9)&amp;"/"&amp;YEAR(O9)))))))))))</f>
      </c>
      <c r="T9">
        <f>IF(OR(S9="Notificado",LEFT(S9,8)="En regla"),1,0)</f>
      </c>
      <c r="U9">
        <f>IF(OR(C9="",D9=""),0,IF(C9&gt;DATE($B$3,12,31),0,1))</f>
      </c>
      <c r="V9">
        <f>IF(U9=1,IF(C9&gt;=DATE($B$3-5,12,31),14,IF(C9&gt;=DATE($B$3-10,12,31),21,IF(C9&gt;=DATE($B$3-20,12,31),28,35))),"")</f>
      </c>
      <c r="W9">
        <f>IF(U9=1,IF(C9&gt;DATE($B$3,1,1),NETWORKDAYS(C9,DATE($B$3,12,31)),""),"")</f>
      </c>
      <c r="X9">
        <f>IF(U9=1,IF(W9="",0,IF(W9&lt;NETWORKDAYS(DATE($B$3,1,1),DATE($B$3,12,31))/2,1,0)),"")</f>
      </c>
    </row>
    <row r="10" spans="1:24" x14ac:dyDescent="0.25">
      <c r="A10" s="14">
        <v>5</v>
      </c>
      <c r="B10" s="15"/>
      <c r="C10" s="16"/>
      <c r="D10" s="17"/>
      <c r="E10" s="10"/>
      <c r="F10" s="16"/>
      <c r="G10" s="18" t="s">
        <v>48</v>
      </c>
      <c r="H10" s="19">
        <f>IF(U10=1,INT((($B$3-YEAR(C10))*12+12-MONTH(C10))/12)&amp;IF(INT((($B$3-YEAR(C10))*12+12-MONTH(C10))/12)=1," año"," años")&amp;" y "&amp;MOD((($B$3-YEAR(C10))*12+12-MONTH(C10)),12)&amp;IF(MOD((($B$3-YEAR(C10))*12+12-MONTH(C10)),12)=1," mes"," meses"),"")</f>
      </c>
      <c r="I10" s="20">
        <f>IF(U10=1,IF(X10=1,INT(W10/20),V10),"")</f>
      </c>
      <c r="J10" s="19">
        <f>IF(U10=1,IF(X10=1,"Proporcional (art. 153)","Escala (art. 150)"),"")</f>
      </c>
      <c r="K10" s="20">
        <f>IF(U10=1,IF(E10="",I10,MIN(MAX(E10,0),I10)),"")</f>
      </c>
      <c r="L10" s="20">
        <f>IF(U10=1,I10-K10,"")</f>
      </c>
      <c r="M10" s="11">
        <f>IF(AND(U10=1,F10&lt;&gt;""),IF(K10&gt;0,F10+K10-1,""),"")</f>
      </c>
      <c r="N10" s="11">
        <f>IF(M10="","",M10+1)</f>
      </c>
      <c r="O10" s="11">
        <f>IF(AND(U10=1,F10&lt;&gt;""),F10-$E$3,"")</f>
      </c>
      <c r="P10" s="21">
        <f>IF(U10=1,D10/25,"")</f>
      </c>
      <c r="Q10" s="21">
        <f>IF(U10=1,P10*K10,"")</f>
      </c>
      <c r="R10" s="21">
        <f>IF(U10=1,(D10/25-D10/30)*K10,"")</f>
      </c>
      <c r="S10" s="19">
        <f>IF(OR(C10="",D10=""),"",IF(C10&gt;DATE($B$3,12,31),"Ingresa después del 31/12: no entra en este período",IF(I10=0,"Todavía no generó días de vacaciones (art. 153)",IF(F10="","Falta la fecha de inicio",IF(F10&lt;&gt;WORKDAY(F10-WEEKDAY(F10,2),1,'Feriados'!$A$5:$A$35),"Tiene que empezar un lunes (o el hábil siguiente si es feriado)",IF(AND(K10&lt;I10,OR(K10&lt;7,L10&lt;7)),"Cada tramo tiene que ser de 7 días o más",IF(OR(F10&lt;DATE($B$3,10,1),M10&gt;DATE($B$3+1,4,30)),"Fuera del 1/10 al 30/4: sólo con acuerdo por escrito",IF(G10="Sí","Notificado",IF($H$3&gt;O10,"Aviso fuera de plazo: notificá hoy o acordá otra fecha",IF(O10-$H$3&lt;=7,"Notificá ya: el plazo vence el "&amp;DAY(O10)&amp;"/"&amp;MONTH(O10)&amp;"/"&amp;YEAR(O10),"En regla: notificar hasta el "&amp;DAY(O10)&amp;"/"&amp;MONTH(O10)&amp;"/"&amp;YEAR(O10)))))))))))</f>
      </c>
      <c r="T10">
        <f>IF(OR(S10="Notificado",LEFT(S10,8)="En regla"),1,0)</f>
      </c>
      <c r="U10">
        <f>IF(OR(C10="",D10=""),0,IF(C10&gt;DATE($B$3,12,31),0,1))</f>
      </c>
      <c r="V10">
        <f>IF(U10=1,IF(C10&gt;=DATE($B$3-5,12,31),14,IF(C10&gt;=DATE($B$3-10,12,31),21,IF(C10&gt;=DATE($B$3-20,12,31),28,35))),"")</f>
      </c>
      <c r="W10">
        <f>IF(U10=1,IF(C10&gt;DATE($B$3,1,1),NETWORKDAYS(C10,DATE($B$3,12,31)),""),"")</f>
      </c>
      <c r="X10">
        <f>IF(U10=1,IF(W10="",0,IF(W10&lt;NETWORKDAYS(DATE($B$3,1,1),DATE($B$3,12,31))/2,1,0)),"")</f>
      </c>
    </row>
    <row r="11" spans="1:24" x14ac:dyDescent="0.25">
      <c r="A11" s="14">
        <v>6</v>
      </c>
      <c r="B11" s="15"/>
      <c r="C11" s="16"/>
      <c r="D11" s="17"/>
      <c r="E11" s="10"/>
      <c r="F11" s="16"/>
      <c r="G11" s="18" t="s">
        <v>48</v>
      </c>
      <c r="H11" s="22">
        <f>IF(U11=1,INT((($B$3-YEAR(C11))*12+12-MONTH(C11))/12)&amp;IF(INT((($B$3-YEAR(C11))*12+12-MONTH(C11))/12)=1," año"," años")&amp;" y "&amp;MOD((($B$3-YEAR(C11))*12+12-MONTH(C11)),12)&amp;IF(MOD((($B$3-YEAR(C11))*12+12-MONTH(C11)),12)=1," mes"," meses"),"")</f>
      </c>
      <c r="I11" s="23">
        <f>IF(U11=1,IF(X11=1,INT(W11/20),V11),"")</f>
      </c>
      <c r="J11" s="22">
        <f>IF(U11=1,IF(X11=1,"Proporcional (art. 153)","Escala (art. 150)"),"")</f>
      </c>
      <c r="K11" s="23">
        <f>IF(U11=1,IF(E11="",I11,MIN(MAX(E11,0),I11)),"")</f>
      </c>
      <c r="L11" s="23">
        <f>IF(U11=1,I11-K11,"")</f>
      </c>
      <c r="M11" s="24">
        <f>IF(AND(U11=1,F11&lt;&gt;""),IF(K11&gt;0,F11+K11-1,""),"")</f>
      </c>
      <c r="N11" s="24">
        <f>IF(M11="","",M11+1)</f>
      </c>
      <c r="O11" s="24">
        <f>IF(AND(U11=1,F11&lt;&gt;""),F11-$E$3,"")</f>
      </c>
      <c r="P11" s="25">
        <f>IF(U11=1,D11/25,"")</f>
      </c>
      <c r="Q11" s="25">
        <f>IF(U11=1,P11*K11,"")</f>
      </c>
      <c r="R11" s="25">
        <f>IF(U11=1,(D11/25-D11/30)*K11,"")</f>
      </c>
      <c r="S11" s="22">
        <f>IF(OR(C11="",D11=""),"",IF(C11&gt;DATE($B$3,12,31),"Ingresa después del 31/12: no entra en este período",IF(I11=0,"Todavía no generó días de vacaciones (art. 153)",IF(F11="","Falta la fecha de inicio",IF(F11&lt;&gt;WORKDAY(F11-WEEKDAY(F11,2),1,'Feriados'!$A$5:$A$35),"Tiene que empezar un lunes (o el hábil siguiente si es feriado)",IF(AND(K11&lt;I11,OR(K11&lt;7,L11&lt;7)),"Cada tramo tiene que ser de 7 días o más",IF(OR(F11&lt;DATE($B$3,10,1),M11&gt;DATE($B$3+1,4,30)),"Fuera del 1/10 al 30/4: sólo con acuerdo por escrito",IF(G11="Sí","Notificado",IF($H$3&gt;O11,"Aviso fuera de plazo: notificá hoy o acordá otra fecha",IF(O11-$H$3&lt;=7,"Notificá ya: el plazo vence el "&amp;DAY(O11)&amp;"/"&amp;MONTH(O11)&amp;"/"&amp;YEAR(O11),"En regla: notificar hasta el "&amp;DAY(O11)&amp;"/"&amp;MONTH(O11)&amp;"/"&amp;YEAR(O11)))))))))))</f>
      </c>
      <c r="T11">
        <f>IF(OR(S11="Notificado",LEFT(S11,8)="En regla"),1,0)</f>
      </c>
      <c r="U11">
        <f>IF(OR(C11="",D11=""),0,IF(C11&gt;DATE($B$3,12,31),0,1))</f>
      </c>
      <c r="V11">
        <f>IF(U11=1,IF(C11&gt;=DATE($B$3-5,12,31),14,IF(C11&gt;=DATE($B$3-10,12,31),21,IF(C11&gt;=DATE($B$3-20,12,31),28,35))),"")</f>
      </c>
      <c r="W11">
        <f>IF(U11=1,IF(C11&gt;DATE($B$3,1,1),NETWORKDAYS(C11,DATE($B$3,12,31)),""),"")</f>
      </c>
      <c r="X11">
        <f>IF(U11=1,IF(W11="",0,IF(W11&lt;NETWORKDAYS(DATE($B$3,1,1),DATE($B$3,12,31))/2,1,0)),"")</f>
      </c>
    </row>
    <row r="12" spans="1:24" x14ac:dyDescent="0.25">
      <c r="A12" s="14">
        <v>7</v>
      </c>
      <c r="B12" s="15"/>
      <c r="C12" s="16"/>
      <c r="D12" s="17"/>
      <c r="E12" s="10"/>
      <c r="F12" s="16"/>
      <c r="G12" s="18" t="s">
        <v>48</v>
      </c>
      <c r="H12" s="19">
        <f>IF(U12=1,INT((($B$3-YEAR(C12))*12+12-MONTH(C12))/12)&amp;IF(INT((($B$3-YEAR(C12))*12+12-MONTH(C12))/12)=1," año"," años")&amp;" y "&amp;MOD((($B$3-YEAR(C12))*12+12-MONTH(C12)),12)&amp;IF(MOD((($B$3-YEAR(C12))*12+12-MONTH(C12)),12)=1," mes"," meses"),"")</f>
      </c>
      <c r="I12" s="20">
        <f>IF(U12=1,IF(X12=1,INT(W12/20),V12),"")</f>
      </c>
      <c r="J12" s="19">
        <f>IF(U12=1,IF(X12=1,"Proporcional (art. 153)","Escala (art. 150)"),"")</f>
      </c>
      <c r="K12" s="20">
        <f>IF(U12=1,IF(E12="",I12,MIN(MAX(E12,0),I12)),"")</f>
      </c>
      <c r="L12" s="20">
        <f>IF(U12=1,I12-K12,"")</f>
      </c>
      <c r="M12" s="11">
        <f>IF(AND(U12=1,F12&lt;&gt;""),IF(K12&gt;0,F12+K12-1,""),"")</f>
      </c>
      <c r="N12" s="11">
        <f>IF(M12="","",M12+1)</f>
      </c>
      <c r="O12" s="11">
        <f>IF(AND(U12=1,F12&lt;&gt;""),F12-$E$3,"")</f>
      </c>
      <c r="P12" s="21">
        <f>IF(U12=1,D12/25,"")</f>
      </c>
      <c r="Q12" s="21">
        <f>IF(U12=1,P12*K12,"")</f>
      </c>
      <c r="R12" s="21">
        <f>IF(U12=1,(D12/25-D12/30)*K12,"")</f>
      </c>
      <c r="S12" s="19">
        <f>IF(OR(C12="",D12=""),"",IF(C12&gt;DATE($B$3,12,31),"Ingresa después del 31/12: no entra en este período",IF(I12=0,"Todavía no generó días de vacaciones (art. 153)",IF(F12="","Falta la fecha de inicio",IF(F12&lt;&gt;WORKDAY(F12-WEEKDAY(F12,2),1,'Feriados'!$A$5:$A$35),"Tiene que empezar un lunes (o el hábil siguiente si es feriado)",IF(AND(K12&lt;I12,OR(K12&lt;7,L12&lt;7)),"Cada tramo tiene que ser de 7 días o más",IF(OR(F12&lt;DATE($B$3,10,1),M12&gt;DATE($B$3+1,4,30)),"Fuera del 1/10 al 30/4: sólo con acuerdo por escrito",IF(G12="Sí","Notificado",IF($H$3&gt;O12,"Aviso fuera de plazo: notificá hoy o acordá otra fecha",IF(O12-$H$3&lt;=7,"Notificá ya: el plazo vence el "&amp;DAY(O12)&amp;"/"&amp;MONTH(O12)&amp;"/"&amp;YEAR(O12),"En regla: notificar hasta el "&amp;DAY(O12)&amp;"/"&amp;MONTH(O12)&amp;"/"&amp;YEAR(O12)))))))))))</f>
      </c>
      <c r="T12">
        <f>IF(OR(S12="Notificado",LEFT(S12,8)="En regla"),1,0)</f>
      </c>
      <c r="U12">
        <f>IF(OR(C12="",D12=""),0,IF(C12&gt;DATE($B$3,12,31),0,1))</f>
      </c>
      <c r="V12">
        <f>IF(U12=1,IF(C12&gt;=DATE($B$3-5,12,31),14,IF(C12&gt;=DATE($B$3-10,12,31),21,IF(C12&gt;=DATE($B$3-20,12,31),28,35))),"")</f>
      </c>
      <c r="W12">
        <f>IF(U12=1,IF(C12&gt;DATE($B$3,1,1),NETWORKDAYS(C12,DATE($B$3,12,31)),""),"")</f>
      </c>
      <c r="X12">
        <f>IF(U12=1,IF(W12="",0,IF(W12&lt;NETWORKDAYS(DATE($B$3,1,1),DATE($B$3,12,31))/2,1,0)),"")</f>
      </c>
    </row>
    <row r="13" spans="1:24" x14ac:dyDescent="0.25">
      <c r="A13" s="14">
        <v>8</v>
      </c>
      <c r="B13" s="15"/>
      <c r="C13" s="16"/>
      <c r="D13" s="17"/>
      <c r="E13" s="10"/>
      <c r="F13" s="16"/>
      <c r="G13" s="18" t="s">
        <v>48</v>
      </c>
      <c r="H13" s="22">
        <f>IF(U13=1,INT((($B$3-YEAR(C13))*12+12-MONTH(C13))/12)&amp;IF(INT((($B$3-YEAR(C13))*12+12-MONTH(C13))/12)=1," año"," años")&amp;" y "&amp;MOD((($B$3-YEAR(C13))*12+12-MONTH(C13)),12)&amp;IF(MOD((($B$3-YEAR(C13))*12+12-MONTH(C13)),12)=1," mes"," meses"),"")</f>
      </c>
      <c r="I13" s="23">
        <f>IF(U13=1,IF(X13=1,INT(W13/20),V13),"")</f>
      </c>
      <c r="J13" s="22">
        <f>IF(U13=1,IF(X13=1,"Proporcional (art. 153)","Escala (art. 150)"),"")</f>
      </c>
      <c r="K13" s="23">
        <f>IF(U13=1,IF(E13="",I13,MIN(MAX(E13,0),I13)),"")</f>
      </c>
      <c r="L13" s="23">
        <f>IF(U13=1,I13-K13,"")</f>
      </c>
      <c r="M13" s="24">
        <f>IF(AND(U13=1,F13&lt;&gt;""),IF(K13&gt;0,F13+K13-1,""),"")</f>
      </c>
      <c r="N13" s="24">
        <f>IF(M13="","",M13+1)</f>
      </c>
      <c r="O13" s="24">
        <f>IF(AND(U13=1,F13&lt;&gt;""),F13-$E$3,"")</f>
      </c>
      <c r="P13" s="25">
        <f>IF(U13=1,D13/25,"")</f>
      </c>
      <c r="Q13" s="25">
        <f>IF(U13=1,P13*K13,"")</f>
      </c>
      <c r="R13" s="25">
        <f>IF(U13=1,(D13/25-D13/30)*K13,"")</f>
      </c>
      <c r="S13" s="22">
        <f>IF(OR(C13="",D13=""),"",IF(C13&gt;DATE($B$3,12,31),"Ingresa después del 31/12: no entra en este período",IF(I13=0,"Todavía no generó días de vacaciones (art. 153)",IF(F13="","Falta la fecha de inicio",IF(F13&lt;&gt;WORKDAY(F13-WEEKDAY(F13,2),1,'Feriados'!$A$5:$A$35),"Tiene que empezar un lunes (o el hábil siguiente si es feriado)",IF(AND(K13&lt;I13,OR(K13&lt;7,L13&lt;7)),"Cada tramo tiene que ser de 7 días o más",IF(OR(F13&lt;DATE($B$3,10,1),M13&gt;DATE($B$3+1,4,30)),"Fuera del 1/10 al 30/4: sólo con acuerdo por escrito",IF(G13="Sí","Notificado",IF($H$3&gt;O13,"Aviso fuera de plazo: notificá hoy o acordá otra fecha",IF(O13-$H$3&lt;=7,"Notificá ya: el plazo vence el "&amp;DAY(O13)&amp;"/"&amp;MONTH(O13)&amp;"/"&amp;YEAR(O13),"En regla: notificar hasta el "&amp;DAY(O13)&amp;"/"&amp;MONTH(O13)&amp;"/"&amp;YEAR(O13)))))))))))</f>
      </c>
      <c r="T13">
        <f>IF(OR(S13="Notificado",LEFT(S13,8)="En regla"),1,0)</f>
      </c>
      <c r="U13">
        <f>IF(OR(C13="",D13=""),0,IF(C13&gt;DATE($B$3,12,31),0,1))</f>
      </c>
      <c r="V13">
        <f>IF(U13=1,IF(C13&gt;=DATE($B$3-5,12,31),14,IF(C13&gt;=DATE($B$3-10,12,31),21,IF(C13&gt;=DATE($B$3-20,12,31),28,35))),"")</f>
      </c>
      <c r="W13">
        <f>IF(U13=1,IF(C13&gt;DATE($B$3,1,1),NETWORKDAYS(C13,DATE($B$3,12,31)),""),"")</f>
      </c>
      <c r="X13">
        <f>IF(U13=1,IF(W13="",0,IF(W13&lt;NETWORKDAYS(DATE($B$3,1,1),DATE($B$3,12,31))/2,1,0)),"")</f>
      </c>
    </row>
    <row r="14" spans="1:24" x14ac:dyDescent="0.25">
      <c r="A14" s="14">
        <v>9</v>
      </c>
      <c r="B14" s="15"/>
      <c r="C14" s="16"/>
      <c r="D14" s="17"/>
      <c r="E14" s="10"/>
      <c r="F14" s="16"/>
      <c r="G14" s="18" t="s">
        <v>48</v>
      </c>
      <c r="H14" s="19">
        <f>IF(U14=1,INT((($B$3-YEAR(C14))*12+12-MONTH(C14))/12)&amp;IF(INT((($B$3-YEAR(C14))*12+12-MONTH(C14))/12)=1," año"," años")&amp;" y "&amp;MOD((($B$3-YEAR(C14))*12+12-MONTH(C14)),12)&amp;IF(MOD((($B$3-YEAR(C14))*12+12-MONTH(C14)),12)=1," mes"," meses"),"")</f>
      </c>
      <c r="I14" s="20">
        <f>IF(U14=1,IF(X14=1,INT(W14/20),V14),"")</f>
      </c>
      <c r="J14" s="19">
        <f>IF(U14=1,IF(X14=1,"Proporcional (art. 153)","Escala (art. 150)"),"")</f>
      </c>
      <c r="K14" s="20">
        <f>IF(U14=1,IF(E14="",I14,MIN(MAX(E14,0),I14)),"")</f>
      </c>
      <c r="L14" s="20">
        <f>IF(U14=1,I14-K14,"")</f>
      </c>
      <c r="M14" s="11">
        <f>IF(AND(U14=1,F14&lt;&gt;""),IF(K14&gt;0,F14+K14-1,""),"")</f>
      </c>
      <c r="N14" s="11">
        <f>IF(M14="","",M14+1)</f>
      </c>
      <c r="O14" s="11">
        <f>IF(AND(U14=1,F14&lt;&gt;""),F14-$E$3,"")</f>
      </c>
      <c r="P14" s="21">
        <f>IF(U14=1,D14/25,"")</f>
      </c>
      <c r="Q14" s="21">
        <f>IF(U14=1,P14*K14,"")</f>
      </c>
      <c r="R14" s="21">
        <f>IF(U14=1,(D14/25-D14/30)*K14,"")</f>
      </c>
      <c r="S14" s="19">
        <f>IF(OR(C14="",D14=""),"",IF(C14&gt;DATE($B$3,12,31),"Ingresa después del 31/12: no entra en este período",IF(I14=0,"Todavía no generó días de vacaciones (art. 153)",IF(F14="","Falta la fecha de inicio",IF(F14&lt;&gt;WORKDAY(F14-WEEKDAY(F14,2),1,'Feriados'!$A$5:$A$35),"Tiene que empezar un lunes (o el hábil siguiente si es feriado)",IF(AND(K14&lt;I14,OR(K14&lt;7,L14&lt;7)),"Cada tramo tiene que ser de 7 días o más",IF(OR(F14&lt;DATE($B$3,10,1),M14&gt;DATE($B$3+1,4,30)),"Fuera del 1/10 al 30/4: sólo con acuerdo por escrito",IF(G14="Sí","Notificado",IF($H$3&gt;O14,"Aviso fuera de plazo: notificá hoy o acordá otra fecha",IF(O14-$H$3&lt;=7,"Notificá ya: el plazo vence el "&amp;DAY(O14)&amp;"/"&amp;MONTH(O14)&amp;"/"&amp;YEAR(O14),"En regla: notificar hasta el "&amp;DAY(O14)&amp;"/"&amp;MONTH(O14)&amp;"/"&amp;YEAR(O14)))))))))))</f>
      </c>
      <c r="T14">
        <f>IF(OR(S14="Notificado",LEFT(S14,8)="En regla"),1,0)</f>
      </c>
      <c r="U14">
        <f>IF(OR(C14="",D14=""),0,IF(C14&gt;DATE($B$3,12,31),0,1))</f>
      </c>
      <c r="V14">
        <f>IF(U14=1,IF(C14&gt;=DATE($B$3-5,12,31),14,IF(C14&gt;=DATE($B$3-10,12,31),21,IF(C14&gt;=DATE($B$3-20,12,31),28,35))),"")</f>
      </c>
      <c r="W14">
        <f>IF(U14=1,IF(C14&gt;DATE($B$3,1,1),NETWORKDAYS(C14,DATE($B$3,12,31)),""),"")</f>
      </c>
      <c r="X14">
        <f>IF(U14=1,IF(W14="",0,IF(W14&lt;NETWORKDAYS(DATE($B$3,1,1),DATE($B$3,12,31))/2,1,0)),"")</f>
      </c>
    </row>
    <row r="15" spans="1:24" x14ac:dyDescent="0.25">
      <c r="A15" s="14">
        <v>10</v>
      </c>
      <c r="B15" s="15"/>
      <c r="C15" s="16"/>
      <c r="D15" s="17"/>
      <c r="E15" s="10"/>
      <c r="F15" s="16"/>
      <c r="G15" s="18" t="s">
        <v>48</v>
      </c>
      <c r="H15" s="22">
        <f>IF(U15=1,INT((($B$3-YEAR(C15))*12+12-MONTH(C15))/12)&amp;IF(INT((($B$3-YEAR(C15))*12+12-MONTH(C15))/12)=1," año"," años")&amp;" y "&amp;MOD((($B$3-YEAR(C15))*12+12-MONTH(C15)),12)&amp;IF(MOD((($B$3-YEAR(C15))*12+12-MONTH(C15)),12)=1," mes"," meses"),"")</f>
      </c>
      <c r="I15" s="23">
        <f>IF(U15=1,IF(X15=1,INT(W15/20),V15),"")</f>
      </c>
      <c r="J15" s="22">
        <f>IF(U15=1,IF(X15=1,"Proporcional (art. 153)","Escala (art. 150)"),"")</f>
      </c>
      <c r="K15" s="23">
        <f>IF(U15=1,IF(E15="",I15,MIN(MAX(E15,0),I15)),"")</f>
      </c>
      <c r="L15" s="23">
        <f>IF(U15=1,I15-K15,"")</f>
      </c>
      <c r="M15" s="24">
        <f>IF(AND(U15=1,F15&lt;&gt;""),IF(K15&gt;0,F15+K15-1,""),"")</f>
      </c>
      <c r="N15" s="24">
        <f>IF(M15="","",M15+1)</f>
      </c>
      <c r="O15" s="24">
        <f>IF(AND(U15=1,F15&lt;&gt;""),F15-$E$3,"")</f>
      </c>
      <c r="P15" s="25">
        <f>IF(U15=1,D15/25,"")</f>
      </c>
      <c r="Q15" s="25">
        <f>IF(U15=1,P15*K15,"")</f>
      </c>
      <c r="R15" s="25">
        <f>IF(U15=1,(D15/25-D15/30)*K15,"")</f>
      </c>
      <c r="S15" s="22">
        <f>IF(OR(C15="",D15=""),"",IF(C15&gt;DATE($B$3,12,31),"Ingresa después del 31/12: no entra en este período",IF(I15=0,"Todavía no generó días de vacaciones (art. 153)",IF(F15="","Falta la fecha de inicio",IF(F15&lt;&gt;WORKDAY(F15-WEEKDAY(F15,2),1,'Feriados'!$A$5:$A$35),"Tiene que empezar un lunes (o el hábil siguiente si es feriado)",IF(AND(K15&lt;I15,OR(K15&lt;7,L15&lt;7)),"Cada tramo tiene que ser de 7 días o más",IF(OR(F15&lt;DATE($B$3,10,1),M15&gt;DATE($B$3+1,4,30)),"Fuera del 1/10 al 30/4: sólo con acuerdo por escrito",IF(G15="Sí","Notificado",IF($H$3&gt;O15,"Aviso fuera de plazo: notificá hoy o acordá otra fecha",IF(O15-$H$3&lt;=7,"Notificá ya: el plazo vence el "&amp;DAY(O15)&amp;"/"&amp;MONTH(O15)&amp;"/"&amp;YEAR(O15),"En regla: notificar hasta el "&amp;DAY(O15)&amp;"/"&amp;MONTH(O15)&amp;"/"&amp;YEAR(O15)))))))))))</f>
      </c>
      <c r="T15">
        <f>IF(OR(S15="Notificado",LEFT(S15,8)="En regla"),1,0)</f>
      </c>
      <c r="U15">
        <f>IF(OR(C15="",D15=""),0,IF(C15&gt;DATE($B$3,12,31),0,1))</f>
      </c>
      <c r="V15">
        <f>IF(U15=1,IF(C15&gt;=DATE($B$3-5,12,31),14,IF(C15&gt;=DATE($B$3-10,12,31),21,IF(C15&gt;=DATE($B$3-20,12,31),28,35))),"")</f>
      </c>
      <c r="W15">
        <f>IF(U15=1,IF(C15&gt;DATE($B$3,1,1),NETWORKDAYS(C15,DATE($B$3,12,31)),""),"")</f>
      </c>
      <c r="X15">
        <f>IF(U15=1,IF(W15="",0,IF(W15&lt;NETWORKDAYS(DATE($B$3,1,1),DATE($B$3,12,31))/2,1,0)),"")</f>
      </c>
    </row>
    <row r="16" spans="1:24" x14ac:dyDescent="0.25">
      <c r="A16" s="14">
        <v>11</v>
      </c>
      <c r="B16" s="15"/>
      <c r="C16" s="16"/>
      <c r="D16" s="17"/>
      <c r="E16" s="10"/>
      <c r="F16" s="16"/>
      <c r="G16" s="18" t="s">
        <v>48</v>
      </c>
      <c r="H16" s="19">
        <f>IF(U16=1,INT((($B$3-YEAR(C16))*12+12-MONTH(C16))/12)&amp;IF(INT((($B$3-YEAR(C16))*12+12-MONTH(C16))/12)=1," año"," años")&amp;" y "&amp;MOD((($B$3-YEAR(C16))*12+12-MONTH(C16)),12)&amp;IF(MOD((($B$3-YEAR(C16))*12+12-MONTH(C16)),12)=1," mes"," meses"),"")</f>
      </c>
      <c r="I16" s="20">
        <f>IF(U16=1,IF(X16=1,INT(W16/20),V16),"")</f>
      </c>
      <c r="J16" s="19">
        <f>IF(U16=1,IF(X16=1,"Proporcional (art. 153)","Escala (art. 150)"),"")</f>
      </c>
      <c r="K16" s="20">
        <f>IF(U16=1,IF(E16="",I16,MIN(MAX(E16,0),I16)),"")</f>
      </c>
      <c r="L16" s="20">
        <f>IF(U16=1,I16-K16,"")</f>
      </c>
      <c r="M16" s="11">
        <f>IF(AND(U16=1,F16&lt;&gt;""),IF(K16&gt;0,F16+K16-1,""),"")</f>
      </c>
      <c r="N16" s="11">
        <f>IF(M16="","",M16+1)</f>
      </c>
      <c r="O16" s="11">
        <f>IF(AND(U16=1,F16&lt;&gt;""),F16-$E$3,"")</f>
      </c>
      <c r="P16" s="21">
        <f>IF(U16=1,D16/25,"")</f>
      </c>
      <c r="Q16" s="21">
        <f>IF(U16=1,P16*K16,"")</f>
      </c>
      <c r="R16" s="21">
        <f>IF(U16=1,(D16/25-D16/30)*K16,"")</f>
      </c>
      <c r="S16" s="19">
        <f>IF(OR(C16="",D16=""),"",IF(C16&gt;DATE($B$3,12,31),"Ingresa después del 31/12: no entra en este período",IF(I16=0,"Todavía no generó días de vacaciones (art. 153)",IF(F16="","Falta la fecha de inicio",IF(F16&lt;&gt;WORKDAY(F16-WEEKDAY(F16,2),1,'Feriados'!$A$5:$A$35),"Tiene que empezar un lunes (o el hábil siguiente si es feriado)",IF(AND(K16&lt;I16,OR(K16&lt;7,L16&lt;7)),"Cada tramo tiene que ser de 7 días o más",IF(OR(F16&lt;DATE($B$3,10,1),M16&gt;DATE($B$3+1,4,30)),"Fuera del 1/10 al 30/4: sólo con acuerdo por escrito",IF(G16="Sí","Notificado",IF($H$3&gt;O16,"Aviso fuera de plazo: notificá hoy o acordá otra fecha",IF(O16-$H$3&lt;=7,"Notificá ya: el plazo vence el "&amp;DAY(O16)&amp;"/"&amp;MONTH(O16)&amp;"/"&amp;YEAR(O16),"En regla: notificar hasta el "&amp;DAY(O16)&amp;"/"&amp;MONTH(O16)&amp;"/"&amp;YEAR(O16)))))))))))</f>
      </c>
      <c r="T16">
        <f>IF(OR(S16="Notificado",LEFT(S16,8)="En regla"),1,0)</f>
      </c>
      <c r="U16">
        <f>IF(OR(C16="",D16=""),0,IF(C16&gt;DATE($B$3,12,31),0,1))</f>
      </c>
      <c r="V16">
        <f>IF(U16=1,IF(C16&gt;=DATE($B$3-5,12,31),14,IF(C16&gt;=DATE($B$3-10,12,31),21,IF(C16&gt;=DATE($B$3-20,12,31),28,35))),"")</f>
      </c>
      <c r="W16">
        <f>IF(U16=1,IF(C16&gt;DATE($B$3,1,1),NETWORKDAYS(C16,DATE($B$3,12,31)),""),"")</f>
      </c>
      <c r="X16">
        <f>IF(U16=1,IF(W16="",0,IF(W16&lt;NETWORKDAYS(DATE($B$3,1,1),DATE($B$3,12,31))/2,1,0)),"")</f>
      </c>
    </row>
    <row r="17" spans="1:24" x14ac:dyDescent="0.25">
      <c r="A17" s="14">
        <v>12</v>
      </c>
      <c r="B17" s="15"/>
      <c r="C17" s="16"/>
      <c r="D17" s="17"/>
      <c r="E17" s="10"/>
      <c r="F17" s="16"/>
      <c r="G17" s="18" t="s">
        <v>48</v>
      </c>
      <c r="H17" s="22">
        <f>IF(U17=1,INT((($B$3-YEAR(C17))*12+12-MONTH(C17))/12)&amp;IF(INT((($B$3-YEAR(C17))*12+12-MONTH(C17))/12)=1," año"," años")&amp;" y "&amp;MOD((($B$3-YEAR(C17))*12+12-MONTH(C17)),12)&amp;IF(MOD((($B$3-YEAR(C17))*12+12-MONTH(C17)),12)=1," mes"," meses"),"")</f>
      </c>
      <c r="I17" s="23">
        <f>IF(U17=1,IF(X17=1,INT(W17/20),V17),"")</f>
      </c>
      <c r="J17" s="22">
        <f>IF(U17=1,IF(X17=1,"Proporcional (art. 153)","Escala (art. 150)"),"")</f>
      </c>
      <c r="K17" s="23">
        <f>IF(U17=1,IF(E17="",I17,MIN(MAX(E17,0),I17)),"")</f>
      </c>
      <c r="L17" s="23">
        <f>IF(U17=1,I17-K17,"")</f>
      </c>
      <c r="M17" s="24">
        <f>IF(AND(U17=1,F17&lt;&gt;""),IF(K17&gt;0,F17+K17-1,""),"")</f>
      </c>
      <c r="N17" s="24">
        <f>IF(M17="","",M17+1)</f>
      </c>
      <c r="O17" s="24">
        <f>IF(AND(U17=1,F17&lt;&gt;""),F17-$E$3,"")</f>
      </c>
      <c r="P17" s="25">
        <f>IF(U17=1,D17/25,"")</f>
      </c>
      <c r="Q17" s="25">
        <f>IF(U17=1,P17*K17,"")</f>
      </c>
      <c r="R17" s="25">
        <f>IF(U17=1,(D17/25-D17/30)*K17,"")</f>
      </c>
      <c r="S17" s="22">
        <f>IF(OR(C17="",D17=""),"",IF(C17&gt;DATE($B$3,12,31),"Ingresa después del 31/12: no entra en este período",IF(I17=0,"Todavía no generó días de vacaciones (art. 153)",IF(F17="","Falta la fecha de inicio",IF(F17&lt;&gt;WORKDAY(F17-WEEKDAY(F17,2),1,'Feriados'!$A$5:$A$35),"Tiene que empezar un lunes (o el hábil siguiente si es feriado)",IF(AND(K17&lt;I17,OR(K17&lt;7,L17&lt;7)),"Cada tramo tiene que ser de 7 días o más",IF(OR(F17&lt;DATE($B$3,10,1),M17&gt;DATE($B$3+1,4,30)),"Fuera del 1/10 al 30/4: sólo con acuerdo por escrito",IF(G17="Sí","Notificado",IF($H$3&gt;O17,"Aviso fuera de plazo: notificá hoy o acordá otra fecha",IF(O17-$H$3&lt;=7,"Notificá ya: el plazo vence el "&amp;DAY(O17)&amp;"/"&amp;MONTH(O17)&amp;"/"&amp;YEAR(O17),"En regla: notificar hasta el "&amp;DAY(O17)&amp;"/"&amp;MONTH(O17)&amp;"/"&amp;YEAR(O17)))))))))))</f>
      </c>
      <c r="T17">
        <f>IF(OR(S17="Notificado",LEFT(S17,8)="En regla"),1,0)</f>
      </c>
      <c r="U17">
        <f>IF(OR(C17="",D17=""),0,IF(C17&gt;DATE($B$3,12,31),0,1))</f>
      </c>
      <c r="V17">
        <f>IF(U17=1,IF(C17&gt;=DATE($B$3-5,12,31),14,IF(C17&gt;=DATE($B$3-10,12,31),21,IF(C17&gt;=DATE($B$3-20,12,31),28,35))),"")</f>
      </c>
      <c r="W17">
        <f>IF(U17=1,IF(C17&gt;DATE($B$3,1,1),NETWORKDAYS(C17,DATE($B$3,12,31)),""),"")</f>
      </c>
      <c r="X17">
        <f>IF(U17=1,IF(W17="",0,IF(W17&lt;NETWORKDAYS(DATE($B$3,1,1),DATE($B$3,12,31))/2,1,0)),"")</f>
      </c>
    </row>
    <row r="18" spans="1:24" x14ac:dyDescent="0.25">
      <c r="A18" s="14">
        <v>13</v>
      </c>
      <c r="B18" s="15"/>
      <c r="C18" s="16"/>
      <c r="D18" s="17"/>
      <c r="E18" s="10"/>
      <c r="F18" s="16"/>
      <c r="G18" s="18" t="s">
        <v>48</v>
      </c>
      <c r="H18" s="19">
        <f>IF(U18=1,INT((($B$3-YEAR(C18))*12+12-MONTH(C18))/12)&amp;IF(INT((($B$3-YEAR(C18))*12+12-MONTH(C18))/12)=1," año"," años")&amp;" y "&amp;MOD((($B$3-YEAR(C18))*12+12-MONTH(C18)),12)&amp;IF(MOD((($B$3-YEAR(C18))*12+12-MONTH(C18)),12)=1," mes"," meses"),"")</f>
      </c>
      <c r="I18" s="20">
        <f>IF(U18=1,IF(X18=1,INT(W18/20),V18),"")</f>
      </c>
      <c r="J18" s="19">
        <f>IF(U18=1,IF(X18=1,"Proporcional (art. 153)","Escala (art. 150)"),"")</f>
      </c>
      <c r="K18" s="20">
        <f>IF(U18=1,IF(E18="",I18,MIN(MAX(E18,0),I18)),"")</f>
      </c>
      <c r="L18" s="20">
        <f>IF(U18=1,I18-K18,"")</f>
      </c>
      <c r="M18" s="11">
        <f>IF(AND(U18=1,F18&lt;&gt;""),IF(K18&gt;0,F18+K18-1,""),"")</f>
      </c>
      <c r="N18" s="11">
        <f>IF(M18="","",M18+1)</f>
      </c>
      <c r="O18" s="11">
        <f>IF(AND(U18=1,F18&lt;&gt;""),F18-$E$3,"")</f>
      </c>
      <c r="P18" s="21">
        <f>IF(U18=1,D18/25,"")</f>
      </c>
      <c r="Q18" s="21">
        <f>IF(U18=1,P18*K18,"")</f>
      </c>
      <c r="R18" s="21">
        <f>IF(U18=1,(D18/25-D18/30)*K18,"")</f>
      </c>
      <c r="S18" s="19">
        <f>IF(OR(C18="",D18=""),"",IF(C18&gt;DATE($B$3,12,31),"Ingresa después del 31/12: no entra en este período",IF(I18=0,"Todavía no generó días de vacaciones (art. 153)",IF(F18="","Falta la fecha de inicio",IF(F18&lt;&gt;WORKDAY(F18-WEEKDAY(F18,2),1,'Feriados'!$A$5:$A$35),"Tiene que empezar un lunes (o el hábil siguiente si es feriado)",IF(AND(K18&lt;I18,OR(K18&lt;7,L18&lt;7)),"Cada tramo tiene que ser de 7 días o más",IF(OR(F18&lt;DATE($B$3,10,1),M18&gt;DATE($B$3+1,4,30)),"Fuera del 1/10 al 30/4: sólo con acuerdo por escrito",IF(G18="Sí","Notificado",IF($H$3&gt;O18,"Aviso fuera de plazo: notificá hoy o acordá otra fecha",IF(O18-$H$3&lt;=7,"Notificá ya: el plazo vence el "&amp;DAY(O18)&amp;"/"&amp;MONTH(O18)&amp;"/"&amp;YEAR(O18),"En regla: notificar hasta el "&amp;DAY(O18)&amp;"/"&amp;MONTH(O18)&amp;"/"&amp;YEAR(O18)))))))))))</f>
      </c>
      <c r="T18">
        <f>IF(OR(S18="Notificado",LEFT(S18,8)="En regla"),1,0)</f>
      </c>
      <c r="U18">
        <f>IF(OR(C18="",D18=""),0,IF(C18&gt;DATE($B$3,12,31),0,1))</f>
      </c>
      <c r="V18">
        <f>IF(U18=1,IF(C18&gt;=DATE($B$3-5,12,31),14,IF(C18&gt;=DATE($B$3-10,12,31),21,IF(C18&gt;=DATE($B$3-20,12,31),28,35))),"")</f>
      </c>
      <c r="W18">
        <f>IF(U18=1,IF(C18&gt;DATE($B$3,1,1),NETWORKDAYS(C18,DATE($B$3,12,31)),""),"")</f>
      </c>
      <c r="X18">
        <f>IF(U18=1,IF(W18="",0,IF(W18&lt;NETWORKDAYS(DATE($B$3,1,1),DATE($B$3,12,31))/2,1,0)),"")</f>
      </c>
    </row>
    <row r="19" spans="1:24" x14ac:dyDescent="0.25">
      <c r="A19" s="14">
        <v>14</v>
      </c>
      <c r="B19" s="15"/>
      <c r="C19" s="16"/>
      <c r="D19" s="17"/>
      <c r="E19" s="10"/>
      <c r="F19" s="16"/>
      <c r="G19" s="18" t="s">
        <v>48</v>
      </c>
      <c r="H19" s="22">
        <f>IF(U19=1,INT((($B$3-YEAR(C19))*12+12-MONTH(C19))/12)&amp;IF(INT((($B$3-YEAR(C19))*12+12-MONTH(C19))/12)=1," año"," años")&amp;" y "&amp;MOD((($B$3-YEAR(C19))*12+12-MONTH(C19)),12)&amp;IF(MOD((($B$3-YEAR(C19))*12+12-MONTH(C19)),12)=1," mes"," meses"),"")</f>
      </c>
      <c r="I19" s="23">
        <f>IF(U19=1,IF(X19=1,INT(W19/20),V19),"")</f>
      </c>
      <c r="J19" s="22">
        <f>IF(U19=1,IF(X19=1,"Proporcional (art. 153)","Escala (art. 150)"),"")</f>
      </c>
      <c r="K19" s="23">
        <f>IF(U19=1,IF(E19="",I19,MIN(MAX(E19,0),I19)),"")</f>
      </c>
      <c r="L19" s="23">
        <f>IF(U19=1,I19-K19,"")</f>
      </c>
      <c r="M19" s="24">
        <f>IF(AND(U19=1,F19&lt;&gt;""),IF(K19&gt;0,F19+K19-1,""),"")</f>
      </c>
      <c r="N19" s="24">
        <f>IF(M19="","",M19+1)</f>
      </c>
      <c r="O19" s="24">
        <f>IF(AND(U19=1,F19&lt;&gt;""),F19-$E$3,"")</f>
      </c>
      <c r="P19" s="25">
        <f>IF(U19=1,D19/25,"")</f>
      </c>
      <c r="Q19" s="25">
        <f>IF(U19=1,P19*K19,"")</f>
      </c>
      <c r="R19" s="25">
        <f>IF(U19=1,(D19/25-D19/30)*K19,"")</f>
      </c>
      <c r="S19" s="22">
        <f>IF(OR(C19="",D19=""),"",IF(C19&gt;DATE($B$3,12,31),"Ingresa después del 31/12: no entra en este período",IF(I19=0,"Todavía no generó días de vacaciones (art. 153)",IF(F19="","Falta la fecha de inicio",IF(F19&lt;&gt;WORKDAY(F19-WEEKDAY(F19,2),1,'Feriados'!$A$5:$A$35),"Tiene que empezar un lunes (o el hábil siguiente si es feriado)",IF(AND(K19&lt;I19,OR(K19&lt;7,L19&lt;7)),"Cada tramo tiene que ser de 7 días o más",IF(OR(F19&lt;DATE($B$3,10,1),M19&gt;DATE($B$3+1,4,30)),"Fuera del 1/10 al 30/4: sólo con acuerdo por escrito",IF(G19="Sí","Notificado",IF($H$3&gt;O19,"Aviso fuera de plazo: notificá hoy o acordá otra fecha",IF(O19-$H$3&lt;=7,"Notificá ya: el plazo vence el "&amp;DAY(O19)&amp;"/"&amp;MONTH(O19)&amp;"/"&amp;YEAR(O19),"En regla: notificar hasta el "&amp;DAY(O19)&amp;"/"&amp;MONTH(O19)&amp;"/"&amp;YEAR(O19)))))))))))</f>
      </c>
      <c r="T19">
        <f>IF(OR(S19="Notificado",LEFT(S19,8)="En regla"),1,0)</f>
      </c>
      <c r="U19">
        <f>IF(OR(C19="",D19=""),0,IF(C19&gt;DATE($B$3,12,31),0,1))</f>
      </c>
      <c r="V19">
        <f>IF(U19=1,IF(C19&gt;=DATE($B$3-5,12,31),14,IF(C19&gt;=DATE($B$3-10,12,31),21,IF(C19&gt;=DATE($B$3-20,12,31),28,35))),"")</f>
      </c>
      <c r="W19">
        <f>IF(U19=1,IF(C19&gt;DATE($B$3,1,1),NETWORKDAYS(C19,DATE($B$3,12,31)),""),"")</f>
      </c>
      <c r="X19">
        <f>IF(U19=1,IF(W19="",0,IF(W19&lt;NETWORKDAYS(DATE($B$3,1,1),DATE($B$3,12,31))/2,1,0)),"")</f>
      </c>
    </row>
    <row r="20" spans="1:24" x14ac:dyDescent="0.25">
      <c r="A20" s="14">
        <v>15</v>
      </c>
      <c r="B20" s="15"/>
      <c r="C20" s="16"/>
      <c r="D20" s="17"/>
      <c r="E20" s="10"/>
      <c r="F20" s="16"/>
      <c r="G20" s="18" t="s">
        <v>48</v>
      </c>
      <c r="H20" s="19">
        <f>IF(U20=1,INT((($B$3-YEAR(C20))*12+12-MONTH(C20))/12)&amp;IF(INT((($B$3-YEAR(C20))*12+12-MONTH(C20))/12)=1," año"," años")&amp;" y "&amp;MOD((($B$3-YEAR(C20))*12+12-MONTH(C20)),12)&amp;IF(MOD((($B$3-YEAR(C20))*12+12-MONTH(C20)),12)=1," mes"," meses"),"")</f>
      </c>
      <c r="I20" s="20">
        <f>IF(U20=1,IF(X20=1,INT(W20/20),V20),"")</f>
      </c>
      <c r="J20" s="19">
        <f>IF(U20=1,IF(X20=1,"Proporcional (art. 153)","Escala (art. 150)"),"")</f>
      </c>
      <c r="K20" s="20">
        <f>IF(U20=1,IF(E20="",I20,MIN(MAX(E20,0),I20)),"")</f>
      </c>
      <c r="L20" s="20">
        <f>IF(U20=1,I20-K20,"")</f>
      </c>
      <c r="M20" s="11">
        <f>IF(AND(U20=1,F20&lt;&gt;""),IF(K20&gt;0,F20+K20-1,""),"")</f>
      </c>
      <c r="N20" s="11">
        <f>IF(M20="","",M20+1)</f>
      </c>
      <c r="O20" s="11">
        <f>IF(AND(U20=1,F20&lt;&gt;""),F20-$E$3,"")</f>
      </c>
      <c r="P20" s="21">
        <f>IF(U20=1,D20/25,"")</f>
      </c>
      <c r="Q20" s="21">
        <f>IF(U20=1,P20*K20,"")</f>
      </c>
      <c r="R20" s="21">
        <f>IF(U20=1,(D20/25-D20/30)*K20,"")</f>
      </c>
      <c r="S20" s="19">
        <f>IF(OR(C20="",D20=""),"",IF(C20&gt;DATE($B$3,12,31),"Ingresa después del 31/12: no entra en este período",IF(I20=0,"Todavía no generó días de vacaciones (art. 153)",IF(F20="","Falta la fecha de inicio",IF(F20&lt;&gt;WORKDAY(F20-WEEKDAY(F20,2),1,'Feriados'!$A$5:$A$35),"Tiene que empezar un lunes (o el hábil siguiente si es feriado)",IF(AND(K20&lt;I20,OR(K20&lt;7,L20&lt;7)),"Cada tramo tiene que ser de 7 días o más",IF(OR(F20&lt;DATE($B$3,10,1),M20&gt;DATE($B$3+1,4,30)),"Fuera del 1/10 al 30/4: sólo con acuerdo por escrito",IF(G20="Sí","Notificado",IF($H$3&gt;O20,"Aviso fuera de plazo: notificá hoy o acordá otra fecha",IF(O20-$H$3&lt;=7,"Notificá ya: el plazo vence el "&amp;DAY(O20)&amp;"/"&amp;MONTH(O20)&amp;"/"&amp;YEAR(O20),"En regla: notificar hasta el "&amp;DAY(O20)&amp;"/"&amp;MONTH(O20)&amp;"/"&amp;YEAR(O20)))))))))))</f>
      </c>
      <c r="T20">
        <f>IF(OR(S20="Notificado",LEFT(S20,8)="En regla"),1,0)</f>
      </c>
      <c r="U20">
        <f>IF(OR(C20="",D20=""),0,IF(C20&gt;DATE($B$3,12,31),0,1))</f>
      </c>
      <c r="V20">
        <f>IF(U20=1,IF(C20&gt;=DATE($B$3-5,12,31),14,IF(C20&gt;=DATE($B$3-10,12,31),21,IF(C20&gt;=DATE($B$3-20,12,31),28,35))),"")</f>
      </c>
      <c r="W20">
        <f>IF(U20=1,IF(C20&gt;DATE($B$3,1,1),NETWORKDAYS(C20,DATE($B$3,12,31)),""),"")</f>
      </c>
      <c r="X20">
        <f>IF(U20=1,IF(W20="",0,IF(W20&lt;NETWORKDAYS(DATE($B$3,1,1),DATE($B$3,12,31))/2,1,0)),"")</f>
      </c>
    </row>
    <row r="21" spans="1:24" x14ac:dyDescent="0.25">
      <c r="A21" s="14">
        <v>16</v>
      </c>
      <c r="B21" s="15"/>
      <c r="C21" s="16"/>
      <c r="D21" s="17"/>
      <c r="E21" s="10"/>
      <c r="F21" s="16"/>
      <c r="G21" s="18" t="s">
        <v>48</v>
      </c>
      <c r="H21" s="22">
        <f>IF(U21=1,INT((($B$3-YEAR(C21))*12+12-MONTH(C21))/12)&amp;IF(INT((($B$3-YEAR(C21))*12+12-MONTH(C21))/12)=1," año"," años")&amp;" y "&amp;MOD((($B$3-YEAR(C21))*12+12-MONTH(C21)),12)&amp;IF(MOD((($B$3-YEAR(C21))*12+12-MONTH(C21)),12)=1," mes"," meses"),"")</f>
      </c>
      <c r="I21" s="23">
        <f>IF(U21=1,IF(X21=1,INT(W21/20),V21),"")</f>
      </c>
      <c r="J21" s="22">
        <f>IF(U21=1,IF(X21=1,"Proporcional (art. 153)","Escala (art. 150)"),"")</f>
      </c>
      <c r="K21" s="23">
        <f>IF(U21=1,IF(E21="",I21,MIN(MAX(E21,0),I21)),"")</f>
      </c>
      <c r="L21" s="23">
        <f>IF(U21=1,I21-K21,"")</f>
      </c>
      <c r="M21" s="24">
        <f>IF(AND(U21=1,F21&lt;&gt;""),IF(K21&gt;0,F21+K21-1,""),"")</f>
      </c>
      <c r="N21" s="24">
        <f>IF(M21="","",M21+1)</f>
      </c>
      <c r="O21" s="24">
        <f>IF(AND(U21=1,F21&lt;&gt;""),F21-$E$3,"")</f>
      </c>
      <c r="P21" s="25">
        <f>IF(U21=1,D21/25,"")</f>
      </c>
      <c r="Q21" s="25">
        <f>IF(U21=1,P21*K21,"")</f>
      </c>
      <c r="R21" s="25">
        <f>IF(U21=1,(D21/25-D21/30)*K21,"")</f>
      </c>
      <c r="S21" s="22">
        <f>IF(OR(C21="",D21=""),"",IF(C21&gt;DATE($B$3,12,31),"Ingresa después del 31/12: no entra en este período",IF(I21=0,"Todavía no generó días de vacaciones (art. 153)",IF(F21="","Falta la fecha de inicio",IF(F21&lt;&gt;WORKDAY(F21-WEEKDAY(F21,2),1,'Feriados'!$A$5:$A$35),"Tiene que empezar un lunes (o el hábil siguiente si es feriado)",IF(AND(K21&lt;I21,OR(K21&lt;7,L21&lt;7)),"Cada tramo tiene que ser de 7 días o más",IF(OR(F21&lt;DATE($B$3,10,1),M21&gt;DATE($B$3+1,4,30)),"Fuera del 1/10 al 30/4: sólo con acuerdo por escrito",IF(G21="Sí","Notificado",IF($H$3&gt;O21,"Aviso fuera de plazo: notificá hoy o acordá otra fecha",IF(O21-$H$3&lt;=7,"Notificá ya: el plazo vence el "&amp;DAY(O21)&amp;"/"&amp;MONTH(O21)&amp;"/"&amp;YEAR(O21),"En regla: notificar hasta el "&amp;DAY(O21)&amp;"/"&amp;MONTH(O21)&amp;"/"&amp;YEAR(O21)))))))))))</f>
      </c>
      <c r="T21">
        <f>IF(OR(S21="Notificado",LEFT(S21,8)="En regla"),1,0)</f>
      </c>
      <c r="U21">
        <f>IF(OR(C21="",D21=""),0,IF(C21&gt;DATE($B$3,12,31),0,1))</f>
      </c>
      <c r="V21">
        <f>IF(U21=1,IF(C21&gt;=DATE($B$3-5,12,31),14,IF(C21&gt;=DATE($B$3-10,12,31),21,IF(C21&gt;=DATE($B$3-20,12,31),28,35))),"")</f>
      </c>
      <c r="W21">
        <f>IF(U21=1,IF(C21&gt;DATE($B$3,1,1),NETWORKDAYS(C21,DATE($B$3,12,31)),""),"")</f>
      </c>
      <c r="X21">
        <f>IF(U21=1,IF(W21="",0,IF(W21&lt;NETWORKDAYS(DATE($B$3,1,1),DATE($B$3,12,31))/2,1,0)),"")</f>
      </c>
    </row>
    <row r="22" spans="1:24" x14ac:dyDescent="0.25">
      <c r="A22" s="14">
        <v>17</v>
      </c>
      <c r="B22" s="15"/>
      <c r="C22" s="16"/>
      <c r="D22" s="17"/>
      <c r="E22" s="10"/>
      <c r="F22" s="16"/>
      <c r="G22" s="18" t="s">
        <v>48</v>
      </c>
      <c r="H22" s="19">
        <f>IF(U22=1,INT((($B$3-YEAR(C22))*12+12-MONTH(C22))/12)&amp;IF(INT((($B$3-YEAR(C22))*12+12-MONTH(C22))/12)=1," año"," años")&amp;" y "&amp;MOD((($B$3-YEAR(C22))*12+12-MONTH(C22)),12)&amp;IF(MOD((($B$3-YEAR(C22))*12+12-MONTH(C22)),12)=1," mes"," meses"),"")</f>
      </c>
      <c r="I22" s="20">
        <f>IF(U22=1,IF(X22=1,INT(W22/20),V22),"")</f>
      </c>
      <c r="J22" s="19">
        <f>IF(U22=1,IF(X22=1,"Proporcional (art. 153)","Escala (art. 150)"),"")</f>
      </c>
      <c r="K22" s="20">
        <f>IF(U22=1,IF(E22="",I22,MIN(MAX(E22,0),I22)),"")</f>
      </c>
      <c r="L22" s="20">
        <f>IF(U22=1,I22-K22,"")</f>
      </c>
      <c r="M22" s="11">
        <f>IF(AND(U22=1,F22&lt;&gt;""),IF(K22&gt;0,F22+K22-1,""),"")</f>
      </c>
      <c r="N22" s="11">
        <f>IF(M22="","",M22+1)</f>
      </c>
      <c r="O22" s="11">
        <f>IF(AND(U22=1,F22&lt;&gt;""),F22-$E$3,"")</f>
      </c>
      <c r="P22" s="21">
        <f>IF(U22=1,D22/25,"")</f>
      </c>
      <c r="Q22" s="21">
        <f>IF(U22=1,P22*K22,"")</f>
      </c>
      <c r="R22" s="21">
        <f>IF(U22=1,(D22/25-D22/30)*K22,"")</f>
      </c>
      <c r="S22" s="19">
        <f>IF(OR(C22="",D22=""),"",IF(C22&gt;DATE($B$3,12,31),"Ingresa después del 31/12: no entra en este período",IF(I22=0,"Todavía no generó días de vacaciones (art. 153)",IF(F22="","Falta la fecha de inicio",IF(F22&lt;&gt;WORKDAY(F22-WEEKDAY(F22,2),1,'Feriados'!$A$5:$A$35),"Tiene que empezar un lunes (o el hábil siguiente si es feriado)",IF(AND(K22&lt;I22,OR(K22&lt;7,L22&lt;7)),"Cada tramo tiene que ser de 7 días o más",IF(OR(F22&lt;DATE($B$3,10,1),M22&gt;DATE($B$3+1,4,30)),"Fuera del 1/10 al 30/4: sólo con acuerdo por escrito",IF(G22="Sí","Notificado",IF($H$3&gt;O22,"Aviso fuera de plazo: notificá hoy o acordá otra fecha",IF(O22-$H$3&lt;=7,"Notificá ya: el plazo vence el "&amp;DAY(O22)&amp;"/"&amp;MONTH(O22)&amp;"/"&amp;YEAR(O22),"En regla: notificar hasta el "&amp;DAY(O22)&amp;"/"&amp;MONTH(O22)&amp;"/"&amp;YEAR(O22)))))))))))</f>
      </c>
      <c r="T22">
        <f>IF(OR(S22="Notificado",LEFT(S22,8)="En regla"),1,0)</f>
      </c>
      <c r="U22">
        <f>IF(OR(C22="",D22=""),0,IF(C22&gt;DATE($B$3,12,31),0,1))</f>
      </c>
      <c r="V22">
        <f>IF(U22=1,IF(C22&gt;=DATE($B$3-5,12,31),14,IF(C22&gt;=DATE($B$3-10,12,31),21,IF(C22&gt;=DATE($B$3-20,12,31),28,35))),"")</f>
      </c>
      <c r="W22">
        <f>IF(U22=1,IF(C22&gt;DATE($B$3,1,1),NETWORKDAYS(C22,DATE($B$3,12,31)),""),"")</f>
      </c>
      <c r="X22">
        <f>IF(U22=1,IF(W22="",0,IF(W22&lt;NETWORKDAYS(DATE($B$3,1,1),DATE($B$3,12,31))/2,1,0)),"")</f>
      </c>
    </row>
    <row r="23" spans="1:24" x14ac:dyDescent="0.25">
      <c r="A23" s="14">
        <v>18</v>
      </c>
      <c r="B23" s="15"/>
      <c r="C23" s="16"/>
      <c r="D23" s="17"/>
      <c r="E23" s="10"/>
      <c r="F23" s="16"/>
      <c r="G23" s="18" t="s">
        <v>48</v>
      </c>
      <c r="H23" s="22">
        <f>IF(U23=1,INT((($B$3-YEAR(C23))*12+12-MONTH(C23))/12)&amp;IF(INT((($B$3-YEAR(C23))*12+12-MONTH(C23))/12)=1," año"," años")&amp;" y "&amp;MOD((($B$3-YEAR(C23))*12+12-MONTH(C23)),12)&amp;IF(MOD((($B$3-YEAR(C23))*12+12-MONTH(C23)),12)=1," mes"," meses"),"")</f>
      </c>
      <c r="I23" s="23">
        <f>IF(U23=1,IF(X23=1,INT(W23/20),V23),"")</f>
      </c>
      <c r="J23" s="22">
        <f>IF(U23=1,IF(X23=1,"Proporcional (art. 153)","Escala (art. 150)"),"")</f>
      </c>
      <c r="K23" s="23">
        <f>IF(U23=1,IF(E23="",I23,MIN(MAX(E23,0),I23)),"")</f>
      </c>
      <c r="L23" s="23">
        <f>IF(U23=1,I23-K23,"")</f>
      </c>
      <c r="M23" s="24">
        <f>IF(AND(U23=1,F23&lt;&gt;""),IF(K23&gt;0,F23+K23-1,""),"")</f>
      </c>
      <c r="N23" s="24">
        <f>IF(M23="","",M23+1)</f>
      </c>
      <c r="O23" s="24">
        <f>IF(AND(U23=1,F23&lt;&gt;""),F23-$E$3,"")</f>
      </c>
      <c r="P23" s="25">
        <f>IF(U23=1,D23/25,"")</f>
      </c>
      <c r="Q23" s="25">
        <f>IF(U23=1,P23*K23,"")</f>
      </c>
      <c r="R23" s="25">
        <f>IF(U23=1,(D23/25-D23/30)*K23,"")</f>
      </c>
      <c r="S23" s="22">
        <f>IF(OR(C23="",D23=""),"",IF(C23&gt;DATE($B$3,12,31),"Ingresa después del 31/12: no entra en este período",IF(I23=0,"Todavía no generó días de vacaciones (art. 153)",IF(F23="","Falta la fecha de inicio",IF(F23&lt;&gt;WORKDAY(F23-WEEKDAY(F23,2),1,'Feriados'!$A$5:$A$35),"Tiene que empezar un lunes (o el hábil siguiente si es feriado)",IF(AND(K23&lt;I23,OR(K23&lt;7,L23&lt;7)),"Cada tramo tiene que ser de 7 días o más",IF(OR(F23&lt;DATE($B$3,10,1),M23&gt;DATE($B$3+1,4,30)),"Fuera del 1/10 al 30/4: sólo con acuerdo por escrito",IF(G23="Sí","Notificado",IF($H$3&gt;O23,"Aviso fuera de plazo: notificá hoy o acordá otra fecha",IF(O23-$H$3&lt;=7,"Notificá ya: el plazo vence el "&amp;DAY(O23)&amp;"/"&amp;MONTH(O23)&amp;"/"&amp;YEAR(O23),"En regla: notificar hasta el "&amp;DAY(O23)&amp;"/"&amp;MONTH(O23)&amp;"/"&amp;YEAR(O23)))))))))))</f>
      </c>
      <c r="T23">
        <f>IF(OR(S23="Notificado",LEFT(S23,8)="En regla"),1,0)</f>
      </c>
      <c r="U23">
        <f>IF(OR(C23="",D23=""),0,IF(C23&gt;DATE($B$3,12,31),0,1))</f>
      </c>
      <c r="V23">
        <f>IF(U23=1,IF(C23&gt;=DATE($B$3-5,12,31),14,IF(C23&gt;=DATE($B$3-10,12,31),21,IF(C23&gt;=DATE($B$3-20,12,31),28,35))),"")</f>
      </c>
      <c r="W23">
        <f>IF(U23=1,IF(C23&gt;DATE($B$3,1,1),NETWORKDAYS(C23,DATE($B$3,12,31)),""),"")</f>
      </c>
      <c r="X23">
        <f>IF(U23=1,IF(W23="",0,IF(W23&lt;NETWORKDAYS(DATE($B$3,1,1),DATE($B$3,12,31))/2,1,0)),"")</f>
      </c>
    </row>
    <row r="24" spans="1:24" x14ac:dyDescent="0.25">
      <c r="A24" s="14">
        <v>19</v>
      </c>
      <c r="B24" s="15"/>
      <c r="C24" s="16"/>
      <c r="D24" s="17"/>
      <c r="E24" s="10"/>
      <c r="F24" s="16"/>
      <c r="G24" s="18" t="s">
        <v>48</v>
      </c>
      <c r="H24" s="19">
        <f>IF(U24=1,INT((($B$3-YEAR(C24))*12+12-MONTH(C24))/12)&amp;IF(INT((($B$3-YEAR(C24))*12+12-MONTH(C24))/12)=1," año"," años")&amp;" y "&amp;MOD((($B$3-YEAR(C24))*12+12-MONTH(C24)),12)&amp;IF(MOD((($B$3-YEAR(C24))*12+12-MONTH(C24)),12)=1," mes"," meses"),"")</f>
      </c>
      <c r="I24" s="20">
        <f>IF(U24=1,IF(X24=1,INT(W24/20),V24),"")</f>
      </c>
      <c r="J24" s="19">
        <f>IF(U24=1,IF(X24=1,"Proporcional (art. 153)","Escala (art. 150)"),"")</f>
      </c>
      <c r="K24" s="20">
        <f>IF(U24=1,IF(E24="",I24,MIN(MAX(E24,0),I24)),"")</f>
      </c>
      <c r="L24" s="20">
        <f>IF(U24=1,I24-K24,"")</f>
      </c>
      <c r="M24" s="11">
        <f>IF(AND(U24=1,F24&lt;&gt;""),IF(K24&gt;0,F24+K24-1,""),"")</f>
      </c>
      <c r="N24" s="11">
        <f>IF(M24="","",M24+1)</f>
      </c>
      <c r="O24" s="11">
        <f>IF(AND(U24=1,F24&lt;&gt;""),F24-$E$3,"")</f>
      </c>
      <c r="P24" s="21">
        <f>IF(U24=1,D24/25,"")</f>
      </c>
      <c r="Q24" s="21">
        <f>IF(U24=1,P24*K24,"")</f>
      </c>
      <c r="R24" s="21">
        <f>IF(U24=1,(D24/25-D24/30)*K24,"")</f>
      </c>
      <c r="S24" s="19">
        <f>IF(OR(C24="",D24=""),"",IF(C24&gt;DATE($B$3,12,31),"Ingresa después del 31/12: no entra en este período",IF(I24=0,"Todavía no generó días de vacaciones (art. 153)",IF(F24="","Falta la fecha de inicio",IF(F24&lt;&gt;WORKDAY(F24-WEEKDAY(F24,2),1,'Feriados'!$A$5:$A$35),"Tiene que empezar un lunes (o el hábil siguiente si es feriado)",IF(AND(K24&lt;I24,OR(K24&lt;7,L24&lt;7)),"Cada tramo tiene que ser de 7 días o más",IF(OR(F24&lt;DATE($B$3,10,1),M24&gt;DATE($B$3+1,4,30)),"Fuera del 1/10 al 30/4: sólo con acuerdo por escrito",IF(G24="Sí","Notificado",IF($H$3&gt;O24,"Aviso fuera de plazo: notificá hoy o acordá otra fecha",IF(O24-$H$3&lt;=7,"Notificá ya: el plazo vence el "&amp;DAY(O24)&amp;"/"&amp;MONTH(O24)&amp;"/"&amp;YEAR(O24),"En regla: notificar hasta el "&amp;DAY(O24)&amp;"/"&amp;MONTH(O24)&amp;"/"&amp;YEAR(O24)))))))))))</f>
      </c>
      <c r="T24">
        <f>IF(OR(S24="Notificado",LEFT(S24,8)="En regla"),1,0)</f>
      </c>
      <c r="U24">
        <f>IF(OR(C24="",D24=""),0,IF(C24&gt;DATE($B$3,12,31),0,1))</f>
      </c>
      <c r="V24">
        <f>IF(U24=1,IF(C24&gt;=DATE($B$3-5,12,31),14,IF(C24&gt;=DATE($B$3-10,12,31),21,IF(C24&gt;=DATE($B$3-20,12,31),28,35))),"")</f>
      </c>
      <c r="W24">
        <f>IF(U24=1,IF(C24&gt;DATE($B$3,1,1),NETWORKDAYS(C24,DATE($B$3,12,31)),""),"")</f>
      </c>
      <c r="X24">
        <f>IF(U24=1,IF(W24="",0,IF(W24&lt;NETWORKDAYS(DATE($B$3,1,1),DATE($B$3,12,31))/2,1,0)),"")</f>
      </c>
    </row>
    <row r="25" spans="1:24" x14ac:dyDescent="0.25">
      <c r="A25" s="14">
        <v>20</v>
      </c>
      <c r="B25" s="15"/>
      <c r="C25" s="16"/>
      <c r="D25" s="17"/>
      <c r="E25" s="10"/>
      <c r="F25" s="16"/>
      <c r="G25" s="18" t="s">
        <v>48</v>
      </c>
      <c r="H25" s="22">
        <f>IF(U25=1,INT((($B$3-YEAR(C25))*12+12-MONTH(C25))/12)&amp;IF(INT((($B$3-YEAR(C25))*12+12-MONTH(C25))/12)=1," año"," años")&amp;" y "&amp;MOD((($B$3-YEAR(C25))*12+12-MONTH(C25)),12)&amp;IF(MOD((($B$3-YEAR(C25))*12+12-MONTH(C25)),12)=1," mes"," meses"),"")</f>
      </c>
      <c r="I25" s="23">
        <f>IF(U25=1,IF(X25=1,INT(W25/20),V25),"")</f>
      </c>
      <c r="J25" s="22">
        <f>IF(U25=1,IF(X25=1,"Proporcional (art. 153)","Escala (art. 150)"),"")</f>
      </c>
      <c r="K25" s="23">
        <f>IF(U25=1,IF(E25="",I25,MIN(MAX(E25,0),I25)),"")</f>
      </c>
      <c r="L25" s="23">
        <f>IF(U25=1,I25-K25,"")</f>
      </c>
      <c r="M25" s="24">
        <f>IF(AND(U25=1,F25&lt;&gt;""),IF(K25&gt;0,F25+K25-1,""),"")</f>
      </c>
      <c r="N25" s="24">
        <f>IF(M25="","",M25+1)</f>
      </c>
      <c r="O25" s="24">
        <f>IF(AND(U25=1,F25&lt;&gt;""),F25-$E$3,"")</f>
      </c>
      <c r="P25" s="25">
        <f>IF(U25=1,D25/25,"")</f>
      </c>
      <c r="Q25" s="25">
        <f>IF(U25=1,P25*K25,"")</f>
      </c>
      <c r="R25" s="25">
        <f>IF(U25=1,(D25/25-D25/30)*K25,"")</f>
      </c>
      <c r="S25" s="22">
        <f>IF(OR(C25="",D25=""),"",IF(C25&gt;DATE($B$3,12,31),"Ingresa después del 31/12: no entra en este período",IF(I25=0,"Todavía no generó días de vacaciones (art. 153)",IF(F25="","Falta la fecha de inicio",IF(F25&lt;&gt;WORKDAY(F25-WEEKDAY(F25,2),1,'Feriados'!$A$5:$A$35),"Tiene que empezar un lunes (o el hábil siguiente si es feriado)",IF(AND(K25&lt;I25,OR(K25&lt;7,L25&lt;7)),"Cada tramo tiene que ser de 7 días o más",IF(OR(F25&lt;DATE($B$3,10,1),M25&gt;DATE($B$3+1,4,30)),"Fuera del 1/10 al 30/4: sólo con acuerdo por escrito",IF(G25="Sí","Notificado",IF($H$3&gt;O25,"Aviso fuera de plazo: notificá hoy o acordá otra fecha",IF(O25-$H$3&lt;=7,"Notificá ya: el plazo vence el "&amp;DAY(O25)&amp;"/"&amp;MONTH(O25)&amp;"/"&amp;YEAR(O25),"En regla: notificar hasta el "&amp;DAY(O25)&amp;"/"&amp;MONTH(O25)&amp;"/"&amp;YEAR(O25)))))))))))</f>
      </c>
      <c r="T25">
        <f>IF(OR(S25="Notificado",LEFT(S25,8)="En regla"),1,0)</f>
      </c>
      <c r="U25">
        <f>IF(OR(C25="",D25=""),0,IF(C25&gt;DATE($B$3,12,31),0,1))</f>
      </c>
      <c r="V25">
        <f>IF(U25=1,IF(C25&gt;=DATE($B$3-5,12,31),14,IF(C25&gt;=DATE($B$3-10,12,31),21,IF(C25&gt;=DATE($B$3-20,12,31),28,35))),"")</f>
      </c>
      <c r="W25">
        <f>IF(U25=1,IF(C25&gt;DATE($B$3,1,1),NETWORKDAYS(C25,DATE($B$3,12,31)),""),"")</f>
      </c>
      <c r="X25">
        <f>IF(U25=1,IF(W25="",0,IF(W25&lt;NETWORKDAYS(DATE($B$3,1,1),DATE($B$3,12,31))/2,1,0)),"")</f>
      </c>
    </row>
    <row r="26" spans="1:24" x14ac:dyDescent="0.25">
      <c r="A26" s="14">
        <v>21</v>
      </c>
      <c r="B26" s="15"/>
      <c r="C26" s="16"/>
      <c r="D26" s="17"/>
      <c r="E26" s="10"/>
      <c r="F26" s="16"/>
      <c r="G26" s="18" t="s">
        <v>48</v>
      </c>
      <c r="H26" s="19">
        <f>IF(U26=1,INT((($B$3-YEAR(C26))*12+12-MONTH(C26))/12)&amp;IF(INT((($B$3-YEAR(C26))*12+12-MONTH(C26))/12)=1," año"," años")&amp;" y "&amp;MOD((($B$3-YEAR(C26))*12+12-MONTH(C26)),12)&amp;IF(MOD((($B$3-YEAR(C26))*12+12-MONTH(C26)),12)=1," mes"," meses"),"")</f>
      </c>
      <c r="I26" s="20">
        <f>IF(U26=1,IF(X26=1,INT(W26/20),V26),"")</f>
      </c>
      <c r="J26" s="19">
        <f>IF(U26=1,IF(X26=1,"Proporcional (art. 153)","Escala (art. 150)"),"")</f>
      </c>
      <c r="K26" s="20">
        <f>IF(U26=1,IF(E26="",I26,MIN(MAX(E26,0),I26)),"")</f>
      </c>
      <c r="L26" s="20">
        <f>IF(U26=1,I26-K26,"")</f>
      </c>
      <c r="M26" s="11">
        <f>IF(AND(U26=1,F26&lt;&gt;""),IF(K26&gt;0,F26+K26-1,""),"")</f>
      </c>
      <c r="N26" s="11">
        <f>IF(M26="","",M26+1)</f>
      </c>
      <c r="O26" s="11">
        <f>IF(AND(U26=1,F26&lt;&gt;""),F26-$E$3,"")</f>
      </c>
      <c r="P26" s="21">
        <f>IF(U26=1,D26/25,"")</f>
      </c>
      <c r="Q26" s="21">
        <f>IF(U26=1,P26*K26,"")</f>
      </c>
      <c r="R26" s="21">
        <f>IF(U26=1,(D26/25-D26/30)*K26,"")</f>
      </c>
      <c r="S26" s="19">
        <f>IF(OR(C26="",D26=""),"",IF(C26&gt;DATE($B$3,12,31),"Ingresa después del 31/12: no entra en este período",IF(I26=0,"Todavía no generó días de vacaciones (art. 153)",IF(F26="","Falta la fecha de inicio",IF(F26&lt;&gt;WORKDAY(F26-WEEKDAY(F26,2),1,'Feriados'!$A$5:$A$35),"Tiene que empezar un lunes (o el hábil siguiente si es feriado)",IF(AND(K26&lt;I26,OR(K26&lt;7,L26&lt;7)),"Cada tramo tiene que ser de 7 días o más",IF(OR(F26&lt;DATE($B$3,10,1),M26&gt;DATE($B$3+1,4,30)),"Fuera del 1/10 al 30/4: sólo con acuerdo por escrito",IF(G26="Sí","Notificado",IF($H$3&gt;O26,"Aviso fuera de plazo: notificá hoy o acordá otra fecha",IF(O26-$H$3&lt;=7,"Notificá ya: el plazo vence el "&amp;DAY(O26)&amp;"/"&amp;MONTH(O26)&amp;"/"&amp;YEAR(O26),"En regla: notificar hasta el "&amp;DAY(O26)&amp;"/"&amp;MONTH(O26)&amp;"/"&amp;YEAR(O26)))))))))))</f>
      </c>
      <c r="T26">
        <f>IF(OR(S26="Notificado",LEFT(S26,8)="En regla"),1,0)</f>
      </c>
      <c r="U26">
        <f>IF(OR(C26="",D26=""),0,IF(C26&gt;DATE($B$3,12,31),0,1))</f>
      </c>
      <c r="V26">
        <f>IF(U26=1,IF(C26&gt;=DATE($B$3-5,12,31),14,IF(C26&gt;=DATE($B$3-10,12,31),21,IF(C26&gt;=DATE($B$3-20,12,31),28,35))),"")</f>
      </c>
      <c r="W26">
        <f>IF(U26=1,IF(C26&gt;DATE($B$3,1,1),NETWORKDAYS(C26,DATE($B$3,12,31)),""),"")</f>
      </c>
      <c r="X26">
        <f>IF(U26=1,IF(W26="",0,IF(W26&lt;NETWORKDAYS(DATE($B$3,1,1),DATE($B$3,12,31))/2,1,0)),"")</f>
      </c>
    </row>
    <row r="27" spans="1:24" x14ac:dyDescent="0.25">
      <c r="A27" s="14">
        <v>22</v>
      </c>
      <c r="B27" s="15"/>
      <c r="C27" s="16"/>
      <c r="D27" s="17"/>
      <c r="E27" s="10"/>
      <c r="F27" s="16"/>
      <c r="G27" s="18" t="s">
        <v>48</v>
      </c>
      <c r="H27" s="22">
        <f>IF(U27=1,INT((($B$3-YEAR(C27))*12+12-MONTH(C27))/12)&amp;IF(INT((($B$3-YEAR(C27))*12+12-MONTH(C27))/12)=1," año"," años")&amp;" y "&amp;MOD((($B$3-YEAR(C27))*12+12-MONTH(C27)),12)&amp;IF(MOD((($B$3-YEAR(C27))*12+12-MONTH(C27)),12)=1," mes"," meses"),"")</f>
      </c>
      <c r="I27" s="23">
        <f>IF(U27=1,IF(X27=1,INT(W27/20),V27),"")</f>
      </c>
      <c r="J27" s="22">
        <f>IF(U27=1,IF(X27=1,"Proporcional (art. 153)","Escala (art. 150)"),"")</f>
      </c>
      <c r="K27" s="23">
        <f>IF(U27=1,IF(E27="",I27,MIN(MAX(E27,0),I27)),"")</f>
      </c>
      <c r="L27" s="23">
        <f>IF(U27=1,I27-K27,"")</f>
      </c>
      <c r="M27" s="24">
        <f>IF(AND(U27=1,F27&lt;&gt;""),IF(K27&gt;0,F27+K27-1,""),"")</f>
      </c>
      <c r="N27" s="24">
        <f>IF(M27="","",M27+1)</f>
      </c>
      <c r="O27" s="24">
        <f>IF(AND(U27=1,F27&lt;&gt;""),F27-$E$3,"")</f>
      </c>
      <c r="P27" s="25">
        <f>IF(U27=1,D27/25,"")</f>
      </c>
      <c r="Q27" s="25">
        <f>IF(U27=1,P27*K27,"")</f>
      </c>
      <c r="R27" s="25">
        <f>IF(U27=1,(D27/25-D27/30)*K27,"")</f>
      </c>
      <c r="S27" s="22">
        <f>IF(OR(C27="",D27=""),"",IF(C27&gt;DATE($B$3,12,31),"Ingresa después del 31/12: no entra en este período",IF(I27=0,"Todavía no generó días de vacaciones (art. 153)",IF(F27="","Falta la fecha de inicio",IF(F27&lt;&gt;WORKDAY(F27-WEEKDAY(F27,2),1,'Feriados'!$A$5:$A$35),"Tiene que empezar un lunes (o el hábil siguiente si es feriado)",IF(AND(K27&lt;I27,OR(K27&lt;7,L27&lt;7)),"Cada tramo tiene que ser de 7 días o más",IF(OR(F27&lt;DATE($B$3,10,1),M27&gt;DATE($B$3+1,4,30)),"Fuera del 1/10 al 30/4: sólo con acuerdo por escrito",IF(G27="Sí","Notificado",IF($H$3&gt;O27,"Aviso fuera de plazo: notificá hoy o acordá otra fecha",IF(O27-$H$3&lt;=7,"Notificá ya: el plazo vence el "&amp;DAY(O27)&amp;"/"&amp;MONTH(O27)&amp;"/"&amp;YEAR(O27),"En regla: notificar hasta el "&amp;DAY(O27)&amp;"/"&amp;MONTH(O27)&amp;"/"&amp;YEAR(O27)))))))))))</f>
      </c>
      <c r="T27">
        <f>IF(OR(S27="Notificado",LEFT(S27,8)="En regla"),1,0)</f>
      </c>
      <c r="U27">
        <f>IF(OR(C27="",D27=""),0,IF(C27&gt;DATE($B$3,12,31),0,1))</f>
      </c>
      <c r="V27">
        <f>IF(U27=1,IF(C27&gt;=DATE($B$3-5,12,31),14,IF(C27&gt;=DATE($B$3-10,12,31),21,IF(C27&gt;=DATE($B$3-20,12,31),28,35))),"")</f>
      </c>
      <c r="W27">
        <f>IF(U27=1,IF(C27&gt;DATE($B$3,1,1),NETWORKDAYS(C27,DATE($B$3,12,31)),""),"")</f>
      </c>
      <c r="X27">
        <f>IF(U27=1,IF(W27="",0,IF(W27&lt;NETWORKDAYS(DATE($B$3,1,1),DATE($B$3,12,31))/2,1,0)),"")</f>
      </c>
    </row>
    <row r="28" spans="1:24" x14ac:dyDescent="0.25">
      <c r="A28" s="14">
        <v>23</v>
      </c>
      <c r="B28" s="15"/>
      <c r="C28" s="16"/>
      <c r="D28" s="17"/>
      <c r="E28" s="10"/>
      <c r="F28" s="16"/>
      <c r="G28" s="18" t="s">
        <v>48</v>
      </c>
      <c r="H28" s="19">
        <f>IF(U28=1,INT((($B$3-YEAR(C28))*12+12-MONTH(C28))/12)&amp;IF(INT((($B$3-YEAR(C28))*12+12-MONTH(C28))/12)=1," año"," años")&amp;" y "&amp;MOD((($B$3-YEAR(C28))*12+12-MONTH(C28)),12)&amp;IF(MOD((($B$3-YEAR(C28))*12+12-MONTH(C28)),12)=1," mes"," meses"),"")</f>
      </c>
      <c r="I28" s="20">
        <f>IF(U28=1,IF(X28=1,INT(W28/20),V28),"")</f>
      </c>
      <c r="J28" s="19">
        <f>IF(U28=1,IF(X28=1,"Proporcional (art. 153)","Escala (art. 150)"),"")</f>
      </c>
      <c r="K28" s="20">
        <f>IF(U28=1,IF(E28="",I28,MIN(MAX(E28,0),I28)),"")</f>
      </c>
      <c r="L28" s="20">
        <f>IF(U28=1,I28-K28,"")</f>
      </c>
      <c r="M28" s="11">
        <f>IF(AND(U28=1,F28&lt;&gt;""),IF(K28&gt;0,F28+K28-1,""),"")</f>
      </c>
      <c r="N28" s="11">
        <f>IF(M28="","",M28+1)</f>
      </c>
      <c r="O28" s="11">
        <f>IF(AND(U28=1,F28&lt;&gt;""),F28-$E$3,"")</f>
      </c>
      <c r="P28" s="21">
        <f>IF(U28=1,D28/25,"")</f>
      </c>
      <c r="Q28" s="21">
        <f>IF(U28=1,P28*K28,"")</f>
      </c>
      <c r="R28" s="21">
        <f>IF(U28=1,(D28/25-D28/30)*K28,"")</f>
      </c>
      <c r="S28" s="19">
        <f>IF(OR(C28="",D28=""),"",IF(C28&gt;DATE($B$3,12,31),"Ingresa después del 31/12: no entra en este período",IF(I28=0,"Todavía no generó días de vacaciones (art. 153)",IF(F28="","Falta la fecha de inicio",IF(F28&lt;&gt;WORKDAY(F28-WEEKDAY(F28,2),1,'Feriados'!$A$5:$A$35),"Tiene que empezar un lunes (o el hábil siguiente si es feriado)",IF(AND(K28&lt;I28,OR(K28&lt;7,L28&lt;7)),"Cada tramo tiene que ser de 7 días o más",IF(OR(F28&lt;DATE($B$3,10,1),M28&gt;DATE($B$3+1,4,30)),"Fuera del 1/10 al 30/4: sólo con acuerdo por escrito",IF(G28="Sí","Notificado",IF($H$3&gt;O28,"Aviso fuera de plazo: notificá hoy o acordá otra fecha",IF(O28-$H$3&lt;=7,"Notificá ya: el plazo vence el "&amp;DAY(O28)&amp;"/"&amp;MONTH(O28)&amp;"/"&amp;YEAR(O28),"En regla: notificar hasta el "&amp;DAY(O28)&amp;"/"&amp;MONTH(O28)&amp;"/"&amp;YEAR(O28)))))))))))</f>
      </c>
      <c r="T28">
        <f>IF(OR(S28="Notificado",LEFT(S28,8)="En regla"),1,0)</f>
      </c>
      <c r="U28">
        <f>IF(OR(C28="",D28=""),0,IF(C28&gt;DATE($B$3,12,31),0,1))</f>
      </c>
      <c r="V28">
        <f>IF(U28=1,IF(C28&gt;=DATE($B$3-5,12,31),14,IF(C28&gt;=DATE($B$3-10,12,31),21,IF(C28&gt;=DATE($B$3-20,12,31),28,35))),"")</f>
      </c>
      <c r="W28">
        <f>IF(U28=1,IF(C28&gt;DATE($B$3,1,1),NETWORKDAYS(C28,DATE($B$3,12,31)),""),"")</f>
      </c>
      <c r="X28">
        <f>IF(U28=1,IF(W28="",0,IF(W28&lt;NETWORKDAYS(DATE($B$3,1,1),DATE($B$3,12,31))/2,1,0)),"")</f>
      </c>
    </row>
    <row r="29" spans="1:24" x14ac:dyDescent="0.25">
      <c r="A29" s="14">
        <v>24</v>
      </c>
      <c r="B29" s="15"/>
      <c r="C29" s="16"/>
      <c r="D29" s="17"/>
      <c r="E29" s="10"/>
      <c r="F29" s="16"/>
      <c r="G29" s="18" t="s">
        <v>48</v>
      </c>
      <c r="H29" s="22">
        <f>IF(U29=1,INT((($B$3-YEAR(C29))*12+12-MONTH(C29))/12)&amp;IF(INT((($B$3-YEAR(C29))*12+12-MONTH(C29))/12)=1," año"," años")&amp;" y "&amp;MOD((($B$3-YEAR(C29))*12+12-MONTH(C29)),12)&amp;IF(MOD((($B$3-YEAR(C29))*12+12-MONTH(C29)),12)=1," mes"," meses"),"")</f>
      </c>
      <c r="I29" s="23">
        <f>IF(U29=1,IF(X29=1,INT(W29/20),V29),"")</f>
      </c>
      <c r="J29" s="22">
        <f>IF(U29=1,IF(X29=1,"Proporcional (art. 153)","Escala (art. 150)"),"")</f>
      </c>
      <c r="K29" s="23">
        <f>IF(U29=1,IF(E29="",I29,MIN(MAX(E29,0),I29)),"")</f>
      </c>
      <c r="L29" s="23">
        <f>IF(U29=1,I29-K29,"")</f>
      </c>
      <c r="M29" s="24">
        <f>IF(AND(U29=1,F29&lt;&gt;""),IF(K29&gt;0,F29+K29-1,""),"")</f>
      </c>
      <c r="N29" s="24">
        <f>IF(M29="","",M29+1)</f>
      </c>
      <c r="O29" s="24">
        <f>IF(AND(U29=1,F29&lt;&gt;""),F29-$E$3,"")</f>
      </c>
      <c r="P29" s="25">
        <f>IF(U29=1,D29/25,"")</f>
      </c>
      <c r="Q29" s="25">
        <f>IF(U29=1,P29*K29,"")</f>
      </c>
      <c r="R29" s="25">
        <f>IF(U29=1,(D29/25-D29/30)*K29,"")</f>
      </c>
      <c r="S29" s="22">
        <f>IF(OR(C29="",D29=""),"",IF(C29&gt;DATE($B$3,12,31),"Ingresa después del 31/12: no entra en este período",IF(I29=0,"Todavía no generó días de vacaciones (art. 153)",IF(F29="","Falta la fecha de inicio",IF(F29&lt;&gt;WORKDAY(F29-WEEKDAY(F29,2),1,'Feriados'!$A$5:$A$35),"Tiene que empezar un lunes (o el hábil siguiente si es feriado)",IF(AND(K29&lt;I29,OR(K29&lt;7,L29&lt;7)),"Cada tramo tiene que ser de 7 días o más",IF(OR(F29&lt;DATE($B$3,10,1),M29&gt;DATE($B$3+1,4,30)),"Fuera del 1/10 al 30/4: sólo con acuerdo por escrito",IF(G29="Sí","Notificado",IF($H$3&gt;O29,"Aviso fuera de plazo: notificá hoy o acordá otra fecha",IF(O29-$H$3&lt;=7,"Notificá ya: el plazo vence el "&amp;DAY(O29)&amp;"/"&amp;MONTH(O29)&amp;"/"&amp;YEAR(O29),"En regla: notificar hasta el "&amp;DAY(O29)&amp;"/"&amp;MONTH(O29)&amp;"/"&amp;YEAR(O29)))))))))))</f>
      </c>
      <c r="T29">
        <f>IF(OR(S29="Notificado",LEFT(S29,8)="En regla"),1,0)</f>
      </c>
      <c r="U29">
        <f>IF(OR(C29="",D29=""),0,IF(C29&gt;DATE($B$3,12,31),0,1))</f>
      </c>
      <c r="V29">
        <f>IF(U29=1,IF(C29&gt;=DATE($B$3-5,12,31),14,IF(C29&gt;=DATE($B$3-10,12,31),21,IF(C29&gt;=DATE($B$3-20,12,31),28,35))),"")</f>
      </c>
      <c r="W29">
        <f>IF(U29=1,IF(C29&gt;DATE($B$3,1,1),NETWORKDAYS(C29,DATE($B$3,12,31)),""),"")</f>
      </c>
      <c r="X29">
        <f>IF(U29=1,IF(W29="",0,IF(W29&lt;NETWORKDAYS(DATE($B$3,1,1),DATE($B$3,12,31))/2,1,0)),"")</f>
      </c>
    </row>
    <row r="30" spans="1:24" x14ac:dyDescent="0.25">
      <c r="A30" s="14">
        <v>25</v>
      </c>
      <c r="B30" s="15"/>
      <c r="C30" s="16"/>
      <c r="D30" s="17"/>
      <c r="E30" s="10"/>
      <c r="F30" s="16"/>
      <c r="G30" s="18" t="s">
        <v>48</v>
      </c>
      <c r="H30" s="19">
        <f>IF(U30=1,INT((($B$3-YEAR(C30))*12+12-MONTH(C30))/12)&amp;IF(INT((($B$3-YEAR(C30))*12+12-MONTH(C30))/12)=1," año"," años")&amp;" y "&amp;MOD((($B$3-YEAR(C30))*12+12-MONTH(C30)),12)&amp;IF(MOD((($B$3-YEAR(C30))*12+12-MONTH(C30)),12)=1," mes"," meses"),"")</f>
      </c>
      <c r="I30" s="20">
        <f>IF(U30=1,IF(X30=1,INT(W30/20),V30),"")</f>
      </c>
      <c r="J30" s="19">
        <f>IF(U30=1,IF(X30=1,"Proporcional (art. 153)","Escala (art. 150)"),"")</f>
      </c>
      <c r="K30" s="20">
        <f>IF(U30=1,IF(E30="",I30,MIN(MAX(E30,0),I30)),"")</f>
      </c>
      <c r="L30" s="20">
        <f>IF(U30=1,I30-K30,"")</f>
      </c>
      <c r="M30" s="11">
        <f>IF(AND(U30=1,F30&lt;&gt;""),IF(K30&gt;0,F30+K30-1,""),"")</f>
      </c>
      <c r="N30" s="11">
        <f>IF(M30="","",M30+1)</f>
      </c>
      <c r="O30" s="11">
        <f>IF(AND(U30=1,F30&lt;&gt;""),F30-$E$3,"")</f>
      </c>
      <c r="P30" s="21">
        <f>IF(U30=1,D30/25,"")</f>
      </c>
      <c r="Q30" s="21">
        <f>IF(U30=1,P30*K30,"")</f>
      </c>
      <c r="R30" s="21">
        <f>IF(U30=1,(D30/25-D30/30)*K30,"")</f>
      </c>
      <c r="S30" s="19">
        <f>IF(OR(C30="",D30=""),"",IF(C30&gt;DATE($B$3,12,31),"Ingresa después del 31/12: no entra en este período",IF(I30=0,"Todavía no generó días de vacaciones (art. 153)",IF(F30="","Falta la fecha de inicio",IF(F30&lt;&gt;WORKDAY(F30-WEEKDAY(F30,2),1,'Feriados'!$A$5:$A$35),"Tiene que empezar un lunes (o el hábil siguiente si es feriado)",IF(AND(K30&lt;I30,OR(K30&lt;7,L30&lt;7)),"Cada tramo tiene que ser de 7 días o más",IF(OR(F30&lt;DATE($B$3,10,1),M30&gt;DATE($B$3+1,4,30)),"Fuera del 1/10 al 30/4: sólo con acuerdo por escrito",IF(G30="Sí","Notificado",IF($H$3&gt;O30,"Aviso fuera de plazo: notificá hoy o acordá otra fecha",IF(O30-$H$3&lt;=7,"Notificá ya: el plazo vence el "&amp;DAY(O30)&amp;"/"&amp;MONTH(O30)&amp;"/"&amp;YEAR(O30),"En regla: notificar hasta el "&amp;DAY(O30)&amp;"/"&amp;MONTH(O30)&amp;"/"&amp;YEAR(O30)))))))))))</f>
      </c>
      <c r="T30">
        <f>IF(OR(S30="Notificado",LEFT(S30,8)="En regla"),1,0)</f>
      </c>
      <c r="U30">
        <f>IF(OR(C30="",D30=""),0,IF(C30&gt;DATE($B$3,12,31),0,1))</f>
      </c>
      <c r="V30">
        <f>IF(U30=1,IF(C30&gt;=DATE($B$3-5,12,31),14,IF(C30&gt;=DATE($B$3-10,12,31),21,IF(C30&gt;=DATE($B$3-20,12,31),28,35))),"")</f>
      </c>
      <c r="W30">
        <f>IF(U30=1,IF(C30&gt;DATE($B$3,1,1),NETWORKDAYS(C30,DATE($B$3,12,31)),""),"")</f>
      </c>
      <c r="X30">
        <f>IF(U30=1,IF(W30="",0,IF(W30&lt;NETWORKDAYS(DATE($B$3,1,1),DATE($B$3,12,31))/2,1,0)),"")</f>
      </c>
    </row>
    <row r="31" spans="1:24" x14ac:dyDescent="0.25">
      <c r="A31" s="14">
        <v>26</v>
      </c>
      <c r="B31" s="15"/>
      <c r="C31" s="16"/>
      <c r="D31" s="17"/>
      <c r="E31" s="10"/>
      <c r="F31" s="16"/>
      <c r="G31" s="18" t="s">
        <v>48</v>
      </c>
      <c r="H31" s="22">
        <f>IF(U31=1,INT((($B$3-YEAR(C31))*12+12-MONTH(C31))/12)&amp;IF(INT((($B$3-YEAR(C31))*12+12-MONTH(C31))/12)=1," año"," años")&amp;" y "&amp;MOD((($B$3-YEAR(C31))*12+12-MONTH(C31)),12)&amp;IF(MOD((($B$3-YEAR(C31))*12+12-MONTH(C31)),12)=1," mes"," meses"),"")</f>
      </c>
      <c r="I31" s="23">
        <f>IF(U31=1,IF(X31=1,INT(W31/20),V31),"")</f>
      </c>
      <c r="J31" s="22">
        <f>IF(U31=1,IF(X31=1,"Proporcional (art. 153)","Escala (art. 150)"),"")</f>
      </c>
      <c r="K31" s="23">
        <f>IF(U31=1,IF(E31="",I31,MIN(MAX(E31,0),I31)),"")</f>
      </c>
      <c r="L31" s="23">
        <f>IF(U31=1,I31-K31,"")</f>
      </c>
      <c r="M31" s="24">
        <f>IF(AND(U31=1,F31&lt;&gt;""),IF(K31&gt;0,F31+K31-1,""),"")</f>
      </c>
      <c r="N31" s="24">
        <f>IF(M31="","",M31+1)</f>
      </c>
      <c r="O31" s="24">
        <f>IF(AND(U31=1,F31&lt;&gt;""),F31-$E$3,"")</f>
      </c>
      <c r="P31" s="25">
        <f>IF(U31=1,D31/25,"")</f>
      </c>
      <c r="Q31" s="25">
        <f>IF(U31=1,P31*K31,"")</f>
      </c>
      <c r="R31" s="25">
        <f>IF(U31=1,(D31/25-D31/30)*K31,"")</f>
      </c>
      <c r="S31" s="22">
        <f>IF(OR(C31="",D31=""),"",IF(C31&gt;DATE($B$3,12,31),"Ingresa después del 31/12: no entra en este período",IF(I31=0,"Todavía no generó días de vacaciones (art. 153)",IF(F31="","Falta la fecha de inicio",IF(F31&lt;&gt;WORKDAY(F31-WEEKDAY(F31,2),1,'Feriados'!$A$5:$A$35),"Tiene que empezar un lunes (o el hábil siguiente si es feriado)",IF(AND(K31&lt;I31,OR(K31&lt;7,L31&lt;7)),"Cada tramo tiene que ser de 7 días o más",IF(OR(F31&lt;DATE($B$3,10,1),M31&gt;DATE($B$3+1,4,30)),"Fuera del 1/10 al 30/4: sólo con acuerdo por escrito",IF(G31="Sí","Notificado",IF($H$3&gt;O31,"Aviso fuera de plazo: notificá hoy o acordá otra fecha",IF(O31-$H$3&lt;=7,"Notificá ya: el plazo vence el "&amp;DAY(O31)&amp;"/"&amp;MONTH(O31)&amp;"/"&amp;YEAR(O31),"En regla: notificar hasta el "&amp;DAY(O31)&amp;"/"&amp;MONTH(O31)&amp;"/"&amp;YEAR(O31)))))))))))</f>
      </c>
      <c r="T31">
        <f>IF(OR(S31="Notificado",LEFT(S31,8)="En regla"),1,0)</f>
      </c>
      <c r="U31">
        <f>IF(OR(C31="",D31=""),0,IF(C31&gt;DATE($B$3,12,31),0,1))</f>
      </c>
      <c r="V31">
        <f>IF(U31=1,IF(C31&gt;=DATE($B$3-5,12,31),14,IF(C31&gt;=DATE($B$3-10,12,31),21,IF(C31&gt;=DATE($B$3-20,12,31),28,35))),"")</f>
      </c>
      <c r="W31">
        <f>IF(U31=1,IF(C31&gt;DATE($B$3,1,1),NETWORKDAYS(C31,DATE($B$3,12,31)),""),"")</f>
      </c>
      <c r="X31">
        <f>IF(U31=1,IF(W31="",0,IF(W31&lt;NETWORKDAYS(DATE($B$3,1,1),DATE($B$3,12,31))/2,1,0)),"")</f>
      </c>
    </row>
    <row r="32" spans="1:24" x14ac:dyDescent="0.25">
      <c r="A32" s="14">
        <v>27</v>
      </c>
      <c r="B32" s="15"/>
      <c r="C32" s="16"/>
      <c r="D32" s="17"/>
      <c r="E32" s="10"/>
      <c r="F32" s="16"/>
      <c r="G32" s="18" t="s">
        <v>48</v>
      </c>
      <c r="H32" s="19">
        <f>IF(U32=1,INT((($B$3-YEAR(C32))*12+12-MONTH(C32))/12)&amp;IF(INT((($B$3-YEAR(C32))*12+12-MONTH(C32))/12)=1," año"," años")&amp;" y "&amp;MOD((($B$3-YEAR(C32))*12+12-MONTH(C32)),12)&amp;IF(MOD((($B$3-YEAR(C32))*12+12-MONTH(C32)),12)=1," mes"," meses"),"")</f>
      </c>
      <c r="I32" s="20">
        <f>IF(U32=1,IF(X32=1,INT(W32/20),V32),"")</f>
      </c>
      <c r="J32" s="19">
        <f>IF(U32=1,IF(X32=1,"Proporcional (art. 153)","Escala (art. 150)"),"")</f>
      </c>
      <c r="K32" s="20">
        <f>IF(U32=1,IF(E32="",I32,MIN(MAX(E32,0),I32)),"")</f>
      </c>
      <c r="L32" s="20">
        <f>IF(U32=1,I32-K32,"")</f>
      </c>
      <c r="M32" s="11">
        <f>IF(AND(U32=1,F32&lt;&gt;""),IF(K32&gt;0,F32+K32-1,""),"")</f>
      </c>
      <c r="N32" s="11">
        <f>IF(M32="","",M32+1)</f>
      </c>
      <c r="O32" s="11">
        <f>IF(AND(U32=1,F32&lt;&gt;""),F32-$E$3,"")</f>
      </c>
      <c r="P32" s="21">
        <f>IF(U32=1,D32/25,"")</f>
      </c>
      <c r="Q32" s="21">
        <f>IF(U32=1,P32*K32,"")</f>
      </c>
      <c r="R32" s="21">
        <f>IF(U32=1,(D32/25-D32/30)*K32,"")</f>
      </c>
      <c r="S32" s="19">
        <f>IF(OR(C32="",D32=""),"",IF(C32&gt;DATE($B$3,12,31),"Ingresa después del 31/12: no entra en este período",IF(I32=0,"Todavía no generó días de vacaciones (art. 153)",IF(F32="","Falta la fecha de inicio",IF(F32&lt;&gt;WORKDAY(F32-WEEKDAY(F32,2),1,'Feriados'!$A$5:$A$35),"Tiene que empezar un lunes (o el hábil siguiente si es feriado)",IF(AND(K32&lt;I32,OR(K32&lt;7,L32&lt;7)),"Cada tramo tiene que ser de 7 días o más",IF(OR(F32&lt;DATE($B$3,10,1),M32&gt;DATE($B$3+1,4,30)),"Fuera del 1/10 al 30/4: sólo con acuerdo por escrito",IF(G32="Sí","Notificado",IF($H$3&gt;O32,"Aviso fuera de plazo: notificá hoy o acordá otra fecha",IF(O32-$H$3&lt;=7,"Notificá ya: el plazo vence el "&amp;DAY(O32)&amp;"/"&amp;MONTH(O32)&amp;"/"&amp;YEAR(O32),"En regla: notificar hasta el "&amp;DAY(O32)&amp;"/"&amp;MONTH(O32)&amp;"/"&amp;YEAR(O32)))))))))))</f>
      </c>
      <c r="T32">
        <f>IF(OR(S32="Notificado",LEFT(S32,8)="En regla"),1,0)</f>
      </c>
      <c r="U32">
        <f>IF(OR(C32="",D32=""),0,IF(C32&gt;DATE($B$3,12,31),0,1))</f>
      </c>
      <c r="V32">
        <f>IF(U32=1,IF(C32&gt;=DATE($B$3-5,12,31),14,IF(C32&gt;=DATE($B$3-10,12,31),21,IF(C32&gt;=DATE($B$3-20,12,31),28,35))),"")</f>
      </c>
      <c r="W32">
        <f>IF(U32=1,IF(C32&gt;DATE($B$3,1,1),NETWORKDAYS(C32,DATE($B$3,12,31)),""),"")</f>
      </c>
      <c r="X32">
        <f>IF(U32=1,IF(W32="",0,IF(W32&lt;NETWORKDAYS(DATE($B$3,1,1),DATE($B$3,12,31))/2,1,0)),"")</f>
      </c>
    </row>
    <row r="33" spans="1:24" x14ac:dyDescent="0.25">
      <c r="A33" s="14">
        <v>28</v>
      </c>
      <c r="B33" s="15"/>
      <c r="C33" s="16"/>
      <c r="D33" s="17"/>
      <c r="E33" s="10"/>
      <c r="F33" s="16"/>
      <c r="G33" s="18" t="s">
        <v>48</v>
      </c>
      <c r="H33" s="22">
        <f>IF(U33=1,INT((($B$3-YEAR(C33))*12+12-MONTH(C33))/12)&amp;IF(INT((($B$3-YEAR(C33))*12+12-MONTH(C33))/12)=1," año"," años")&amp;" y "&amp;MOD((($B$3-YEAR(C33))*12+12-MONTH(C33)),12)&amp;IF(MOD((($B$3-YEAR(C33))*12+12-MONTH(C33)),12)=1," mes"," meses"),"")</f>
      </c>
      <c r="I33" s="23">
        <f>IF(U33=1,IF(X33=1,INT(W33/20),V33),"")</f>
      </c>
      <c r="J33" s="22">
        <f>IF(U33=1,IF(X33=1,"Proporcional (art. 153)","Escala (art. 150)"),"")</f>
      </c>
      <c r="K33" s="23">
        <f>IF(U33=1,IF(E33="",I33,MIN(MAX(E33,0),I33)),"")</f>
      </c>
      <c r="L33" s="23">
        <f>IF(U33=1,I33-K33,"")</f>
      </c>
      <c r="M33" s="24">
        <f>IF(AND(U33=1,F33&lt;&gt;""),IF(K33&gt;0,F33+K33-1,""),"")</f>
      </c>
      <c r="N33" s="24">
        <f>IF(M33="","",M33+1)</f>
      </c>
      <c r="O33" s="24">
        <f>IF(AND(U33=1,F33&lt;&gt;""),F33-$E$3,"")</f>
      </c>
      <c r="P33" s="25">
        <f>IF(U33=1,D33/25,"")</f>
      </c>
      <c r="Q33" s="25">
        <f>IF(U33=1,P33*K33,"")</f>
      </c>
      <c r="R33" s="25">
        <f>IF(U33=1,(D33/25-D33/30)*K33,"")</f>
      </c>
      <c r="S33" s="22">
        <f>IF(OR(C33="",D33=""),"",IF(C33&gt;DATE($B$3,12,31),"Ingresa después del 31/12: no entra en este período",IF(I33=0,"Todavía no generó días de vacaciones (art. 153)",IF(F33="","Falta la fecha de inicio",IF(F33&lt;&gt;WORKDAY(F33-WEEKDAY(F33,2),1,'Feriados'!$A$5:$A$35),"Tiene que empezar un lunes (o el hábil siguiente si es feriado)",IF(AND(K33&lt;I33,OR(K33&lt;7,L33&lt;7)),"Cada tramo tiene que ser de 7 días o más",IF(OR(F33&lt;DATE($B$3,10,1),M33&gt;DATE($B$3+1,4,30)),"Fuera del 1/10 al 30/4: sólo con acuerdo por escrito",IF(G33="Sí","Notificado",IF($H$3&gt;O33,"Aviso fuera de plazo: notificá hoy o acordá otra fecha",IF(O33-$H$3&lt;=7,"Notificá ya: el plazo vence el "&amp;DAY(O33)&amp;"/"&amp;MONTH(O33)&amp;"/"&amp;YEAR(O33),"En regla: notificar hasta el "&amp;DAY(O33)&amp;"/"&amp;MONTH(O33)&amp;"/"&amp;YEAR(O33)))))))))))</f>
      </c>
      <c r="T33">
        <f>IF(OR(S33="Notificado",LEFT(S33,8)="En regla"),1,0)</f>
      </c>
      <c r="U33">
        <f>IF(OR(C33="",D33=""),0,IF(C33&gt;DATE($B$3,12,31),0,1))</f>
      </c>
      <c r="V33">
        <f>IF(U33=1,IF(C33&gt;=DATE($B$3-5,12,31),14,IF(C33&gt;=DATE($B$3-10,12,31),21,IF(C33&gt;=DATE($B$3-20,12,31),28,35))),"")</f>
      </c>
      <c r="W33">
        <f>IF(U33=1,IF(C33&gt;DATE($B$3,1,1),NETWORKDAYS(C33,DATE($B$3,12,31)),""),"")</f>
      </c>
      <c r="X33">
        <f>IF(U33=1,IF(W33="",0,IF(W33&lt;NETWORKDAYS(DATE($B$3,1,1),DATE($B$3,12,31))/2,1,0)),"")</f>
      </c>
    </row>
    <row r="34" spans="1:24" x14ac:dyDescent="0.25">
      <c r="A34" s="14">
        <v>29</v>
      </c>
      <c r="B34" s="15"/>
      <c r="C34" s="16"/>
      <c r="D34" s="17"/>
      <c r="E34" s="10"/>
      <c r="F34" s="16"/>
      <c r="G34" s="18" t="s">
        <v>48</v>
      </c>
      <c r="H34" s="19">
        <f>IF(U34=1,INT((($B$3-YEAR(C34))*12+12-MONTH(C34))/12)&amp;IF(INT((($B$3-YEAR(C34))*12+12-MONTH(C34))/12)=1," año"," años")&amp;" y "&amp;MOD((($B$3-YEAR(C34))*12+12-MONTH(C34)),12)&amp;IF(MOD((($B$3-YEAR(C34))*12+12-MONTH(C34)),12)=1," mes"," meses"),"")</f>
      </c>
      <c r="I34" s="20">
        <f>IF(U34=1,IF(X34=1,INT(W34/20),V34),"")</f>
      </c>
      <c r="J34" s="19">
        <f>IF(U34=1,IF(X34=1,"Proporcional (art. 153)","Escala (art. 150)"),"")</f>
      </c>
      <c r="K34" s="20">
        <f>IF(U34=1,IF(E34="",I34,MIN(MAX(E34,0),I34)),"")</f>
      </c>
      <c r="L34" s="20">
        <f>IF(U34=1,I34-K34,"")</f>
      </c>
      <c r="M34" s="11">
        <f>IF(AND(U34=1,F34&lt;&gt;""),IF(K34&gt;0,F34+K34-1,""),"")</f>
      </c>
      <c r="N34" s="11">
        <f>IF(M34="","",M34+1)</f>
      </c>
      <c r="O34" s="11">
        <f>IF(AND(U34=1,F34&lt;&gt;""),F34-$E$3,"")</f>
      </c>
      <c r="P34" s="21">
        <f>IF(U34=1,D34/25,"")</f>
      </c>
      <c r="Q34" s="21">
        <f>IF(U34=1,P34*K34,"")</f>
      </c>
      <c r="R34" s="21">
        <f>IF(U34=1,(D34/25-D34/30)*K34,"")</f>
      </c>
      <c r="S34" s="19">
        <f>IF(OR(C34="",D34=""),"",IF(C34&gt;DATE($B$3,12,31),"Ingresa después del 31/12: no entra en este período",IF(I34=0,"Todavía no generó días de vacaciones (art. 153)",IF(F34="","Falta la fecha de inicio",IF(F34&lt;&gt;WORKDAY(F34-WEEKDAY(F34,2),1,'Feriados'!$A$5:$A$35),"Tiene que empezar un lunes (o el hábil siguiente si es feriado)",IF(AND(K34&lt;I34,OR(K34&lt;7,L34&lt;7)),"Cada tramo tiene que ser de 7 días o más",IF(OR(F34&lt;DATE($B$3,10,1),M34&gt;DATE($B$3+1,4,30)),"Fuera del 1/10 al 30/4: sólo con acuerdo por escrito",IF(G34="Sí","Notificado",IF($H$3&gt;O34,"Aviso fuera de plazo: notificá hoy o acordá otra fecha",IF(O34-$H$3&lt;=7,"Notificá ya: el plazo vence el "&amp;DAY(O34)&amp;"/"&amp;MONTH(O34)&amp;"/"&amp;YEAR(O34),"En regla: notificar hasta el "&amp;DAY(O34)&amp;"/"&amp;MONTH(O34)&amp;"/"&amp;YEAR(O34)))))))))))</f>
      </c>
      <c r="T34">
        <f>IF(OR(S34="Notificado",LEFT(S34,8)="En regla"),1,0)</f>
      </c>
      <c r="U34">
        <f>IF(OR(C34="",D34=""),0,IF(C34&gt;DATE($B$3,12,31),0,1))</f>
      </c>
      <c r="V34">
        <f>IF(U34=1,IF(C34&gt;=DATE($B$3-5,12,31),14,IF(C34&gt;=DATE($B$3-10,12,31),21,IF(C34&gt;=DATE($B$3-20,12,31),28,35))),"")</f>
      </c>
      <c r="W34">
        <f>IF(U34=1,IF(C34&gt;DATE($B$3,1,1),NETWORKDAYS(C34,DATE($B$3,12,31)),""),"")</f>
      </c>
      <c r="X34">
        <f>IF(U34=1,IF(W34="",0,IF(W34&lt;NETWORKDAYS(DATE($B$3,1,1),DATE($B$3,12,31))/2,1,0)),"")</f>
      </c>
    </row>
    <row r="35" spans="1:24" x14ac:dyDescent="0.25">
      <c r="A35" s="14">
        <v>30</v>
      </c>
      <c r="B35" s="15"/>
      <c r="C35" s="16"/>
      <c r="D35" s="17"/>
      <c r="E35" s="10"/>
      <c r="F35" s="16"/>
      <c r="G35" s="18" t="s">
        <v>48</v>
      </c>
      <c r="H35" s="22">
        <f>IF(U35=1,INT((($B$3-YEAR(C35))*12+12-MONTH(C35))/12)&amp;IF(INT((($B$3-YEAR(C35))*12+12-MONTH(C35))/12)=1," año"," años")&amp;" y "&amp;MOD((($B$3-YEAR(C35))*12+12-MONTH(C35)),12)&amp;IF(MOD((($B$3-YEAR(C35))*12+12-MONTH(C35)),12)=1," mes"," meses"),"")</f>
      </c>
      <c r="I35" s="23">
        <f>IF(U35=1,IF(X35=1,INT(W35/20),V35),"")</f>
      </c>
      <c r="J35" s="22">
        <f>IF(U35=1,IF(X35=1,"Proporcional (art. 153)","Escala (art. 150)"),"")</f>
      </c>
      <c r="K35" s="23">
        <f>IF(U35=1,IF(E35="",I35,MIN(MAX(E35,0),I35)),"")</f>
      </c>
      <c r="L35" s="23">
        <f>IF(U35=1,I35-K35,"")</f>
      </c>
      <c r="M35" s="24">
        <f>IF(AND(U35=1,F35&lt;&gt;""),IF(K35&gt;0,F35+K35-1,""),"")</f>
      </c>
      <c r="N35" s="24">
        <f>IF(M35="","",M35+1)</f>
      </c>
      <c r="O35" s="24">
        <f>IF(AND(U35=1,F35&lt;&gt;""),F35-$E$3,"")</f>
      </c>
      <c r="P35" s="25">
        <f>IF(U35=1,D35/25,"")</f>
      </c>
      <c r="Q35" s="25">
        <f>IF(U35=1,P35*K35,"")</f>
      </c>
      <c r="R35" s="25">
        <f>IF(U35=1,(D35/25-D35/30)*K35,"")</f>
      </c>
      <c r="S35" s="22">
        <f>IF(OR(C35="",D35=""),"",IF(C35&gt;DATE($B$3,12,31),"Ingresa después del 31/12: no entra en este período",IF(I35=0,"Todavía no generó días de vacaciones (art. 153)",IF(F35="","Falta la fecha de inicio",IF(F35&lt;&gt;WORKDAY(F35-WEEKDAY(F35,2),1,'Feriados'!$A$5:$A$35),"Tiene que empezar un lunes (o el hábil siguiente si es feriado)",IF(AND(K35&lt;I35,OR(K35&lt;7,L35&lt;7)),"Cada tramo tiene que ser de 7 días o más",IF(OR(F35&lt;DATE($B$3,10,1),M35&gt;DATE($B$3+1,4,30)),"Fuera del 1/10 al 30/4: sólo con acuerdo por escrito",IF(G35="Sí","Notificado",IF($H$3&gt;O35,"Aviso fuera de plazo: notificá hoy o acordá otra fecha",IF(O35-$H$3&lt;=7,"Notificá ya: el plazo vence el "&amp;DAY(O35)&amp;"/"&amp;MONTH(O35)&amp;"/"&amp;YEAR(O35),"En regla: notificar hasta el "&amp;DAY(O35)&amp;"/"&amp;MONTH(O35)&amp;"/"&amp;YEAR(O35)))))))))))</f>
      </c>
      <c r="T35">
        <f>IF(OR(S35="Notificado",LEFT(S35,8)="En regla"),1,0)</f>
      </c>
      <c r="U35">
        <f>IF(OR(C35="",D35=""),0,IF(C35&gt;DATE($B$3,12,31),0,1))</f>
      </c>
      <c r="V35">
        <f>IF(U35=1,IF(C35&gt;=DATE($B$3-5,12,31),14,IF(C35&gt;=DATE($B$3-10,12,31),21,IF(C35&gt;=DATE($B$3-20,12,31),28,35))),"")</f>
      </c>
      <c r="W35">
        <f>IF(U35=1,IF(C35&gt;DATE($B$3,1,1),NETWORKDAYS(C35,DATE($B$3,12,31)),""),"")</f>
      </c>
      <c r="X35">
        <f>IF(U35=1,IF(W35="",0,IF(W35&lt;NETWORKDAYS(DATE($B$3,1,1),DATE($B$3,12,31))/2,1,0)),"")</f>
      </c>
    </row>
    <row r="36" spans="1:24" x14ac:dyDescent="0.25">
      <c r="A36" s="14">
        <v>31</v>
      </c>
      <c r="B36" s="15"/>
      <c r="C36" s="16"/>
      <c r="D36" s="17"/>
      <c r="E36" s="10"/>
      <c r="F36" s="16"/>
      <c r="G36" s="18" t="s">
        <v>48</v>
      </c>
      <c r="H36" s="19">
        <f>IF(U36=1,INT((($B$3-YEAR(C36))*12+12-MONTH(C36))/12)&amp;IF(INT((($B$3-YEAR(C36))*12+12-MONTH(C36))/12)=1," año"," años")&amp;" y "&amp;MOD((($B$3-YEAR(C36))*12+12-MONTH(C36)),12)&amp;IF(MOD((($B$3-YEAR(C36))*12+12-MONTH(C36)),12)=1," mes"," meses"),"")</f>
      </c>
      <c r="I36" s="20">
        <f>IF(U36=1,IF(X36=1,INT(W36/20),V36),"")</f>
      </c>
      <c r="J36" s="19">
        <f>IF(U36=1,IF(X36=1,"Proporcional (art. 153)","Escala (art. 150)"),"")</f>
      </c>
      <c r="K36" s="20">
        <f>IF(U36=1,IF(E36="",I36,MIN(MAX(E36,0),I36)),"")</f>
      </c>
      <c r="L36" s="20">
        <f>IF(U36=1,I36-K36,"")</f>
      </c>
      <c r="M36" s="11">
        <f>IF(AND(U36=1,F36&lt;&gt;""),IF(K36&gt;0,F36+K36-1,""),"")</f>
      </c>
      <c r="N36" s="11">
        <f>IF(M36="","",M36+1)</f>
      </c>
      <c r="O36" s="11">
        <f>IF(AND(U36=1,F36&lt;&gt;""),F36-$E$3,"")</f>
      </c>
      <c r="P36" s="21">
        <f>IF(U36=1,D36/25,"")</f>
      </c>
      <c r="Q36" s="21">
        <f>IF(U36=1,P36*K36,"")</f>
      </c>
      <c r="R36" s="21">
        <f>IF(U36=1,(D36/25-D36/30)*K36,"")</f>
      </c>
      <c r="S36" s="19">
        <f>IF(OR(C36="",D36=""),"",IF(C36&gt;DATE($B$3,12,31),"Ingresa después del 31/12: no entra en este período",IF(I36=0,"Todavía no generó días de vacaciones (art. 153)",IF(F36="","Falta la fecha de inicio",IF(F36&lt;&gt;WORKDAY(F36-WEEKDAY(F36,2),1,'Feriados'!$A$5:$A$35),"Tiene que empezar un lunes (o el hábil siguiente si es feriado)",IF(AND(K36&lt;I36,OR(K36&lt;7,L36&lt;7)),"Cada tramo tiene que ser de 7 días o más",IF(OR(F36&lt;DATE($B$3,10,1),M36&gt;DATE($B$3+1,4,30)),"Fuera del 1/10 al 30/4: sólo con acuerdo por escrito",IF(G36="Sí","Notificado",IF($H$3&gt;O36,"Aviso fuera de plazo: notificá hoy o acordá otra fecha",IF(O36-$H$3&lt;=7,"Notificá ya: el plazo vence el "&amp;DAY(O36)&amp;"/"&amp;MONTH(O36)&amp;"/"&amp;YEAR(O36),"En regla: notificar hasta el "&amp;DAY(O36)&amp;"/"&amp;MONTH(O36)&amp;"/"&amp;YEAR(O36)))))))))))</f>
      </c>
      <c r="T36">
        <f>IF(OR(S36="Notificado",LEFT(S36,8)="En regla"),1,0)</f>
      </c>
      <c r="U36">
        <f>IF(OR(C36="",D36=""),0,IF(C36&gt;DATE($B$3,12,31),0,1))</f>
      </c>
      <c r="V36">
        <f>IF(U36=1,IF(C36&gt;=DATE($B$3-5,12,31),14,IF(C36&gt;=DATE($B$3-10,12,31),21,IF(C36&gt;=DATE($B$3-20,12,31),28,35))),"")</f>
      </c>
      <c r="W36">
        <f>IF(U36=1,IF(C36&gt;DATE($B$3,1,1),NETWORKDAYS(C36,DATE($B$3,12,31)),""),"")</f>
      </c>
      <c r="X36">
        <f>IF(U36=1,IF(W36="",0,IF(W36&lt;NETWORKDAYS(DATE($B$3,1,1),DATE($B$3,12,31))/2,1,0)),"")</f>
      </c>
    </row>
    <row r="37" spans="1:24" x14ac:dyDescent="0.25">
      <c r="A37" s="14">
        <v>32</v>
      </c>
      <c r="B37" s="15"/>
      <c r="C37" s="16"/>
      <c r="D37" s="17"/>
      <c r="E37" s="10"/>
      <c r="F37" s="16"/>
      <c r="G37" s="18" t="s">
        <v>48</v>
      </c>
      <c r="H37" s="22">
        <f>IF(U37=1,INT((($B$3-YEAR(C37))*12+12-MONTH(C37))/12)&amp;IF(INT((($B$3-YEAR(C37))*12+12-MONTH(C37))/12)=1," año"," años")&amp;" y "&amp;MOD((($B$3-YEAR(C37))*12+12-MONTH(C37)),12)&amp;IF(MOD((($B$3-YEAR(C37))*12+12-MONTH(C37)),12)=1," mes"," meses"),"")</f>
      </c>
      <c r="I37" s="23">
        <f>IF(U37=1,IF(X37=1,INT(W37/20),V37),"")</f>
      </c>
      <c r="J37" s="22">
        <f>IF(U37=1,IF(X37=1,"Proporcional (art. 153)","Escala (art. 150)"),"")</f>
      </c>
      <c r="K37" s="23">
        <f>IF(U37=1,IF(E37="",I37,MIN(MAX(E37,0),I37)),"")</f>
      </c>
      <c r="L37" s="23">
        <f>IF(U37=1,I37-K37,"")</f>
      </c>
      <c r="M37" s="24">
        <f>IF(AND(U37=1,F37&lt;&gt;""),IF(K37&gt;0,F37+K37-1,""),"")</f>
      </c>
      <c r="N37" s="24">
        <f>IF(M37="","",M37+1)</f>
      </c>
      <c r="O37" s="24">
        <f>IF(AND(U37=1,F37&lt;&gt;""),F37-$E$3,"")</f>
      </c>
      <c r="P37" s="25">
        <f>IF(U37=1,D37/25,"")</f>
      </c>
      <c r="Q37" s="25">
        <f>IF(U37=1,P37*K37,"")</f>
      </c>
      <c r="R37" s="25">
        <f>IF(U37=1,(D37/25-D37/30)*K37,"")</f>
      </c>
      <c r="S37" s="22">
        <f>IF(OR(C37="",D37=""),"",IF(C37&gt;DATE($B$3,12,31),"Ingresa después del 31/12: no entra en este período",IF(I37=0,"Todavía no generó días de vacaciones (art. 153)",IF(F37="","Falta la fecha de inicio",IF(F37&lt;&gt;WORKDAY(F37-WEEKDAY(F37,2),1,'Feriados'!$A$5:$A$35),"Tiene que empezar un lunes (o el hábil siguiente si es feriado)",IF(AND(K37&lt;I37,OR(K37&lt;7,L37&lt;7)),"Cada tramo tiene que ser de 7 días o más",IF(OR(F37&lt;DATE($B$3,10,1),M37&gt;DATE($B$3+1,4,30)),"Fuera del 1/10 al 30/4: sólo con acuerdo por escrito",IF(G37="Sí","Notificado",IF($H$3&gt;O37,"Aviso fuera de plazo: notificá hoy o acordá otra fecha",IF(O37-$H$3&lt;=7,"Notificá ya: el plazo vence el "&amp;DAY(O37)&amp;"/"&amp;MONTH(O37)&amp;"/"&amp;YEAR(O37),"En regla: notificar hasta el "&amp;DAY(O37)&amp;"/"&amp;MONTH(O37)&amp;"/"&amp;YEAR(O37)))))))))))</f>
      </c>
      <c r="T37">
        <f>IF(OR(S37="Notificado",LEFT(S37,8)="En regla"),1,0)</f>
      </c>
      <c r="U37">
        <f>IF(OR(C37="",D37=""),0,IF(C37&gt;DATE($B$3,12,31),0,1))</f>
      </c>
      <c r="V37">
        <f>IF(U37=1,IF(C37&gt;=DATE($B$3-5,12,31),14,IF(C37&gt;=DATE($B$3-10,12,31),21,IF(C37&gt;=DATE($B$3-20,12,31),28,35))),"")</f>
      </c>
      <c r="W37">
        <f>IF(U37=1,IF(C37&gt;DATE($B$3,1,1),NETWORKDAYS(C37,DATE($B$3,12,31)),""),"")</f>
      </c>
      <c r="X37">
        <f>IF(U37=1,IF(W37="",0,IF(W37&lt;NETWORKDAYS(DATE($B$3,1,1),DATE($B$3,12,31))/2,1,0)),"")</f>
      </c>
    </row>
    <row r="38" spans="1:24" x14ac:dyDescent="0.25">
      <c r="A38" s="14">
        <v>33</v>
      </c>
      <c r="B38" s="15"/>
      <c r="C38" s="16"/>
      <c r="D38" s="17"/>
      <c r="E38" s="10"/>
      <c r="F38" s="16"/>
      <c r="G38" s="18" t="s">
        <v>48</v>
      </c>
      <c r="H38" s="19">
        <f>IF(U38=1,INT((($B$3-YEAR(C38))*12+12-MONTH(C38))/12)&amp;IF(INT((($B$3-YEAR(C38))*12+12-MONTH(C38))/12)=1," año"," años")&amp;" y "&amp;MOD((($B$3-YEAR(C38))*12+12-MONTH(C38)),12)&amp;IF(MOD((($B$3-YEAR(C38))*12+12-MONTH(C38)),12)=1," mes"," meses"),"")</f>
      </c>
      <c r="I38" s="20">
        <f>IF(U38=1,IF(X38=1,INT(W38/20),V38),"")</f>
      </c>
      <c r="J38" s="19">
        <f>IF(U38=1,IF(X38=1,"Proporcional (art. 153)","Escala (art. 150)"),"")</f>
      </c>
      <c r="K38" s="20">
        <f>IF(U38=1,IF(E38="",I38,MIN(MAX(E38,0),I38)),"")</f>
      </c>
      <c r="L38" s="20">
        <f>IF(U38=1,I38-K38,"")</f>
      </c>
      <c r="M38" s="11">
        <f>IF(AND(U38=1,F38&lt;&gt;""),IF(K38&gt;0,F38+K38-1,""),"")</f>
      </c>
      <c r="N38" s="11">
        <f>IF(M38="","",M38+1)</f>
      </c>
      <c r="O38" s="11">
        <f>IF(AND(U38=1,F38&lt;&gt;""),F38-$E$3,"")</f>
      </c>
      <c r="P38" s="21">
        <f>IF(U38=1,D38/25,"")</f>
      </c>
      <c r="Q38" s="21">
        <f>IF(U38=1,P38*K38,"")</f>
      </c>
      <c r="R38" s="21">
        <f>IF(U38=1,(D38/25-D38/30)*K38,"")</f>
      </c>
      <c r="S38" s="19">
        <f>IF(OR(C38="",D38=""),"",IF(C38&gt;DATE($B$3,12,31),"Ingresa después del 31/12: no entra en este período",IF(I38=0,"Todavía no generó días de vacaciones (art. 153)",IF(F38="","Falta la fecha de inicio",IF(F38&lt;&gt;WORKDAY(F38-WEEKDAY(F38,2),1,'Feriados'!$A$5:$A$35),"Tiene que empezar un lunes (o el hábil siguiente si es feriado)",IF(AND(K38&lt;I38,OR(K38&lt;7,L38&lt;7)),"Cada tramo tiene que ser de 7 días o más",IF(OR(F38&lt;DATE($B$3,10,1),M38&gt;DATE($B$3+1,4,30)),"Fuera del 1/10 al 30/4: sólo con acuerdo por escrito",IF(G38="Sí","Notificado",IF($H$3&gt;O38,"Aviso fuera de plazo: notificá hoy o acordá otra fecha",IF(O38-$H$3&lt;=7,"Notificá ya: el plazo vence el "&amp;DAY(O38)&amp;"/"&amp;MONTH(O38)&amp;"/"&amp;YEAR(O38),"En regla: notificar hasta el "&amp;DAY(O38)&amp;"/"&amp;MONTH(O38)&amp;"/"&amp;YEAR(O38)))))))))))</f>
      </c>
      <c r="T38">
        <f>IF(OR(S38="Notificado",LEFT(S38,8)="En regla"),1,0)</f>
      </c>
      <c r="U38">
        <f>IF(OR(C38="",D38=""),0,IF(C38&gt;DATE($B$3,12,31),0,1))</f>
      </c>
      <c r="V38">
        <f>IF(U38=1,IF(C38&gt;=DATE($B$3-5,12,31),14,IF(C38&gt;=DATE($B$3-10,12,31),21,IF(C38&gt;=DATE($B$3-20,12,31),28,35))),"")</f>
      </c>
      <c r="W38">
        <f>IF(U38=1,IF(C38&gt;DATE($B$3,1,1),NETWORKDAYS(C38,DATE($B$3,12,31)),""),"")</f>
      </c>
      <c r="X38">
        <f>IF(U38=1,IF(W38="",0,IF(W38&lt;NETWORKDAYS(DATE($B$3,1,1),DATE($B$3,12,31))/2,1,0)),"")</f>
      </c>
    </row>
    <row r="39" spans="1:24" x14ac:dyDescent="0.25">
      <c r="A39" s="14">
        <v>34</v>
      </c>
      <c r="B39" s="15"/>
      <c r="C39" s="16"/>
      <c r="D39" s="17"/>
      <c r="E39" s="10"/>
      <c r="F39" s="16"/>
      <c r="G39" s="18" t="s">
        <v>48</v>
      </c>
      <c r="H39" s="22">
        <f>IF(U39=1,INT((($B$3-YEAR(C39))*12+12-MONTH(C39))/12)&amp;IF(INT((($B$3-YEAR(C39))*12+12-MONTH(C39))/12)=1," año"," años")&amp;" y "&amp;MOD((($B$3-YEAR(C39))*12+12-MONTH(C39)),12)&amp;IF(MOD((($B$3-YEAR(C39))*12+12-MONTH(C39)),12)=1," mes"," meses"),"")</f>
      </c>
      <c r="I39" s="23">
        <f>IF(U39=1,IF(X39=1,INT(W39/20),V39),"")</f>
      </c>
      <c r="J39" s="22">
        <f>IF(U39=1,IF(X39=1,"Proporcional (art. 153)","Escala (art. 150)"),"")</f>
      </c>
      <c r="K39" s="23">
        <f>IF(U39=1,IF(E39="",I39,MIN(MAX(E39,0),I39)),"")</f>
      </c>
      <c r="L39" s="23">
        <f>IF(U39=1,I39-K39,"")</f>
      </c>
      <c r="M39" s="24">
        <f>IF(AND(U39=1,F39&lt;&gt;""),IF(K39&gt;0,F39+K39-1,""),"")</f>
      </c>
      <c r="N39" s="24">
        <f>IF(M39="","",M39+1)</f>
      </c>
      <c r="O39" s="24">
        <f>IF(AND(U39=1,F39&lt;&gt;""),F39-$E$3,"")</f>
      </c>
      <c r="P39" s="25">
        <f>IF(U39=1,D39/25,"")</f>
      </c>
      <c r="Q39" s="25">
        <f>IF(U39=1,P39*K39,"")</f>
      </c>
      <c r="R39" s="25">
        <f>IF(U39=1,(D39/25-D39/30)*K39,"")</f>
      </c>
      <c r="S39" s="22">
        <f>IF(OR(C39="",D39=""),"",IF(C39&gt;DATE($B$3,12,31),"Ingresa después del 31/12: no entra en este período",IF(I39=0,"Todavía no generó días de vacaciones (art. 153)",IF(F39="","Falta la fecha de inicio",IF(F39&lt;&gt;WORKDAY(F39-WEEKDAY(F39,2),1,'Feriados'!$A$5:$A$35),"Tiene que empezar un lunes (o el hábil siguiente si es feriado)",IF(AND(K39&lt;I39,OR(K39&lt;7,L39&lt;7)),"Cada tramo tiene que ser de 7 días o más",IF(OR(F39&lt;DATE($B$3,10,1),M39&gt;DATE($B$3+1,4,30)),"Fuera del 1/10 al 30/4: sólo con acuerdo por escrito",IF(G39="Sí","Notificado",IF($H$3&gt;O39,"Aviso fuera de plazo: notificá hoy o acordá otra fecha",IF(O39-$H$3&lt;=7,"Notificá ya: el plazo vence el "&amp;DAY(O39)&amp;"/"&amp;MONTH(O39)&amp;"/"&amp;YEAR(O39),"En regla: notificar hasta el "&amp;DAY(O39)&amp;"/"&amp;MONTH(O39)&amp;"/"&amp;YEAR(O39)))))))))))</f>
      </c>
      <c r="T39">
        <f>IF(OR(S39="Notificado",LEFT(S39,8)="En regla"),1,0)</f>
      </c>
      <c r="U39">
        <f>IF(OR(C39="",D39=""),0,IF(C39&gt;DATE($B$3,12,31),0,1))</f>
      </c>
      <c r="V39">
        <f>IF(U39=1,IF(C39&gt;=DATE($B$3-5,12,31),14,IF(C39&gt;=DATE($B$3-10,12,31),21,IF(C39&gt;=DATE($B$3-20,12,31),28,35))),"")</f>
      </c>
      <c r="W39">
        <f>IF(U39=1,IF(C39&gt;DATE($B$3,1,1),NETWORKDAYS(C39,DATE($B$3,12,31)),""),"")</f>
      </c>
      <c r="X39">
        <f>IF(U39=1,IF(W39="",0,IF(W39&lt;NETWORKDAYS(DATE($B$3,1,1),DATE($B$3,12,31))/2,1,0)),"")</f>
      </c>
    </row>
    <row r="40" spans="1:24" x14ac:dyDescent="0.25">
      <c r="A40" s="14">
        <v>35</v>
      </c>
      <c r="B40" s="15"/>
      <c r="C40" s="16"/>
      <c r="D40" s="17"/>
      <c r="E40" s="10"/>
      <c r="F40" s="16"/>
      <c r="G40" s="18" t="s">
        <v>48</v>
      </c>
      <c r="H40" s="19">
        <f>IF(U40=1,INT((($B$3-YEAR(C40))*12+12-MONTH(C40))/12)&amp;IF(INT((($B$3-YEAR(C40))*12+12-MONTH(C40))/12)=1," año"," años")&amp;" y "&amp;MOD((($B$3-YEAR(C40))*12+12-MONTH(C40)),12)&amp;IF(MOD((($B$3-YEAR(C40))*12+12-MONTH(C40)),12)=1," mes"," meses"),"")</f>
      </c>
      <c r="I40" s="20">
        <f>IF(U40=1,IF(X40=1,INT(W40/20),V40),"")</f>
      </c>
      <c r="J40" s="19">
        <f>IF(U40=1,IF(X40=1,"Proporcional (art. 153)","Escala (art. 150)"),"")</f>
      </c>
      <c r="K40" s="20">
        <f>IF(U40=1,IF(E40="",I40,MIN(MAX(E40,0),I40)),"")</f>
      </c>
      <c r="L40" s="20">
        <f>IF(U40=1,I40-K40,"")</f>
      </c>
      <c r="M40" s="11">
        <f>IF(AND(U40=1,F40&lt;&gt;""),IF(K40&gt;0,F40+K40-1,""),"")</f>
      </c>
      <c r="N40" s="11">
        <f>IF(M40="","",M40+1)</f>
      </c>
      <c r="O40" s="11">
        <f>IF(AND(U40=1,F40&lt;&gt;""),F40-$E$3,"")</f>
      </c>
      <c r="P40" s="21">
        <f>IF(U40=1,D40/25,"")</f>
      </c>
      <c r="Q40" s="21">
        <f>IF(U40=1,P40*K40,"")</f>
      </c>
      <c r="R40" s="21">
        <f>IF(U40=1,(D40/25-D40/30)*K40,"")</f>
      </c>
      <c r="S40" s="19">
        <f>IF(OR(C40="",D40=""),"",IF(C40&gt;DATE($B$3,12,31),"Ingresa después del 31/12: no entra en este período",IF(I40=0,"Todavía no generó días de vacaciones (art. 153)",IF(F40="","Falta la fecha de inicio",IF(F40&lt;&gt;WORKDAY(F40-WEEKDAY(F40,2),1,'Feriados'!$A$5:$A$35),"Tiene que empezar un lunes (o el hábil siguiente si es feriado)",IF(AND(K40&lt;I40,OR(K40&lt;7,L40&lt;7)),"Cada tramo tiene que ser de 7 días o más",IF(OR(F40&lt;DATE($B$3,10,1),M40&gt;DATE($B$3+1,4,30)),"Fuera del 1/10 al 30/4: sólo con acuerdo por escrito",IF(G40="Sí","Notificado",IF($H$3&gt;O40,"Aviso fuera de plazo: notificá hoy o acordá otra fecha",IF(O40-$H$3&lt;=7,"Notificá ya: el plazo vence el "&amp;DAY(O40)&amp;"/"&amp;MONTH(O40)&amp;"/"&amp;YEAR(O40),"En regla: notificar hasta el "&amp;DAY(O40)&amp;"/"&amp;MONTH(O40)&amp;"/"&amp;YEAR(O40)))))))))))</f>
      </c>
      <c r="T40">
        <f>IF(OR(S40="Notificado",LEFT(S40,8)="En regla"),1,0)</f>
      </c>
      <c r="U40">
        <f>IF(OR(C40="",D40=""),0,IF(C40&gt;DATE($B$3,12,31),0,1))</f>
      </c>
      <c r="V40">
        <f>IF(U40=1,IF(C40&gt;=DATE($B$3-5,12,31),14,IF(C40&gt;=DATE($B$3-10,12,31),21,IF(C40&gt;=DATE($B$3-20,12,31),28,35))),"")</f>
      </c>
      <c r="W40">
        <f>IF(U40=1,IF(C40&gt;DATE($B$3,1,1),NETWORKDAYS(C40,DATE($B$3,12,31)),""),"")</f>
      </c>
      <c r="X40">
        <f>IF(U40=1,IF(W40="",0,IF(W40&lt;NETWORKDAYS(DATE($B$3,1,1),DATE($B$3,12,31))/2,1,0)),"")</f>
      </c>
    </row>
    <row r="41" spans="1:24" x14ac:dyDescent="0.25">
      <c r="A41" s="14">
        <v>36</v>
      </c>
      <c r="B41" s="15"/>
      <c r="C41" s="16"/>
      <c r="D41" s="17"/>
      <c r="E41" s="10"/>
      <c r="F41" s="16"/>
      <c r="G41" s="18" t="s">
        <v>48</v>
      </c>
      <c r="H41" s="22">
        <f>IF(U41=1,INT((($B$3-YEAR(C41))*12+12-MONTH(C41))/12)&amp;IF(INT((($B$3-YEAR(C41))*12+12-MONTH(C41))/12)=1," año"," años")&amp;" y "&amp;MOD((($B$3-YEAR(C41))*12+12-MONTH(C41)),12)&amp;IF(MOD((($B$3-YEAR(C41))*12+12-MONTH(C41)),12)=1," mes"," meses"),"")</f>
      </c>
      <c r="I41" s="23">
        <f>IF(U41=1,IF(X41=1,INT(W41/20),V41),"")</f>
      </c>
      <c r="J41" s="22">
        <f>IF(U41=1,IF(X41=1,"Proporcional (art. 153)","Escala (art. 150)"),"")</f>
      </c>
      <c r="K41" s="23">
        <f>IF(U41=1,IF(E41="",I41,MIN(MAX(E41,0),I41)),"")</f>
      </c>
      <c r="L41" s="23">
        <f>IF(U41=1,I41-K41,"")</f>
      </c>
      <c r="M41" s="24">
        <f>IF(AND(U41=1,F41&lt;&gt;""),IF(K41&gt;0,F41+K41-1,""),"")</f>
      </c>
      <c r="N41" s="24">
        <f>IF(M41="","",M41+1)</f>
      </c>
      <c r="O41" s="24">
        <f>IF(AND(U41=1,F41&lt;&gt;""),F41-$E$3,"")</f>
      </c>
      <c r="P41" s="25">
        <f>IF(U41=1,D41/25,"")</f>
      </c>
      <c r="Q41" s="25">
        <f>IF(U41=1,P41*K41,"")</f>
      </c>
      <c r="R41" s="25">
        <f>IF(U41=1,(D41/25-D41/30)*K41,"")</f>
      </c>
      <c r="S41" s="22">
        <f>IF(OR(C41="",D41=""),"",IF(C41&gt;DATE($B$3,12,31),"Ingresa después del 31/12: no entra en este período",IF(I41=0,"Todavía no generó días de vacaciones (art. 153)",IF(F41="","Falta la fecha de inicio",IF(F41&lt;&gt;WORKDAY(F41-WEEKDAY(F41,2),1,'Feriados'!$A$5:$A$35),"Tiene que empezar un lunes (o el hábil siguiente si es feriado)",IF(AND(K41&lt;I41,OR(K41&lt;7,L41&lt;7)),"Cada tramo tiene que ser de 7 días o más",IF(OR(F41&lt;DATE($B$3,10,1),M41&gt;DATE($B$3+1,4,30)),"Fuera del 1/10 al 30/4: sólo con acuerdo por escrito",IF(G41="Sí","Notificado",IF($H$3&gt;O41,"Aviso fuera de plazo: notificá hoy o acordá otra fecha",IF(O41-$H$3&lt;=7,"Notificá ya: el plazo vence el "&amp;DAY(O41)&amp;"/"&amp;MONTH(O41)&amp;"/"&amp;YEAR(O41),"En regla: notificar hasta el "&amp;DAY(O41)&amp;"/"&amp;MONTH(O41)&amp;"/"&amp;YEAR(O41)))))))))))</f>
      </c>
      <c r="T41">
        <f>IF(OR(S41="Notificado",LEFT(S41,8)="En regla"),1,0)</f>
      </c>
      <c r="U41">
        <f>IF(OR(C41="",D41=""),0,IF(C41&gt;DATE($B$3,12,31),0,1))</f>
      </c>
      <c r="V41">
        <f>IF(U41=1,IF(C41&gt;=DATE($B$3-5,12,31),14,IF(C41&gt;=DATE($B$3-10,12,31),21,IF(C41&gt;=DATE($B$3-20,12,31),28,35))),"")</f>
      </c>
      <c r="W41">
        <f>IF(U41=1,IF(C41&gt;DATE($B$3,1,1),NETWORKDAYS(C41,DATE($B$3,12,31)),""),"")</f>
      </c>
      <c r="X41">
        <f>IF(U41=1,IF(W41="",0,IF(W41&lt;NETWORKDAYS(DATE($B$3,1,1),DATE($B$3,12,31))/2,1,0)),"")</f>
      </c>
    </row>
    <row r="42" spans="1:24" x14ac:dyDescent="0.25">
      <c r="A42" s="14">
        <v>37</v>
      </c>
      <c r="B42" s="15"/>
      <c r="C42" s="16"/>
      <c r="D42" s="17"/>
      <c r="E42" s="10"/>
      <c r="F42" s="16"/>
      <c r="G42" s="18" t="s">
        <v>48</v>
      </c>
      <c r="H42" s="19">
        <f>IF(U42=1,INT((($B$3-YEAR(C42))*12+12-MONTH(C42))/12)&amp;IF(INT((($B$3-YEAR(C42))*12+12-MONTH(C42))/12)=1," año"," años")&amp;" y "&amp;MOD((($B$3-YEAR(C42))*12+12-MONTH(C42)),12)&amp;IF(MOD((($B$3-YEAR(C42))*12+12-MONTH(C42)),12)=1," mes"," meses"),"")</f>
      </c>
      <c r="I42" s="20">
        <f>IF(U42=1,IF(X42=1,INT(W42/20),V42),"")</f>
      </c>
      <c r="J42" s="19">
        <f>IF(U42=1,IF(X42=1,"Proporcional (art. 153)","Escala (art. 150)"),"")</f>
      </c>
      <c r="K42" s="20">
        <f>IF(U42=1,IF(E42="",I42,MIN(MAX(E42,0),I42)),"")</f>
      </c>
      <c r="L42" s="20">
        <f>IF(U42=1,I42-K42,"")</f>
      </c>
      <c r="M42" s="11">
        <f>IF(AND(U42=1,F42&lt;&gt;""),IF(K42&gt;0,F42+K42-1,""),"")</f>
      </c>
      <c r="N42" s="11">
        <f>IF(M42="","",M42+1)</f>
      </c>
      <c r="O42" s="11">
        <f>IF(AND(U42=1,F42&lt;&gt;""),F42-$E$3,"")</f>
      </c>
      <c r="P42" s="21">
        <f>IF(U42=1,D42/25,"")</f>
      </c>
      <c r="Q42" s="21">
        <f>IF(U42=1,P42*K42,"")</f>
      </c>
      <c r="R42" s="21">
        <f>IF(U42=1,(D42/25-D42/30)*K42,"")</f>
      </c>
      <c r="S42" s="19">
        <f>IF(OR(C42="",D42=""),"",IF(C42&gt;DATE($B$3,12,31),"Ingresa después del 31/12: no entra en este período",IF(I42=0,"Todavía no generó días de vacaciones (art. 153)",IF(F42="","Falta la fecha de inicio",IF(F42&lt;&gt;WORKDAY(F42-WEEKDAY(F42,2),1,'Feriados'!$A$5:$A$35),"Tiene que empezar un lunes (o el hábil siguiente si es feriado)",IF(AND(K42&lt;I42,OR(K42&lt;7,L42&lt;7)),"Cada tramo tiene que ser de 7 días o más",IF(OR(F42&lt;DATE($B$3,10,1),M42&gt;DATE($B$3+1,4,30)),"Fuera del 1/10 al 30/4: sólo con acuerdo por escrito",IF(G42="Sí","Notificado",IF($H$3&gt;O42,"Aviso fuera de plazo: notificá hoy o acordá otra fecha",IF(O42-$H$3&lt;=7,"Notificá ya: el plazo vence el "&amp;DAY(O42)&amp;"/"&amp;MONTH(O42)&amp;"/"&amp;YEAR(O42),"En regla: notificar hasta el "&amp;DAY(O42)&amp;"/"&amp;MONTH(O42)&amp;"/"&amp;YEAR(O42)))))))))))</f>
      </c>
      <c r="T42">
        <f>IF(OR(S42="Notificado",LEFT(S42,8)="En regla"),1,0)</f>
      </c>
      <c r="U42">
        <f>IF(OR(C42="",D42=""),0,IF(C42&gt;DATE($B$3,12,31),0,1))</f>
      </c>
      <c r="V42">
        <f>IF(U42=1,IF(C42&gt;=DATE($B$3-5,12,31),14,IF(C42&gt;=DATE($B$3-10,12,31),21,IF(C42&gt;=DATE($B$3-20,12,31),28,35))),"")</f>
      </c>
      <c r="W42">
        <f>IF(U42=1,IF(C42&gt;DATE($B$3,1,1),NETWORKDAYS(C42,DATE($B$3,12,31)),""),"")</f>
      </c>
      <c r="X42">
        <f>IF(U42=1,IF(W42="",0,IF(W42&lt;NETWORKDAYS(DATE($B$3,1,1),DATE($B$3,12,31))/2,1,0)),"")</f>
      </c>
    </row>
    <row r="43" spans="1:24" x14ac:dyDescent="0.25">
      <c r="A43" s="14">
        <v>38</v>
      </c>
      <c r="B43" s="15"/>
      <c r="C43" s="16"/>
      <c r="D43" s="17"/>
      <c r="E43" s="10"/>
      <c r="F43" s="16"/>
      <c r="G43" s="18" t="s">
        <v>48</v>
      </c>
      <c r="H43" s="22">
        <f>IF(U43=1,INT((($B$3-YEAR(C43))*12+12-MONTH(C43))/12)&amp;IF(INT((($B$3-YEAR(C43))*12+12-MONTH(C43))/12)=1," año"," años")&amp;" y "&amp;MOD((($B$3-YEAR(C43))*12+12-MONTH(C43)),12)&amp;IF(MOD((($B$3-YEAR(C43))*12+12-MONTH(C43)),12)=1," mes"," meses"),"")</f>
      </c>
      <c r="I43" s="23">
        <f>IF(U43=1,IF(X43=1,INT(W43/20),V43),"")</f>
      </c>
      <c r="J43" s="22">
        <f>IF(U43=1,IF(X43=1,"Proporcional (art. 153)","Escala (art. 150)"),"")</f>
      </c>
      <c r="K43" s="23">
        <f>IF(U43=1,IF(E43="",I43,MIN(MAX(E43,0),I43)),"")</f>
      </c>
      <c r="L43" s="23">
        <f>IF(U43=1,I43-K43,"")</f>
      </c>
      <c r="M43" s="24">
        <f>IF(AND(U43=1,F43&lt;&gt;""),IF(K43&gt;0,F43+K43-1,""),"")</f>
      </c>
      <c r="N43" s="24">
        <f>IF(M43="","",M43+1)</f>
      </c>
      <c r="O43" s="24">
        <f>IF(AND(U43=1,F43&lt;&gt;""),F43-$E$3,"")</f>
      </c>
      <c r="P43" s="25">
        <f>IF(U43=1,D43/25,"")</f>
      </c>
      <c r="Q43" s="25">
        <f>IF(U43=1,P43*K43,"")</f>
      </c>
      <c r="R43" s="25">
        <f>IF(U43=1,(D43/25-D43/30)*K43,"")</f>
      </c>
      <c r="S43" s="22">
        <f>IF(OR(C43="",D43=""),"",IF(C43&gt;DATE($B$3,12,31),"Ingresa después del 31/12: no entra en este período",IF(I43=0,"Todavía no generó días de vacaciones (art. 153)",IF(F43="","Falta la fecha de inicio",IF(F43&lt;&gt;WORKDAY(F43-WEEKDAY(F43,2),1,'Feriados'!$A$5:$A$35),"Tiene que empezar un lunes (o el hábil siguiente si es feriado)",IF(AND(K43&lt;I43,OR(K43&lt;7,L43&lt;7)),"Cada tramo tiene que ser de 7 días o más",IF(OR(F43&lt;DATE($B$3,10,1),M43&gt;DATE($B$3+1,4,30)),"Fuera del 1/10 al 30/4: sólo con acuerdo por escrito",IF(G43="Sí","Notificado",IF($H$3&gt;O43,"Aviso fuera de plazo: notificá hoy o acordá otra fecha",IF(O43-$H$3&lt;=7,"Notificá ya: el plazo vence el "&amp;DAY(O43)&amp;"/"&amp;MONTH(O43)&amp;"/"&amp;YEAR(O43),"En regla: notificar hasta el "&amp;DAY(O43)&amp;"/"&amp;MONTH(O43)&amp;"/"&amp;YEAR(O43)))))))))))</f>
      </c>
      <c r="T43">
        <f>IF(OR(S43="Notificado",LEFT(S43,8)="En regla"),1,0)</f>
      </c>
      <c r="U43">
        <f>IF(OR(C43="",D43=""),0,IF(C43&gt;DATE($B$3,12,31),0,1))</f>
      </c>
      <c r="V43">
        <f>IF(U43=1,IF(C43&gt;=DATE($B$3-5,12,31),14,IF(C43&gt;=DATE($B$3-10,12,31),21,IF(C43&gt;=DATE($B$3-20,12,31),28,35))),"")</f>
      </c>
      <c r="W43">
        <f>IF(U43=1,IF(C43&gt;DATE($B$3,1,1),NETWORKDAYS(C43,DATE($B$3,12,31)),""),"")</f>
      </c>
      <c r="X43">
        <f>IF(U43=1,IF(W43="",0,IF(W43&lt;NETWORKDAYS(DATE($B$3,1,1),DATE($B$3,12,31))/2,1,0)),"")</f>
      </c>
    </row>
    <row r="44" spans="1:24" x14ac:dyDescent="0.25">
      <c r="A44" s="14">
        <v>39</v>
      </c>
      <c r="B44" s="15"/>
      <c r="C44" s="16"/>
      <c r="D44" s="17"/>
      <c r="E44" s="10"/>
      <c r="F44" s="16"/>
      <c r="G44" s="18" t="s">
        <v>48</v>
      </c>
      <c r="H44" s="19">
        <f>IF(U44=1,INT((($B$3-YEAR(C44))*12+12-MONTH(C44))/12)&amp;IF(INT((($B$3-YEAR(C44))*12+12-MONTH(C44))/12)=1," año"," años")&amp;" y "&amp;MOD((($B$3-YEAR(C44))*12+12-MONTH(C44)),12)&amp;IF(MOD((($B$3-YEAR(C44))*12+12-MONTH(C44)),12)=1," mes"," meses"),"")</f>
      </c>
      <c r="I44" s="20">
        <f>IF(U44=1,IF(X44=1,INT(W44/20),V44),"")</f>
      </c>
      <c r="J44" s="19">
        <f>IF(U44=1,IF(X44=1,"Proporcional (art. 153)","Escala (art. 150)"),"")</f>
      </c>
      <c r="K44" s="20">
        <f>IF(U44=1,IF(E44="",I44,MIN(MAX(E44,0),I44)),"")</f>
      </c>
      <c r="L44" s="20">
        <f>IF(U44=1,I44-K44,"")</f>
      </c>
      <c r="M44" s="11">
        <f>IF(AND(U44=1,F44&lt;&gt;""),IF(K44&gt;0,F44+K44-1,""),"")</f>
      </c>
      <c r="N44" s="11">
        <f>IF(M44="","",M44+1)</f>
      </c>
      <c r="O44" s="11">
        <f>IF(AND(U44=1,F44&lt;&gt;""),F44-$E$3,"")</f>
      </c>
      <c r="P44" s="21">
        <f>IF(U44=1,D44/25,"")</f>
      </c>
      <c r="Q44" s="21">
        <f>IF(U44=1,P44*K44,"")</f>
      </c>
      <c r="R44" s="21">
        <f>IF(U44=1,(D44/25-D44/30)*K44,"")</f>
      </c>
      <c r="S44" s="19">
        <f>IF(OR(C44="",D44=""),"",IF(C44&gt;DATE($B$3,12,31),"Ingresa después del 31/12: no entra en este período",IF(I44=0,"Todavía no generó días de vacaciones (art. 153)",IF(F44="","Falta la fecha de inicio",IF(F44&lt;&gt;WORKDAY(F44-WEEKDAY(F44,2),1,'Feriados'!$A$5:$A$35),"Tiene que empezar un lunes (o el hábil siguiente si es feriado)",IF(AND(K44&lt;I44,OR(K44&lt;7,L44&lt;7)),"Cada tramo tiene que ser de 7 días o más",IF(OR(F44&lt;DATE($B$3,10,1),M44&gt;DATE($B$3+1,4,30)),"Fuera del 1/10 al 30/4: sólo con acuerdo por escrito",IF(G44="Sí","Notificado",IF($H$3&gt;O44,"Aviso fuera de plazo: notificá hoy o acordá otra fecha",IF(O44-$H$3&lt;=7,"Notificá ya: el plazo vence el "&amp;DAY(O44)&amp;"/"&amp;MONTH(O44)&amp;"/"&amp;YEAR(O44),"En regla: notificar hasta el "&amp;DAY(O44)&amp;"/"&amp;MONTH(O44)&amp;"/"&amp;YEAR(O44)))))))))))</f>
      </c>
      <c r="T44">
        <f>IF(OR(S44="Notificado",LEFT(S44,8)="En regla"),1,0)</f>
      </c>
      <c r="U44">
        <f>IF(OR(C44="",D44=""),0,IF(C44&gt;DATE($B$3,12,31),0,1))</f>
      </c>
      <c r="V44">
        <f>IF(U44=1,IF(C44&gt;=DATE($B$3-5,12,31),14,IF(C44&gt;=DATE($B$3-10,12,31),21,IF(C44&gt;=DATE($B$3-20,12,31),28,35))),"")</f>
      </c>
      <c r="W44">
        <f>IF(U44=1,IF(C44&gt;DATE($B$3,1,1),NETWORKDAYS(C44,DATE($B$3,12,31)),""),"")</f>
      </c>
      <c r="X44">
        <f>IF(U44=1,IF(W44="",0,IF(W44&lt;NETWORKDAYS(DATE($B$3,1,1),DATE($B$3,12,31))/2,1,0)),"")</f>
      </c>
    </row>
    <row r="45" spans="1:24" x14ac:dyDescent="0.25">
      <c r="A45" s="14">
        <v>40</v>
      </c>
      <c r="B45" s="15"/>
      <c r="C45" s="16"/>
      <c r="D45" s="17"/>
      <c r="E45" s="10"/>
      <c r="F45" s="16"/>
      <c r="G45" s="18" t="s">
        <v>48</v>
      </c>
      <c r="H45" s="22">
        <f>IF(U45=1,INT((($B$3-YEAR(C45))*12+12-MONTH(C45))/12)&amp;IF(INT((($B$3-YEAR(C45))*12+12-MONTH(C45))/12)=1," año"," años")&amp;" y "&amp;MOD((($B$3-YEAR(C45))*12+12-MONTH(C45)),12)&amp;IF(MOD((($B$3-YEAR(C45))*12+12-MONTH(C45)),12)=1," mes"," meses"),"")</f>
      </c>
      <c r="I45" s="23">
        <f>IF(U45=1,IF(X45=1,INT(W45/20),V45),"")</f>
      </c>
      <c r="J45" s="22">
        <f>IF(U45=1,IF(X45=1,"Proporcional (art. 153)","Escala (art. 150)"),"")</f>
      </c>
      <c r="K45" s="23">
        <f>IF(U45=1,IF(E45="",I45,MIN(MAX(E45,0),I45)),"")</f>
      </c>
      <c r="L45" s="23">
        <f>IF(U45=1,I45-K45,"")</f>
      </c>
      <c r="M45" s="24">
        <f>IF(AND(U45=1,F45&lt;&gt;""),IF(K45&gt;0,F45+K45-1,""),"")</f>
      </c>
      <c r="N45" s="24">
        <f>IF(M45="","",M45+1)</f>
      </c>
      <c r="O45" s="24">
        <f>IF(AND(U45=1,F45&lt;&gt;""),F45-$E$3,"")</f>
      </c>
      <c r="P45" s="25">
        <f>IF(U45=1,D45/25,"")</f>
      </c>
      <c r="Q45" s="25">
        <f>IF(U45=1,P45*K45,"")</f>
      </c>
      <c r="R45" s="25">
        <f>IF(U45=1,(D45/25-D45/30)*K45,"")</f>
      </c>
      <c r="S45" s="22">
        <f>IF(OR(C45="",D45=""),"",IF(C45&gt;DATE($B$3,12,31),"Ingresa después del 31/12: no entra en este período",IF(I45=0,"Todavía no generó días de vacaciones (art. 153)",IF(F45="","Falta la fecha de inicio",IF(F45&lt;&gt;WORKDAY(F45-WEEKDAY(F45,2),1,'Feriados'!$A$5:$A$35),"Tiene que empezar un lunes (o el hábil siguiente si es feriado)",IF(AND(K45&lt;I45,OR(K45&lt;7,L45&lt;7)),"Cada tramo tiene que ser de 7 días o más",IF(OR(F45&lt;DATE($B$3,10,1),M45&gt;DATE($B$3+1,4,30)),"Fuera del 1/10 al 30/4: sólo con acuerdo por escrito",IF(G45="Sí","Notificado",IF($H$3&gt;O45,"Aviso fuera de plazo: notificá hoy o acordá otra fecha",IF(O45-$H$3&lt;=7,"Notificá ya: el plazo vence el "&amp;DAY(O45)&amp;"/"&amp;MONTH(O45)&amp;"/"&amp;YEAR(O45),"En regla: notificar hasta el "&amp;DAY(O45)&amp;"/"&amp;MONTH(O45)&amp;"/"&amp;YEAR(O45)))))))))))</f>
      </c>
      <c r="T45">
        <f>IF(OR(S45="Notificado",LEFT(S45,8)="En regla"),1,0)</f>
      </c>
      <c r="U45">
        <f>IF(OR(C45="",D45=""),0,IF(C45&gt;DATE($B$3,12,31),0,1))</f>
      </c>
      <c r="V45">
        <f>IF(U45=1,IF(C45&gt;=DATE($B$3-5,12,31),14,IF(C45&gt;=DATE($B$3-10,12,31),21,IF(C45&gt;=DATE($B$3-20,12,31),28,35))),"")</f>
      </c>
      <c r="W45">
        <f>IF(U45=1,IF(C45&gt;DATE($B$3,1,1),NETWORKDAYS(C45,DATE($B$3,12,31)),""),"")</f>
      </c>
      <c r="X45">
        <f>IF(U45=1,IF(W45="",0,IF(W45&lt;NETWORKDAYS(DATE($B$3,1,1),DATE($B$3,12,31))/2,1,0)),"")</f>
      </c>
    </row>
    <row r="46" spans="1:18" x14ac:dyDescent="0.25">
      <c r="A46" s="26" t="s">
        <v>51</v>
      </c>
      <c r="B46" s="26"/>
      <c r="C46" s="26"/>
      <c r="D46" s="26"/>
      <c r="E46" s="26"/>
      <c r="F46" s="26"/>
      <c r="G46" s="26"/>
      <c r="H46" s="26"/>
      <c r="I46" s="26"/>
      <c r="J46" s="26"/>
      <c r="K46" s="27">
        <f>SUM(K6:K45)</f>
      </c>
      <c r="Q46" s="28">
        <f>SUM(Q6:Q45)</f>
      </c>
      <c r="R46" s="28">
        <f>SUM(R6:R45)</f>
      </c>
    </row>
    <row r="48" spans="1:19" x14ac:dyDescent="0.25">
      <c r="A48" s="6" t="s">
        <v>52</v>
      </c>
      <c r="B48" s="6"/>
      <c r="C48" s="6"/>
      <c r="D48" s="6"/>
      <c r="E48" s="6"/>
      <c r="F48" s="6"/>
      <c r="G48" s="6"/>
      <c r="H48" s="6"/>
      <c r="I48" s="6"/>
      <c r="J48" s="6"/>
      <c r="K48" s="6"/>
      <c r="L48" s="6"/>
      <c r="M48" s="6"/>
      <c r="N48" s="6"/>
      <c r="O48" s="6"/>
      <c r="P48" s="6"/>
      <c r="Q48" s="6"/>
      <c r="R48" s="6"/>
      <c r="S48" s="6"/>
    </row>
    <row r="49" spans="1:19" x14ac:dyDescent="0.25">
      <c r="A49" s="6" t="s">
        <v>53</v>
      </c>
      <c r="B49" s="6"/>
      <c r="C49" s="6"/>
      <c r="D49" s="6"/>
      <c r="E49" s="6"/>
      <c r="F49" s="6"/>
      <c r="G49" s="6"/>
      <c r="H49" s="6"/>
      <c r="I49" s="6"/>
      <c r="J49" s="6"/>
      <c r="K49" s="6"/>
      <c r="L49" s="6"/>
      <c r="M49" s="6"/>
      <c r="N49" s="6"/>
      <c r="O49" s="6"/>
      <c r="P49" s="6"/>
      <c r="Q49" s="6"/>
      <c r="R49" s="6"/>
      <c r="S49" s="6"/>
    </row>
  </sheetData>
  <mergeCells count="7">
    <mergeCell ref="A1:S1"/>
    <mergeCell ref="A2:S2"/>
    <mergeCell ref="C3:D3"/>
    <mergeCell ref="F3:G3"/>
    <mergeCell ref="A46:J46"/>
    <mergeCell ref="A48:S48"/>
    <mergeCell ref="A49:S49"/>
  </mergeCells>
  <dataValidations count="12">
    <dataValidation type="whole" showErrorMessage="1" error="El año de las vacaciones: 2026 o 2027." sqref="B3">
      <formula1>2026</formula1>
      <formula2>2027</formula2>
    </dataValidation>
    <dataValidation type="decimal" allowBlank="1" showErrorMessage="1" error="Escribí la fecha de ingreso como dd/mm/aaaa." sqref="C10:C45">
      <formula1>18264</formula1>
      <formula2>46752</formula2>
    </dataValidation>
    <dataValidation type="decimal" allowBlank="1" showErrorMessage="1" error="Escribí la fecha de ingreso como dd/mm/aaaa." sqref="C6:C45">
      <formula1>18264</formula1>
      <formula2>46752</formula2>
    </dataValidation>
    <dataValidation type="decimal" allowBlank="1" showErrorMessage="1" error="El sueldo bruto mensual, en pesos." sqref="D10:D45">
      <formula1>1</formula1>
      <formula2>100000000</formula2>
    </dataValidation>
    <dataValidation type="decimal" allowBlank="1" showErrorMessage="1" error="El sueldo bruto mensual, en pesos." sqref="D6:D45">
      <formula1>1</formula1>
      <formula2>100000000</formula2>
    </dataValidation>
    <dataValidation type="whole" allowBlank="1" showErrorMessage="1" error="Los días del tramo (de 1 a 35). Vacío = todos los que le tocan." sqref="E10:E45">
      <formula1>1</formula1>
      <formula2>35</formula2>
    </dataValidation>
    <dataValidation type="whole" showErrorMessage="1" error="La ley pide al menos 30 días; tu convenio puede fijar otro plazo." sqref="E3">
      <formula1>1</formula1>
      <formula2>120</formula2>
    </dataValidation>
    <dataValidation type="whole" allowBlank="1" showErrorMessage="1" error="Los días del tramo (de 1 a 35). Vacío = todos los que le tocan." sqref="E6:E45">
      <formula1>1</formula1>
      <formula2>35</formula2>
    </dataValidation>
    <dataValidation type="decimal" allowBlank="1" showErrorMessage="1" error="Escribí la fecha de inicio como dd/mm/aaaa." sqref="F10:F45">
      <formula1>46023</formula1>
      <formula2>47118</formula2>
    </dataValidation>
    <dataValidation type="decimal" allowBlank="1" showErrorMessage="1" error="Escribí la fecha de inicio como dd/mm/aaaa." sqref="F6:F45">
      <formula1>46023</formula1>
      <formula2>47118</formula2>
    </dataValidation>
    <dataValidation type="list" showErrorMessage="1" error="Elegí Sí o No." sqref="G10:G45">
      <formula1>"Sí,No"</formula1>
    </dataValidation>
    <dataValidation type="list" showErrorMessage="1" error="Elegí Sí o No." sqref="G6:G45">
      <formula1>"Sí,No"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B25"/>
  <sheetFormatPr defaultRowHeight="15" outlineLevelRow="0" outlineLevelCol="0" x14ac:dyDescent="55"/>
  <cols>
    <col min="1" max="1" width="46" customWidth="1"/>
    <col min="2" max="2" width="38" customWidth="1"/>
  </cols>
  <sheetData>
    <row r="1" ht="28" customHeight="1" spans="1:2" x14ac:dyDescent="0.25">
      <c r="A1" s="29" t="s">
        <v>54</v>
      </c>
      <c r="B1" s="29"/>
    </row>
    <row r="2" spans="1:2" x14ac:dyDescent="0.25">
      <c r="A2" s="6" t="s">
        <v>55</v>
      </c>
      <c r="B2" s="6"/>
    </row>
    <row r="4" spans="1:2" x14ac:dyDescent="0.25">
      <c r="A4" s="4" t="s">
        <v>56</v>
      </c>
      <c r="B4" s="4"/>
    </row>
    <row r="5" spans="1:2" x14ac:dyDescent="0.25">
      <c r="A5" s="9" t="s">
        <v>57</v>
      </c>
      <c r="B5" s="10">
        <v>1</v>
      </c>
    </row>
    <row r="6" spans="1:2" x14ac:dyDescent="0.25">
      <c r="A6" s="9" t="s">
        <v>29</v>
      </c>
      <c r="B6" s="19">
        <f>IFERROR(IF(INDEX('Equipo'!$B$6:$B$45,$B$5)="","Escribilo en la hoja Equipo",INDEX('Equipo'!$B$6:$B$45,$B$5)),"")</f>
      </c>
    </row>
    <row r="7" spans="1:2" x14ac:dyDescent="0.25">
      <c r="A7" s="9" t="s">
        <v>30</v>
      </c>
      <c r="B7" s="11">
        <f>IFERROR(IF(INDEX('Equipo'!$C$6:$C$45,$B$5)="","",INDEX('Equipo'!$C$6:$C$45,$B$5)),"")</f>
      </c>
    </row>
    <row r="8" spans="1:2" x14ac:dyDescent="0.25">
      <c r="A8" s="9" t="s">
        <v>31</v>
      </c>
      <c r="B8" s="21">
        <f>IFERROR(IF(INDEX('Equipo'!$D$6:$D$45,$B$5)="","",INDEX('Equipo'!$D$6:$D$45,$B$5)),"")</f>
      </c>
    </row>
    <row r="9" spans="1:2" x14ac:dyDescent="0.25">
      <c r="A9" s="9" t="s">
        <v>58</v>
      </c>
      <c r="B9" s="30">
        <f>IFERROR(IF(INDEX('Equipo'!$H$6:$H$45,$B$5)="","",INDEX('Equipo'!$H$6:$H$45,$B$5)),"")</f>
      </c>
    </row>
    <row r="10" spans="1:2" x14ac:dyDescent="0.25">
      <c r="A10" s="9" t="s">
        <v>37</v>
      </c>
      <c r="B10" s="19">
        <f>IFERROR(IF(INDEX('Equipo'!$J$6:$J$45,$B$5)="","",INDEX('Equipo'!$J$6:$J$45,$B$5)),"")</f>
      </c>
    </row>
    <row r="11" spans="1:2" x14ac:dyDescent="0.25">
      <c r="A11" s="4" t="s">
        <v>59</v>
      </c>
      <c r="B11" s="4"/>
    </row>
    <row r="12" spans="1:2" x14ac:dyDescent="0.25">
      <c r="A12" s="9" t="s">
        <v>60</v>
      </c>
      <c r="B12" s="20">
        <f>IFERROR(IF(INDEX('Equipo'!$I$6:$I$45,$B$5)="","",INDEX('Equipo'!$I$6:$I$45,$B$5)),"")</f>
      </c>
    </row>
    <row r="13" spans="1:2" x14ac:dyDescent="0.25">
      <c r="A13" s="9" t="s">
        <v>61</v>
      </c>
      <c r="B13" s="20">
        <f>IFERROR(IF(INDEX('Equipo'!$K$6:$K$45,$B$5)="","",INDEX('Equipo'!$K$6:$K$45,$B$5)),"")</f>
      </c>
    </row>
    <row r="14" spans="1:2" x14ac:dyDescent="0.25">
      <c r="A14" s="9" t="s">
        <v>62</v>
      </c>
      <c r="B14" s="11">
        <f>IFERROR(IF(INDEX('Equipo'!$F$6:$F$45,$B$5)="","",INDEX('Equipo'!$F$6:$F$45,$B$5)),"")</f>
      </c>
    </row>
    <row r="15" spans="1:2" x14ac:dyDescent="0.25">
      <c r="A15" s="9" t="s">
        <v>63</v>
      </c>
      <c r="B15" s="11">
        <f>IFERROR(IF(INDEX('Equipo'!$M$6:$M$45,$B$5)="","",INDEX('Equipo'!$M$6:$M$45,$B$5)),"")</f>
      </c>
    </row>
    <row r="16" spans="1:2" x14ac:dyDescent="0.25">
      <c r="A16" s="9" t="s">
        <v>64</v>
      </c>
      <c r="B16" s="11">
        <f>IFERROR(IF(INDEX('Equipo'!$N$6:$N$45,$B$5)="","",INDEX('Equipo'!$N$6:$N$45,$B$5)),"")</f>
      </c>
    </row>
    <row r="17" spans="1:2" x14ac:dyDescent="0.25">
      <c r="A17" s="9" t="s">
        <v>65</v>
      </c>
      <c r="B17" s="11">
        <f>IFERROR(IF(INDEX('Equipo'!$O$6:$O$45,$B$5)="","",INDEX('Equipo'!$O$6:$O$45,$B$5)),"")</f>
      </c>
    </row>
    <row r="18" spans="1:2" x14ac:dyDescent="0.25">
      <c r="A18" s="4" t="s">
        <v>66</v>
      </c>
      <c r="B18" s="4"/>
    </row>
    <row r="19" spans="1:2" x14ac:dyDescent="0.25">
      <c r="A19" s="9" t="s">
        <v>67</v>
      </c>
      <c r="B19" s="31">
        <f>IFERROR(IF(INDEX('Equipo'!$P$6:$P$45,$B$5)="","",INDEX('Equipo'!$P$6:$P$45,$B$5)),"")</f>
      </c>
    </row>
    <row r="20" spans="1:2" x14ac:dyDescent="0.25">
      <c r="A20" s="9" t="s">
        <v>68</v>
      </c>
      <c r="B20" s="31">
        <f>IF(B8="","",B8/30)</f>
      </c>
    </row>
    <row r="21" spans="1:2" x14ac:dyDescent="0.25">
      <c r="A21" s="32" t="s">
        <v>69</v>
      </c>
      <c r="B21" s="33">
        <f>IFERROR(IF(INDEX('Equipo'!$Q$6:$Q$45,$B$5)="","",INDEX('Equipo'!$Q$6:$Q$45,$B$5)),"")</f>
      </c>
    </row>
    <row r="22" spans="1:2" x14ac:dyDescent="0.25">
      <c r="A22" s="9" t="s">
        <v>70</v>
      </c>
      <c r="B22" s="31">
        <f>IFERROR(IF(INDEX('Equipo'!$R$6:$R$45,$B$5)="","",INDEX('Equipo'!$R$6:$R$45,$B$5)),"")</f>
      </c>
    </row>
    <row r="23" ht="30" customHeight="1" spans="1:2" x14ac:dyDescent="0.25">
      <c r="A23" s="9" t="s">
        <v>46</v>
      </c>
      <c r="B23" s="34">
        <f>IFERROR(IF(INDEX('Equipo'!$S$6:$S$45,$B$5)="","",INDEX('Equipo'!$S$6:$S$45,$B$5)),"")</f>
      </c>
    </row>
    <row r="25" ht="40" customHeight="1" spans="1:2" x14ac:dyDescent="0.25">
      <c r="A25" s="6" t="s">
        <v>71</v>
      </c>
      <c r="B25" s="6"/>
    </row>
  </sheetData>
  <mergeCells count="6">
    <mergeCell ref="A1:B1"/>
    <mergeCell ref="A2:B2"/>
    <mergeCell ref="A4:B4"/>
    <mergeCell ref="A11:B11"/>
    <mergeCell ref="A18:B18"/>
    <mergeCell ref="A25:B25"/>
  </mergeCells>
  <dataValidations count="1">
    <dataValidation type="whole" showErrorMessage="1" error="Un número de empleado del 1 al 40." sqref="B5">
      <formula1>1</formula1>
      <formula2>40</formula2>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55A64"/>
    <pageSetUpPr fitToPage="1"/>
  </sheetPr>
  <dimension ref="A1:D49"/>
  <sheetFormatPr defaultRowHeight="15" outlineLevelRow="0" outlineLevelCol="0" x14ac:dyDescent="55"/>
  <cols>
    <col min="1" max="1" width="26" customWidth="1"/>
    <col min="2" max="4" width="22" customWidth="1"/>
  </cols>
  <sheetData>
    <row r="1" ht="28" customHeight="1" spans="1:4" x14ac:dyDescent="0.25">
      <c r="A1" s="35" t="s">
        <v>72</v>
      </c>
      <c r="B1" s="35"/>
      <c r="C1" s="35"/>
      <c r="D1" s="35"/>
    </row>
    <row r="3" spans="1:2" x14ac:dyDescent="0.25">
      <c r="A3" s="9" t="s">
        <v>57</v>
      </c>
      <c r="B3" s="36">
        <v>1</v>
      </c>
    </row>
    <row r="4" spans="1:4" x14ac:dyDescent="0.25">
      <c r="A4" s="9" t="s">
        <v>73</v>
      </c>
      <c r="B4" s="15" t="s">
        <v>74</v>
      </c>
      <c r="C4" s="15"/>
      <c r="D4" s="15"/>
    </row>
    <row r="5" spans="1:4" x14ac:dyDescent="0.25">
      <c r="A5" s="9" t="s">
        <v>75</v>
      </c>
      <c r="B5" s="15" t="s">
        <v>74</v>
      </c>
      <c r="C5" s="15"/>
      <c r="D5" s="15"/>
    </row>
    <row r="6" spans="1:2" x14ac:dyDescent="0.25">
      <c r="A6" s="9" t="s">
        <v>76</v>
      </c>
      <c r="B6" s="37">
        <f>TODAY()</f>
      </c>
    </row>
    <row r="7" spans="1:4" x14ac:dyDescent="0.25">
      <c r="A7" s="9" t="s">
        <v>77</v>
      </c>
      <c r="B7" s="19">
        <f>IF(IFERROR(INDEX('Equipo'!$S$6:$S$45,$B$3),"")="","Elegí un número de empleado cargado en la hoja Equipo.",IFERROR(INDEX('Equipo'!$S$6:$S$45,$B$3),""))</f>
      </c>
      <c r="C7" s="19"/>
      <c r="D7" s="19"/>
    </row>
    <row r="8" ht="26" customHeight="1" spans="1:4" x14ac:dyDescent="0.25">
      <c r="A8" s="6" t="s">
        <v>78</v>
      </c>
      <c r="B8" s="6"/>
      <c r="C8" s="6"/>
      <c r="D8" s="6"/>
    </row>
    <row r="11" spans="1:4" x14ac:dyDescent="0.25">
      <c r="A11" s="38" t="s">
        <v>79</v>
      </c>
      <c r="B11" s="38"/>
      <c r="C11" s="38"/>
      <c r="D11" s="38"/>
    </row>
    <row r="13" spans="1:4" x14ac:dyDescent="0.25">
      <c r="A13" s="39">
        <f>IF($B$5="","",$B$5&amp;", ")&amp;IF($B$6="","",CHOOSE(WEEKDAY($B$6,2),"lunes","martes","miércoles","jueves","viernes","sábado","domingo")&amp;" "&amp;DAY($B$6)&amp;" de "&amp;CHOOSE(MONTH($B$6),"enero","febrero","marzo","abril","mayo","junio","julio","agosto","septiembre","octubre","noviembre","diciembre")&amp;" de "&amp;YEAR($B$6))</f>
      </c>
      <c r="B13" s="39"/>
      <c r="C13" s="39"/>
      <c r="D13" s="39"/>
    </row>
    <row r="15" spans="1:4" x14ac:dyDescent="0.25">
      <c r="A15" s="40">
        <f>"Señor/a "&amp;IF(IFERROR(INDEX('Equipo'!$B$6:$B$45,$B$3),"")="","______________________________",IFERROR(INDEX('Equipo'!$B$6:$B$45,$B$3),""))</f>
      </c>
      <c r="B15" s="40"/>
      <c r="C15" s="40"/>
      <c r="D15" s="40"/>
    </row>
    <row r="16" spans="1:4" x14ac:dyDescent="0.25">
      <c r="A16" t="s">
        <v>80</v>
      </c>
      <c r="B16"/>
      <c r="C16"/>
      <c r="D16"/>
    </row>
    <row r="18" ht="20" customHeight="1" spans="1:4" x14ac:dyDescent="0.25">
      <c r="A18" s="41">
        <f>IF(AND(IFERROR(INDEX('Equipo'!$F$6:$F$45,$B$3),"")&lt;&gt;"",IFERROR(INDEX('Equipo'!$M$6:$M$45,$B$3),"")&lt;&gt;""),"Por medio de la presente le notificamos que, conforme al artículo 154 de la Ley de Contrato de Trabajo, usted gozará de "&amp;IFERROR(INDEX('Equipo'!$K$6:$K$45,$B$3),"")&amp;" días corridos de su licencia anual ordinaria correspondiente al año "&amp;'Equipo'!$B$3&amp;", desde el "&amp;CHOOSE(WEEKDAY(IFERROR(INDEX('Equipo'!$F$6:$F$45,$B$3),""),2),"lunes","martes","miércoles","jueves","viernes","sábado","domingo")&amp;" "&amp;DAY(IFERROR(INDEX('Equipo'!$F$6:$F$45,$B$3),""))&amp;" de "&amp;CHOOSE(MONTH(IFERROR(INDEX('Equipo'!$F$6:$F$45,$B$3),"")),"enero","febrero","marzo","abril","mayo","junio","julio","agosto","septiembre","octubre","noviembre","diciembre")&amp;" de "&amp;YEAR(IFERROR(INDEX('Equipo'!$F$6:$F$45,$B$3),""))&amp;" hasta el "&amp;CHOOSE(WEEKDAY(IFERROR(INDEX('Equipo'!$M$6:$M$45,$B$3),""),2),"lunes","martes","miércoles","jueves","viernes","sábado","domingo")&amp;" "&amp;DAY(IFERROR(INDEX('Equipo'!$M$6:$M$45,$B$3),""))&amp;" de "&amp;CHOOSE(MONTH(IFERROR(INDEX('Equipo'!$M$6:$M$45,$B$3),"")),"enero","febrero","marzo","abril","mayo","junio","julio","agosto","septiembre","octubre","noviembre","diciembre")&amp;" de "&amp;YEAR(IFERROR(INDEX('Equipo'!$M$6:$M$45,$B$3),""))&amp;" inclusive, y deberá reintegrarse a sus tareas el "&amp;CHOOSE(WEEKDAY(IFERROR(INDEX('Equipo'!$N$6:$N$45,$B$3),""),2),"lunes","martes","miércoles","jueves","viernes","sábado","domingo")&amp;" "&amp;DAY(IFERROR(INDEX('Equipo'!$N$6:$N$45,$B$3),""))&amp;" de "&amp;CHOOSE(MONTH(IFERROR(INDEX('Equipo'!$N$6:$N$45,$B$3),"")),"enero","febrero","marzo","abril","mayo","junio","julio","agosto","septiembre","octubre","noviembre","diciembre")&amp;" de "&amp;YEAR(IFERROR(INDEX('Equipo'!$N$6:$N$45,$B$3),""))&amp;"."&amp;IF(IFERROR(INDEX('Equipo'!$L$6:$L$45,$B$3),"")&gt;0," Los "&amp;IFERROR(INDEX('Equipo'!$L$6:$L$45,$B$3),"")&amp;" días restantes de este período los gozará en la fecha que acordemos.",""),"Para armar la nota, completá la fecha de inicio de esta persona en la hoja Equipo.")</f>
      </c>
      <c r="B18" s="41"/>
      <c r="C18" s="41"/>
      <c r="D18" s="41"/>
    </row>
    <row r="19" ht="20" customHeight="1" spans="1:4" x14ac:dyDescent="0.25">
      <c r="A19" s="41"/>
      <c r="B19" s="41"/>
      <c r="C19" s="41"/>
      <c r="D19" s="41"/>
    </row>
    <row r="20" ht="20" customHeight="1" spans="1:4" x14ac:dyDescent="0.25">
      <c r="A20" s="41"/>
      <c r="B20" s="41"/>
      <c r="C20" s="41"/>
      <c r="D20" s="41"/>
    </row>
    <row r="21" ht="20" customHeight="1" spans="1:4" x14ac:dyDescent="0.25">
      <c r="A21" s="41"/>
      <c r="B21" s="41"/>
      <c r="C21" s="41"/>
      <c r="D21" s="41"/>
    </row>
    <row r="23" spans="1:4" x14ac:dyDescent="0.25">
      <c r="A23" t="s">
        <v>81</v>
      </c>
      <c r="B23"/>
      <c r="C23"/>
      <c r="D23" s="42">
        <f>IF(AND(IFERROR(INDEX('Equipo'!$F$6:$F$45,$B$3),"")&lt;&gt;"",IFERROR(INDEX('Equipo'!$M$6:$M$45,$B$3),"")&lt;&gt;""),IFERROR(INDEX('Equipo'!$Q$6:$Q$45,$B$3),""),"")</f>
      </c>
    </row>
    <row r="25" spans="1:4" x14ac:dyDescent="0.25">
      <c r="A25" s="43" t="s">
        <v>82</v>
      </c>
      <c r="B25" s="43"/>
      <c r="C25" s="43"/>
      <c r="D25" s="43"/>
    </row>
    <row r="26" spans="1:4" x14ac:dyDescent="0.25">
      <c r="A26" s="43"/>
      <c r="B26" s="43"/>
      <c r="C26" s="43"/>
      <c r="D26" s="43"/>
    </row>
    <row r="29" ht="26" customHeight="1" spans="1:4" x14ac:dyDescent="0.25">
      <c r="A29" s="44">
        <f>"Firma y aclaración"&amp;IF($B$4="",""," · "&amp;$B$4)</f>
      </c>
      <c r="B29" s="44"/>
      <c r="C29" s="44" t="s">
        <v>83</v>
      </c>
      <c r="D29" s="44"/>
    </row>
    <row r="31" spans="1:4" x14ac:dyDescent="0.25">
      <c r="A31" s="38" t="s">
        <v>84</v>
      </c>
      <c r="B31" s="38"/>
      <c r="C31" s="38"/>
      <c r="D31" s="38"/>
    </row>
    <row r="33" spans="1:4" x14ac:dyDescent="0.25">
      <c r="A33" s="39">
        <f>IF($B$5="","",$B$5&amp;", ")&amp;IF($B$6="","",CHOOSE(WEEKDAY($B$6,2),"lunes","martes","miércoles","jueves","viernes","sábado","domingo")&amp;" "&amp;DAY($B$6)&amp;" de "&amp;CHOOSE(MONTH($B$6),"enero","febrero","marzo","abril","mayo","junio","julio","agosto","septiembre","octubre","noviembre","diciembre")&amp;" de "&amp;YEAR($B$6))</f>
      </c>
      <c r="B33" s="39"/>
      <c r="C33" s="39"/>
      <c r="D33" s="39"/>
    </row>
    <row r="35" spans="1:4" x14ac:dyDescent="0.25">
      <c r="A35" s="40">
        <f>"Señor/a "&amp;IF(IFERROR(INDEX('Equipo'!$B$6:$B$45,$B$3),"")="","______________________________",IFERROR(INDEX('Equipo'!$B$6:$B$45,$B$3),""))</f>
      </c>
      <c r="B35" s="40"/>
      <c r="C35" s="40"/>
      <c r="D35" s="40"/>
    </row>
    <row r="36" spans="1:4" x14ac:dyDescent="0.25">
      <c r="A36" t="s">
        <v>80</v>
      </c>
      <c r="B36"/>
      <c r="C36"/>
      <c r="D36"/>
    </row>
    <row r="38" ht="20" customHeight="1" spans="1:4" x14ac:dyDescent="0.25">
      <c r="A38" s="41">
        <f>IF(AND(IFERROR(INDEX('Equipo'!$F$6:$F$45,$B$3),"")&lt;&gt;"",IFERROR(INDEX('Equipo'!$M$6:$M$45,$B$3),"")&lt;&gt;""),"Por medio de la presente le notificamos que, conforme al artículo 154 de la Ley de Contrato de Trabajo, usted gozará de "&amp;IFERROR(INDEX('Equipo'!$K$6:$K$45,$B$3),"")&amp;" días corridos de su licencia anual ordinaria correspondiente al año "&amp;'Equipo'!$B$3&amp;", desde el "&amp;CHOOSE(WEEKDAY(IFERROR(INDEX('Equipo'!$F$6:$F$45,$B$3),""),2),"lunes","martes","miércoles","jueves","viernes","sábado","domingo")&amp;" "&amp;DAY(IFERROR(INDEX('Equipo'!$F$6:$F$45,$B$3),""))&amp;" de "&amp;CHOOSE(MONTH(IFERROR(INDEX('Equipo'!$F$6:$F$45,$B$3),"")),"enero","febrero","marzo","abril","mayo","junio","julio","agosto","septiembre","octubre","noviembre","diciembre")&amp;" de "&amp;YEAR(IFERROR(INDEX('Equipo'!$F$6:$F$45,$B$3),""))&amp;" hasta el "&amp;CHOOSE(WEEKDAY(IFERROR(INDEX('Equipo'!$M$6:$M$45,$B$3),""),2),"lunes","martes","miércoles","jueves","viernes","sábado","domingo")&amp;" "&amp;DAY(IFERROR(INDEX('Equipo'!$M$6:$M$45,$B$3),""))&amp;" de "&amp;CHOOSE(MONTH(IFERROR(INDEX('Equipo'!$M$6:$M$45,$B$3),"")),"enero","febrero","marzo","abril","mayo","junio","julio","agosto","septiembre","octubre","noviembre","diciembre")&amp;" de "&amp;YEAR(IFERROR(INDEX('Equipo'!$M$6:$M$45,$B$3),""))&amp;" inclusive, y deberá reintegrarse a sus tareas el "&amp;CHOOSE(WEEKDAY(IFERROR(INDEX('Equipo'!$N$6:$N$45,$B$3),""),2),"lunes","martes","miércoles","jueves","viernes","sábado","domingo")&amp;" "&amp;DAY(IFERROR(INDEX('Equipo'!$N$6:$N$45,$B$3),""))&amp;" de "&amp;CHOOSE(MONTH(IFERROR(INDEX('Equipo'!$N$6:$N$45,$B$3),"")),"enero","febrero","marzo","abril","mayo","junio","julio","agosto","septiembre","octubre","noviembre","diciembre")&amp;" de "&amp;YEAR(IFERROR(INDEX('Equipo'!$N$6:$N$45,$B$3),""))&amp;"."&amp;IF(IFERROR(INDEX('Equipo'!$L$6:$L$45,$B$3),"")&gt;0," Los "&amp;IFERROR(INDEX('Equipo'!$L$6:$L$45,$B$3),"")&amp;" días restantes de este período los gozará en la fecha que acordemos.",""),"Para armar la nota, completá la fecha de inicio de esta persona en la hoja Equipo.")</f>
      </c>
      <c r="B38" s="41"/>
      <c r="C38" s="41"/>
      <c r="D38" s="41"/>
    </row>
    <row r="39" ht="20" customHeight="1" spans="1:4" x14ac:dyDescent="0.25">
      <c r="A39" s="41"/>
      <c r="B39" s="41"/>
      <c r="C39" s="41"/>
      <c r="D39" s="41"/>
    </row>
    <row r="40" ht="20" customHeight="1" spans="1:4" x14ac:dyDescent="0.25">
      <c r="A40" s="41"/>
      <c r="B40" s="41"/>
      <c r="C40" s="41"/>
      <c r="D40" s="41"/>
    </row>
    <row r="41" ht="20" customHeight="1" spans="1:4" x14ac:dyDescent="0.25">
      <c r="A41" s="41"/>
      <c r="B41" s="41"/>
      <c r="C41" s="41"/>
      <c r="D41" s="41"/>
    </row>
    <row r="43" spans="1:4" x14ac:dyDescent="0.25">
      <c r="A43" t="s">
        <v>81</v>
      </c>
      <c r="B43"/>
      <c r="C43"/>
      <c r="D43" s="42">
        <f>IF(AND(IFERROR(INDEX('Equipo'!$F$6:$F$45,$B$3),"")&lt;&gt;"",IFERROR(INDEX('Equipo'!$M$6:$M$45,$B$3),"")&lt;&gt;""),IFERROR(INDEX('Equipo'!$Q$6:$Q$45,$B$3),""),"")</f>
      </c>
    </row>
    <row r="45" spans="1:4" x14ac:dyDescent="0.25">
      <c r="A45" s="43" t="s">
        <v>82</v>
      </c>
      <c r="B45" s="43"/>
      <c r="C45" s="43"/>
      <c r="D45" s="43"/>
    </row>
    <row r="46" spans="1:4" x14ac:dyDescent="0.25">
      <c r="A46" s="43"/>
      <c r="B46" s="43"/>
      <c r="C46" s="43"/>
      <c r="D46" s="43"/>
    </row>
    <row r="49" ht="26" customHeight="1" spans="1:4" x14ac:dyDescent="0.25">
      <c r="A49" s="44">
        <f>"Firma y aclaración"&amp;IF($B$4="",""," · "&amp;$B$4)</f>
      </c>
      <c r="B49" s="44"/>
      <c r="C49" s="44" t="s">
        <v>83</v>
      </c>
      <c r="D49" s="44"/>
    </row>
  </sheetData>
  <mergeCells count="23">
    <mergeCell ref="A1:D1"/>
    <mergeCell ref="B4:D4"/>
    <mergeCell ref="B5:D5"/>
    <mergeCell ref="B7:D7"/>
    <mergeCell ref="A8:D8"/>
    <mergeCell ref="A11:D11"/>
    <mergeCell ref="A13:D13"/>
    <mergeCell ref="A15:D15"/>
    <mergeCell ref="A16:D16"/>
    <mergeCell ref="A18:D21"/>
    <mergeCell ref="A23:C23"/>
    <mergeCell ref="A25:D26"/>
    <mergeCell ref="A29:B29"/>
    <mergeCell ref="C29:D29"/>
    <mergeCell ref="A31:D31"/>
    <mergeCell ref="A33:D33"/>
    <mergeCell ref="A35:D35"/>
    <mergeCell ref="A36:D36"/>
    <mergeCell ref="A38:D41"/>
    <mergeCell ref="A43:C43"/>
    <mergeCell ref="A45:D46"/>
    <mergeCell ref="A49:B49"/>
    <mergeCell ref="C49:D49"/>
  </mergeCells>
  <dataValidations count="2">
    <dataValidation type="whole" showErrorMessage="1" error="Un número de empleado del 1 al 40." sqref="B3">
      <formula1>1</formula1>
      <formula2>40</formula2>
    </dataValidation>
    <dataValidation type="decimal" allowBlank="1" showErrorMessage="1" error="Escribí la fecha como dd/mm/aaaa." sqref="B6">
      <formula1>46023</formula1>
      <formula2>47118</formula2>
    </dataValidation>
  </dataValidations>
  <pageMargins left="0.6" right="0.6" top="0.6" bottom="0.6" header="0.3" footer="0.3"/>
  <pageSetup paperSize="9" orientation="portrait"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D21"/>
  <sheetFormatPr defaultRowHeight="15" outlineLevelRow="0" outlineLevelCol="0" x14ac:dyDescent="55"/>
  <cols>
    <col min="1" max="1" width="40" customWidth="1"/>
    <col min="2" max="3" width="18" customWidth="1"/>
    <col min="4" max="4" width="22" customWidth="1"/>
  </cols>
  <sheetData>
    <row r="1" ht="28" customHeight="1" spans="1:4" x14ac:dyDescent="0.25">
      <c r="A1" s="45" t="s">
        <v>85</v>
      </c>
      <c r="B1" s="45"/>
      <c r="C1" s="45"/>
      <c r="D1" s="45"/>
    </row>
    <row r="3" spans="1:4" x14ac:dyDescent="0.25">
      <c r="A3" s="4" t="s">
        <v>86</v>
      </c>
      <c r="B3" s="4"/>
      <c r="C3" s="4"/>
      <c r="D3" s="4"/>
    </row>
    <row r="4" spans="1:2" x14ac:dyDescent="0.25">
      <c r="A4" s="9" t="s">
        <v>87</v>
      </c>
      <c r="B4" s="20">
        <f>SUM('Equipo'!$U$6:$U$45)</f>
      </c>
    </row>
    <row r="5" spans="1:2" x14ac:dyDescent="0.25">
      <c r="A5" s="9" t="s">
        <v>88</v>
      </c>
      <c r="B5" s="20">
        <f>SUM('Equipo'!$K$6:$K$45)</f>
      </c>
    </row>
    <row r="6" spans="1:2" x14ac:dyDescent="0.25">
      <c r="A6" s="32" t="s">
        <v>89</v>
      </c>
      <c r="B6" s="28">
        <f>SUM('Equipo'!$Q$6:$Q$45)</f>
      </c>
    </row>
    <row r="7" spans="1:2" x14ac:dyDescent="0.25">
      <c r="A7" s="9" t="s">
        <v>70</v>
      </c>
      <c r="B7" s="21">
        <f>SUM('Equipo'!$R$6:$R$45)</f>
      </c>
    </row>
    <row r="8" spans="1:2" x14ac:dyDescent="0.25">
      <c r="A8" s="9" t="s">
        <v>90</v>
      </c>
      <c r="B8" s="20">
        <f>B4-SUM('Equipo'!$T$6:$T$45)</f>
      </c>
    </row>
    <row r="10" spans="1:4" x14ac:dyDescent="0.25">
      <c r="A10" s="46" t="s">
        <v>91</v>
      </c>
      <c r="B10" s="47" t="s">
        <v>92</v>
      </c>
      <c r="C10" s="47" t="s">
        <v>93</v>
      </c>
      <c r="D10" s="47" t="s">
        <v>94</v>
      </c>
    </row>
    <row r="11" spans="1:4" x14ac:dyDescent="0.25">
      <c r="A11" s="48">
        <f>"Octubre "&amp;YEAR(DATE('Equipo'!$B$3,10,1))</f>
      </c>
      <c r="B11" s="20">
        <f>COUNTIFS('Equipo'!$U$6:$U$45,1,'Equipo'!$F$6:$F$45,"&gt;="&amp;DATE('Equipo'!$B$3,10,1),'Equipo'!$F$6:$F$45,"&lt;"&amp;DATE('Equipo'!$B$3,11,1))</f>
      </c>
      <c r="C11" s="20">
        <f>SUMIFS('Equipo'!$K$6:$K$45,'Equipo'!$U$6:$U$45,1,'Equipo'!$F$6:$F$45,"&gt;="&amp;DATE('Equipo'!$B$3,10,1),'Equipo'!$F$6:$F$45,"&lt;"&amp;DATE('Equipo'!$B$3,11,1))</f>
      </c>
      <c r="D11" s="21">
        <f>SUMIFS('Equipo'!$Q$6:$Q$45,'Equipo'!$U$6:$U$45,1,'Equipo'!$F$6:$F$45,"&gt;="&amp;DATE('Equipo'!$B$3,10,1),'Equipo'!$F$6:$F$45,"&lt;"&amp;DATE('Equipo'!$B$3,11,1))</f>
      </c>
    </row>
    <row r="12" spans="1:4" x14ac:dyDescent="0.25">
      <c r="A12" s="49">
        <f>"Noviembre "&amp;YEAR(DATE('Equipo'!$B$3,11,1))</f>
      </c>
      <c r="B12" s="20">
        <f>COUNTIFS('Equipo'!$U$6:$U$45,1,'Equipo'!$F$6:$F$45,"&gt;="&amp;DATE('Equipo'!$B$3,11,1),'Equipo'!$F$6:$F$45,"&lt;"&amp;DATE('Equipo'!$B$3,12,1))</f>
      </c>
      <c r="C12" s="20">
        <f>SUMIFS('Equipo'!$K$6:$K$45,'Equipo'!$U$6:$U$45,1,'Equipo'!$F$6:$F$45,"&gt;="&amp;DATE('Equipo'!$B$3,11,1),'Equipo'!$F$6:$F$45,"&lt;"&amp;DATE('Equipo'!$B$3,12,1))</f>
      </c>
      <c r="D12" s="21">
        <f>SUMIFS('Equipo'!$Q$6:$Q$45,'Equipo'!$U$6:$U$45,1,'Equipo'!$F$6:$F$45,"&gt;="&amp;DATE('Equipo'!$B$3,11,1),'Equipo'!$F$6:$F$45,"&lt;"&amp;DATE('Equipo'!$B$3,12,1))</f>
      </c>
    </row>
    <row r="13" spans="1:4" x14ac:dyDescent="0.25">
      <c r="A13" s="48">
        <f>"Diciembre "&amp;YEAR(DATE('Equipo'!$B$3,12,1))</f>
      </c>
      <c r="B13" s="20">
        <f>COUNTIFS('Equipo'!$U$6:$U$45,1,'Equipo'!$F$6:$F$45,"&gt;="&amp;DATE('Equipo'!$B$3,12,1),'Equipo'!$F$6:$F$45,"&lt;"&amp;DATE('Equipo'!$B$3,13,1))</f>
      </c>
      <c r="C13" s="20">
        <f>SUMIFS('Equipo'!$K$6:$K$45,'Equipo'!$U$6:$U$45,1,'Equipo'!$F$6:$F$45,"&gt;="&amp;DATE('Equipo'!$B$3,12,1),'Equipo'!$F$6:$F$45,"&lt;"&amp;DATE('Equipo'!$B$3,13,1))</f>
      </c>
      <c r="D13" s="21">
        <f>SUMIFS('Equipo'!$Q$6:$Q$45,'Equipo'!$U$6:$U$45,1,'Equipo'!$F$6:$F$45,"&gt;="&amp;DATE('Equipo'!$B$3,12,1),'Equipo'!$F$6:$F$45,"&lt;"&amp;DATE('Equipo'!$B$3,13,1))</f>
      </c>
    </row>
    <row r="14" spans="1:4" x14ac:dyDescent="0.25">
      <c r="A14" s="49">
        <f>"Enero "&amp;YEAR(DATE('Equipo'!$B$3,13,1))</f>
      </c>
      <c r="B14" s="20">
        <f>COUNTIFS('Equipo'!$U$6:$U$45,1,'Equipo'!$F$6:$F$45,"&gt;="&amp;DATE('Equipo'!$B$3,13,1),'Equipo'!$F$6:$F$45,"&lt;"&amp;DATE('Equipo'!$B$3,14,1))</f>
      </c>
      <c r="C14" s="20">
        <f>SUMIFS('Equipo'!$K$6:$K$45,'Equipo'!$U$6:$U$45,1,'Equipo'!$F$6:$F$45,"&gt;="&amp;DATE('Equipo'!$B$3,13,1),'Equipo'!$F$6:$F$45,"&lt;"&amp;DATE('Equipo'!$B$3,14,1))</f>
      </c>
      <c r="D14" s="21">
        <f>SUMIFS('Equipo'!$Q$6:$Q$45,'Equipo'!$U$6:$U$45,1,'Equipo'!$F$6:$F$45,"&gt;="&amp;DATE('Equipo'!$B$3,13,1),'Equipo'!$F$6:$F$45,"&lt;"&amp;DATE('Equipo'!$B$3,14,1))</f>
      </c>
    </row>
    <row r="15" spans="1:4" x14ac:dyDescent="0.25">
      <c r="A15" s="48">
        <f>"Febrero "&amp;YEAR(DATE('Equipo'!$B$3,14,1))</f>
      </c>
      <c r="B15" s="20">
        <f>COUNTIFS('Equipo'!$U$6:$U$45,1,'Equipo'!$F$6:$F$45,"&gt;="&amp;DATE('Equipo'!$B$3,14,1),'Equipo'!$F$6:$F$45,"&lt;"&amp;DATE('Equipo'!$B$3,15,1))</f>
      </c>
      <c r="C15" s="20">
        <f>SUMIFS('Equipo'!$K$6:$K$45,'Equipo'!$U$6:$U$45,1,'Equipo'!$F$6:$F$45,"&gt;="&amp;DATE('Equipo'!$B$3,14,1),'Equipo'!$F$6:$F$45,"&lt;"&amp;DATE('Equipo'!$B$3,15,1))</f>
      </c>
      <c r="D15" s="21">
        <f>SUMIFS('Equipo'!$Q$6:$Q$45,'Equipo'!$U$6:$U$45,1,'Equipo'!$F$6:$F$45,"&gt;="&amp;DATE('Equipo'!$B$3,14,1),'Equipo'!$F$6:$F$45,"&lt;"&amp;DATE('Equipo'!$B$3,15,1))</f>
      </c>
    </row>
    <row r="16" spans="1:4" x14ac:dyDescent="0.25">
      <c r="A16" s="49">
        <f>"Marzo "&amp;YEAR(DATE('Equipo'!$B$3,15,1))</f>
      </c>
      <c r="B16" s="20">
        <f>COUNTIFS('Equipo'!$U$6:$U$45,1,'Equipo'!$F$6:$F$45,"&gt;="&amp;DATE('Equipo'!$B$3,15,1),'Equipo'!$F$6:$F$45,"&lt;"&amp;DATE('Equipo'!$B$3,16,1))</f>
      </c>
      <c r="C16" s="20">
        <f>SUMIFS('Equipo'!$K$6:$K$45,'Equipo'!$U$6:$U$45,1,'Equipo'!$F$6:$F$45,"&gt;="&amp;DATE('Equipo'!$B$3,15,1),'Equipo'!$F$6:$F$45,"&lt;"&amp;DATE('Equipo'!$B$3,16,1))</f>
      </c>
      <c r="D16" s="21">
        <f>SUMIFS('Equipo'!$Q$6:$Q$45,'Equipo'!$U$6:$U$45,1,'Equipo'!$F$6:$F$45,"&gt;="&amp;DATE('Equipo'!$B$3,15,1),'Equipo'!$F$6:$F$45,"&lt;"&amp;DATE('Equipo'!$B$3,16,1))</f>
      </c>
    </row>
    <row r="17" spans="1:4" x14ac:dyDescent="0.25">
      <c r="A17" s="48">
        <f>"Abril "&amp;YEAR(DATE('Equipo'!$B$3,16,1))</f>
      </c>
      <c r="B17" s="20">
        <f>COUNTIFS('Equipo'!$U$6:$U$45,1,'Equipo'!$F$6:$F$45,"&gt;="&amp;DATE('Equipo'!$B$3,16,1),'Equipo'!$F$6:$F$45,"&lt;"&amp;DATE('Equipo'!$B$3,17,1))</f>
      </c>
      <c r="C17" s="20">
        <f>SUMIFS('Equipo'!$K$6:$K$45,'Equipo'!$U$6:$U$45,1,'Equipo'!$F$6:$F$45,"&gt;="&amp;DATE('Equipo'!$B$3,16,1),'Equipo'!$F$6:$F$45,"&lt;"&amp;DATE('Equipo'!$B$3,17,1))</f>
      </c>
      <c r="D17" s="21">
        <f>SUMIFS('Equipo'!$Q$6:$Q$45,'Equipo'!$U$6:$U$45,1,'Equipo'!$F$6:$F$45,"&gt;="&amp;DATE('Equipo'!$B$3,16,1),'Equipo'!$F$6:$F$45,"&lt;"&amp;DATE('Equipo'!$B$3,17,1))</f>
      </c>
    </row>
    <row r="18" spans="1:4" x14ac:dyDescent="0.25">
      <c r="A18" s="9" t="s">
        <v>95</v>
      </c>
      <c r="B18" s="20">
        <f>COUNTIFS('Equipo'!$U$6:$U$45,1,'Equipo'!$F$6:$F$45,"&gt;0")-SUM(B11:B17)</f>
      </c>
      <c r="C18" s="20">
        <f>SUMIFS('Equipo'!$K$6:$K$45,'Equipo'!$U$6:$U$45,1,'Equipo'!$F$6:$F$45,"&gt;0")-SUM(C11:C17)</f>
      </c>
      <c r="D18" s="21">
        <f>SUMIFS('Equipo'!$Q$6:$Q$45,'Equipo'!$U$6:$U$45,1,'Equipo'!$F$6:$F$45,"&gt;0")-SUM(D11:D17)</f>
      </c>
    </row>
    <row r="19" spans="1:4" x14ac:dyDescent="0.25">
      <c r="A19" s="9" t="s">
        <v>96</v>
      </c>
      <c r="B19" s="20">
        <f>B4-COUNTIFS('Equipo'!$U$6:$U$45,1,'Equipo'!$F$6:$F$45,"&gt;0")</f>
      </c>
      <c r="C19" s="20">
        <f>B5-SUMIFS('Equipo'!$K$6:$K$45,'Equipo'!$U$6:$U$45,1,'Equipo'!$F$6:$F$45,"&gt;0")</f>
      </c>
      <c r="D19" s="21">
        <f>B6-SUMIFS('Equipo'!$Q$6:$Q$45,'Equipo'!$U$6:$U$45,1,'Equipo'!$F$6:$F$45,"&gt;0")</f>
      </c>
    </row>
    <row r="21" ht="30" customHeight="1" spans="1:4" x14ac:dyDescent="0.25">
      <c r="A21" s="6" t="s">
        <v>97</v>
      </c>
      <c r="B21" s="6"/>
      <c r="C21" s="6"/>
      <c r="D21" s="6"/>
    </row>
  </sheetData>
  <mergeCells count="3">
    <mergeCell ref="A1:D1"/>
    <mergeCell ref="A3:D3"/>
    <mergeCell ref="A21:D2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1B9A"/>
  </sheetPr>
  <dimension ref="A1:J15"/>
  <sheetViews>
    <sheetView workbookViewId="0">
      <pane ySplit="5" topLeftCell="A6" activePane="bottomLeft" state="frozen"/>
      <selection pane="bottomLeft"/>
    </sheetView>
  </sheetViews>
  <sheetFormatPr defaultRowHeight="15" outlineLevelRow="0" outlineLevelCol="0" x14ac:dyDescent="55"/>
  <cols>
    <col min="1" max="1" width="8" customWidth="1"/>
    <col min="2" max="2" width="24" customWidth="1"/>
    <col min="3" max="3" width="13" customWidth="1"/>
    <col min="4" max="4" width="15" customWidth="1"/>
    <col min="5" max="6" width="13" customWidth="1"/>
    <col min="7" max="7" width="14" customWidth="1"/>
    <col min="8" max="8" width="18" customWidth="1"/>
    <col min="9" max="9" width="15" customWidth="1"/>
    <col min="10" max="10" width="18" customWidth="1"/>
  </cols>
  <sheetData>
    <row r="1" ht="28" customHeight="1" spans="1:10" x14ac:dyDescent="0.25">
      <c r="A1" s="50" t="s">
        <v>98</v>
      </c>
      <c r="B1" s="50"/>
      <c r="C1" s="50"/>
      <c r="D1" s="50"/>
      <c r="E1" s="50"/>
      <c r="F1" s="50"/>
      <c r="G1" s="50"/>
      <c r="H1" s="50"/>
      <c r="I1" s="50"/>
      <c r="J1" s="50"/>
    </row>
    <row r="2" ht="30" customHeight="1" spans="1:10" x14ac:dyDescent="0.25">
      <c r="A2" s="6" t="s">
        <v>99</v>
      </c>
      <c r="B2" s="6"/>
      <c r="C2" s="6"/>
      <c r="D2" s="6"/>
      <c r="E2" s="6"/>
      <c r="F2" s="6"/>
      <c r="G2" s="6"/>
      <c r="H2" s="6"/>
      <c r="I2" s="6"/>
      <c r="J2" s="6"/>
    </row>
    <row r="3" ht="26" customHeight="1" spans="1:10" x14ac:dyDescent="0.25">
      <c r="A3" s="6" t="s">
        <v>100</v>
      </c>
      <c r="B3" s="6"/>
      <c r="C3" s="6"/>
      <c r="D3" s="6"/>
      <c r="E3" s="6"/>
      <c r="F3" s="6"/>
      <c r="G3" s="6"/>
      <c r="H3" s="6"/>
      <c r="I3" s="6"/>
      <c r="J3" s="6"/>
    </row>
    <row r="5" ht="32" customHeight="1" spans="1:10" x14ac:dyDescent="0.25">
      <c r="A5" s="12" t="s">
        <v>28</v>
      </c>
      <c r="B5" s="51" t="s">
        <v>101</v>
      </c>
      <c r="C5" s="51" t="s">
        <v>102</v>
      </c>
      <c r="D5" s="51" t="s">
        <v>103</v>
      </c>
      <c r="E5" s="12" t="s">
        <v>104</v>
      </c>
      <c r="F5" s="51" t="s">
        <v>105</v>
      </c>
      <c r="G5" s="51" t="s">
        <v>106</v>
      </c>
      <c r="H5" s="51" t="s">
        <v>107</v>
      </c>
      <c r="I5" s="51" t="s">
        <v>108</v>
      </c>
      <c r="J5" s="51" t="s">
        <v>109</v>
      </c>
    </row>
    <row r="6" spans="1:10" x14ac:dyDescent="0.25">
      <c r="A6" s="52">
        <v>3</v>
      </c>
      <c r="B6" s="19">
        <f>IF(A6="","",IFERROR(IF(INDEX('Equipo'!$B$6:$B$45,A6)="","",INDEX('Equipo'!$B$6:$B$45,A6)),""))</f>
      </c>
      <c r="C6" s="11">
        <f>IF(A6="","",IFERROR(IF(INDEX('Equipo'!$C$6:$C$45,A6)="","",INDEX('Equipo'!$C$6:$C$45,A6)),""))</f>
      </c>
      <c r="D6" s="21">
        <f>IF(A6="","",IFERROR(IF(INDEX('Equipo'!$D$6:$D$45,A6)="","",INDEX('Equipo'!$D$6:$D$45,A6)),""))</f>
      </c>
      <c r="E6" s="16">
        <v>46371</v>
      </c>
      <c r="F6" s="20">
        <f>IF(OR(A6="",E6="",C6="",D6=""),"",E6-MAX(C6,DATE(YEAR(E6),1,1))+1)</f>
      </c>
      <c r="G6" s="53">
        <f>IF(F6="","",IF(C6&gt;=DATE(YEAR(E6)-5,12,31),14,IF(C6&gt;=DATE(YEAR(E6)-10,12,31),21,IF(C6&gt;=DATE(YEAR(E6)-20,12,31),28,35)))*F6/365)</f>
      </c>
      <c r="H6" s="31">
        <f>IF(F6="","",G6*D6/25)</f>
      </c>
      <c r="I6" s="31">
        <f>IF(F6="","",H6/12)</f>
      </c>
      <c r="J6" s="33">
        <f>IF(F6="","",H6+I6)</f>
      </c>
    </row>
    <row r="7" spans="1:10" x14ac:dyDescent="0.25">
      <c r="A7" s="52"/>
      <c r="B7" s="19">
        <f>IF(A7="","",IFERROR(IF(INDEX('Equipo'!$B$6:$B$45,A7)="","",INDEX('Equipo'!$B$6:$B$45,A7)),""))</f>
      </c>
      <c r="C7" s="11">
        <f>IF(A7="","",IFERROR(IF(INDEX('Equipo'!$C$6:$C$45,A7)="","",INDEX('Equipo'!$C$6:$C$45,A7)),""))</f>
      </c>
      <c r="D7" s="21">
        <f>IF(A7="","",IFERROR(IF(INDEX('Equipo'!$D$6:$D$45,A7)="","",INDEX('Equipo'!$D$6:$D$45,A7)),""))</f>
      </c>
      <c r="E7" s="16"/>
      <c r="F7" s="20">
        <f>IF(OR(A7="",E7="",C7="",D7=""),"",E7-MAX(C7,DATE(YEAR(E7),1,1))+1)</f>
      </c>
      <c r="G7" s="53">
        <f>IF(F7="","",IF(C7&gt;=DATE(YEAR(E7)-5,12,31),14,IF(C7&gt;=DATE(YEAR(E7)-10,12,31),21,IF(C7&gt;=DATE(YEAR(E7)-20,12,31),28,35)))*F7/365)</f>
      </c>
      <c r="H7" s="31">
        <f>IF(F7="","",G7*D7/25)</f>
      </c>
      <c r="I7" s="31">
        <f>IF(F7="","",H7/12)</f>
      </c>
      <c r="J7" s="33">
        <f>IF(F7="","",H7+I7)</f>
      </c>
    </row>
    <row r="8" spans="1:10" x14ac:dyDescent="0.25">
      <c r="A8" s="52"/>
      <c r="B8" s="19">
        <f>IF(A8="","",IFERROR(IF(INDEX('Equipo'!$B$6:$B$45,A8)="","",INDEX('Equipo'!$B$6:$B$45,A8)),""))</f>
      </c>
      <c r="C8" s="11">
        <f>IF(A8="","",IFERROR(IF(INDEX('Equipo'!$C$6:$C$45,A8)="","",INDEX('Equipo'!$C$6:$C$45,A8)),""))</f>
      </c>
      <c r="D8" s="21">
        <f>IF(A8="","",IFERROR(IF(INDEX('Equipo'!$D$6:$D$45,A8)="","",INDEX('Equipo'!$D$6:$D$45,A8)),""))</f>
      </c>
      <c r="E8" s="16"/>
      <c r="F8" s="20">
        <f>IF(OR(A8="",E8="",C8="",D8=""),"",E8-MAX(C8,DATE(YEAR(E8),1,1))+1)</f>
      </c>
      <c r="G8" s="53">
        <f>IF(F8="","",IF(C8&gt;=DATE(YEAR(E8)-5,12,31),14,IF(C8&gt;=DATE(YEAR(E8)-10,12,31),21,IF(C8&gt;=DATE(YEAR(E8)-20,12,31),28,35)))*F8/365)</f>
      </c>
      <c r="H8" s="31">
        <f>IF(F8="","",G8*D8/25)</f>
      </c>
      <c r="I8" s="31">
        <f>IF(F8="","",H8/12)</f>
      </c>
      <c r="J8" s="33">
        <f>IF(F8="","",H8+I8)</f>
      </c>
    </row>
    <row r="9" spans="1:10" x14ac:dyDescent="0.25">
      <c r="A9" s="52"/>
      <c r="B9" s="19">
        <f>IF(A9="","",IFERROR(IF(INDEX('Equipo'!$B$6:$B$45,A9)="","",INDEX('Equipo'!$B$6:$B$45,A9)),""))</f>
      </c>
      <c r="C9" s="11">
        <f>IF(A9="","",IFERROR(IF(INDEX('Equipo'!$C$6:$C$45,A9)="","",INDEX('Equipo'!$C$6:$C$45,A9)),""))</f>
      </c>
      <c r="D9" s="21">
        <f>IF(A9="","",IFERROR(IF(INDEX('Equipo'!$D$6:$D$45,A9)="","",INDEX('Equipo'!$D$6:$D$45,A9)),""))</f>
      </c>
      <c r="E9" s="16"/>
      <c r="F9" s="20">
        <f>IF(OR(A9="",E9="",C9="",D9=""),"",E9-MAX(C9,DATE(YEAR(E9),1,1))+1)</f>
      </c>
      <c r="G9" s="53">
        <f>IF(F9="","",IF(C9&gt;=DATE(YEAR(E9)-5,12,31),14,IF(C9&gt;=DATE(YEAR(E9)-10,12,31),21,IF(C9&gt;=DATE(YEAR(E9)-20,12,31),28,35)))*F9/365)</f>
      </c>
      <c r="H9" s="31">
        <f>IF(F9="","",G9*D9/25)</f>
      </c>
      <c r="I9" s="31">
        <f>IF(F9="","",H9/12)</f>
      </c>
      <c r="J9" s="33">
        <f>IF(F9="","",H9+I9)</f>
      </c>
    </row>
    <row r="10" spans="1:10" x14ac:dyDescent="0.25">
      <c r="A10" s="52"/>
      <c r="B10" s="19">
        <f>IF(A10="","",IFERROR(IF(INDEX('Equipo'!$B$6:$B$45,A10)="","",INDEX('Equipo'!$B$6:$B$45,A10)),""))</f>
      </c>
      <c r="C10" s="11">
        <f>IF(A10="","",IFERROR(IF(INDEX('Equipo'!$C$6:$C$45,A10)="","",INDEX('Equipo'!$C$6:$C$45,A10)),""))</f>
      </c>
      <c r="D10" s="21">
        <f>IF(A10="","",IFERROR(IF(INDEX('Equipo'!$D$6:$D$45,A10)="","",INDEX('Equipo'!$D$6:$D$45,A10)),""))</f>
      </c>
      <c r="E10" s="16"/>
      <c r="F10" s="20">
        <f>IF(OR(A10="",E10="",C10="",D10=""),"",E10-MAX(C10,DATE(YEAR(E10),1,1))+1)</f>
      </c>
      <c r="G10" s="53">
        <f>IF(F10="","",IF(C10&gt;=DATE(YEAR(E10)-5,12,31),14,IF(C10&gt;=DATE(YEAR(E10)-10,12,31),21,IF(C10&gt;=DATE(YEAR(E10)-20,12,31),28,35)))*F10/365)</f>
      </c>
      <c r="H10" s="31">
        <f>IF(F10="","",G10*D10/25)</f>
      </c>
      <c r="I10" s="31">
        <f>IF(F10="","",H10/12)</f>
      </c>
      <c r="J10" s="33">
        <f>IF(F10="","",H10+I10)</f>
      </c>
    </row>
    <row r="11" spans="1:10" x14ac:dyDescent="0.25">
      <c r="A11" s="52"/>
      <c r="B11" s="19">
        <f>IF(A11="","",IFERROR(IF(INDEX('Equipo'!$B$6:$B$45,A11)="","",INDEX('Equipo'!$B$6:$B$45,A11)),""))</f>
      </c>
      <c r="C11" s="11">
        <f>IF(A11="","",IFERROR(IF(INDEX('Equipo'!$C$6:$C$45,A11)="","",INDEX('Equipo'!$C$6:$C$45,A11)),""))</f>
      </c>
      <c r="D11" s="21">
        <f>IF(A11="","",IFERROR(IF(INDEX('Equipo'!$D$6:$D$45,A11)="","",INDEX('Equipo'!$D$6:$D$45,A11)),""))</f>
      </c>
      <c r="E11" s="16"/>
      <c r="F11" s="20">
        <f>IF(OR(A11="",E11="",C11="",D11=""),"",E11-MAX(C11,DATE(YEAR(E11),1,1))+1)</f>
      </c>
      <c r="G11" s="53">
        <f>IF(F11="","",IF(C11&gt;=DATE(YEAR(E11)-5,12,31),14,IF(C11&gt;=DATE(YEAR(E11)-10,12,31),21,IF(C11&gt;=DATE(YEAR(E11)-20,12,31),28,35)))*F11/365)</f>
      </c>
      <c r="H11" s="31">
        <f>IF(F11="","",G11*D11/25)</f>
      </c>
      <c r="I11" s="31">
        <f>IF(F11="","",H11/12)</f>
      </c>
      <c r="J11" s="33">
        <f>IF(F11="","",H11+I11)</f>
      </c>
    </row>
    <row r="12" spans="1:10" x14ac:dyDescent="0.25">
      <c r="A12" s="52"/>
      <c r="B12" s="19">
        <f>IF(A12="","",IFERROR(IF(INDEX('Equipo'!$B$6:$B$45,A12)="","",INDEX('Equipo'!$B$6:$B$45,A12)),""))</f>
      </c>
      <c r="C12" s="11">
        <f>IF(A12="","",IFERROR(IF(INDEX('Equipo'!$C$6:$C$45,A12)="","",INDEX('Equipo'!$C$6:$C$45,A12)),""))</f>
      </c>
      <c r="D12" s="21">
        <f>IF(A12="","",IFERROR(IF(INDEX('Equipo'!$D$6:$D$45,A12)="","",INDEX('Equipo'!$D$6:$D$45,A12)),""))</f>
      </c>
      <c r="E12" s="16"/>
      <c r="F12" s="20">
        <f>IF(OR(A12="",E12="",C12="",D12=""),"",E12-MAX(C12,DATE(YEAR(E12),1,1))+1)</f>
      </c>
      <c r="G12" s="53">
        <f>IF(F12="","",IF(C12&gt;=DATE(YEAR(E12)-5,12,31),14,IF(C12&gt;=DATE(YEAR(E12)-10,12,31),21,IF(C12&gt;=DATE(YEAR(E12)-20,12,31),28,35)))*F12/365)</f>
      </c>
      <c r="H12" s="31">
        <f>IF(F12="","",G12*D12/25)</f>
      </c>
      <c r="I12" s="31">
        <f>IF(F12="","",H12/12)</f>
      </c>
      <c r="J12" s="33">
        <f>IF(F12="","",H12+I12)</f>
      </c>
    </row>
    <row r="13" spans="1:10" x14ac:dyDescent="0.25">
      <c r="A13" s="52"/>
      <c r="B13" s="19">
        <f>IF(A13="","",IFERROR(IF(INDEX('Equipo'!$B$6:$B$45,A13)="","",INDEX('Equipo'!$B$6:$B$45,A13)),""))</f>
      </c>
      <c r="C13" s="11">
        <f>IF(A13="","",IFERROR(IF(INDEX('Equipo'!$C$6:$C$45,A13)="","",INDEX('Equipo'!$C$6:$C$45,A13)),""))</f>
      </c>
      <c r="D13" s="21">
        <f>IF(A13="","",IFERROR(IF(INDEX('Equipo'!$D$6:$D$45,A13)="","",INDEX('Equipo'!$D$6:$D$45,A13)),""))</f>
      </c>
      <c r="E13" s="16"/>
      <c r="F13" s="20">
        <f>IF(OR(A13="",E13="",C13="",D13=""),"",E13-MAX(C13,DATE(YEAR(E13),1,1))+1)</f>
      </c>
      <c r="G13" s="53">
        <f>IF(F13="","",IF(C13&gt;=DATE(YEAR(E13)-5,12,31),14,IF(C13&gt;=DATE(YEAR(E13)-10,12,31),21,IF(C13&gt;=DATE(YEAR(E13)-20,12,31),28,35)))*F13/365)</f>
      </c>
      <c r="H13" s="31">
        <f>IF(F13="","",G13*D13/25)</f>
      </c>
      <c r="I13" s="31">
        <f>IF(F13="","",H13/12)</f>
      </c>
      <c r="J13" s="33">
        <f>IF(F13="","",H13+I13)</f>
      </c>
    </row>
    <row r="14" spans="1:10" x14ac:dyDescent="0.25">
      <c r="A14" s="52"/>
      <c r="B14" s="19">
        <f>IF(A14="","",IFERROR(IF(INDEX('Equipo'!$B$6:$B$45,A14)="","",INDEX('Equipo'!$B$6:$B$45,A14)),""))</f>
      </c>
      <c r="C14" s="11">
        <f>IF(A14="","",IFERROR(IF(INDEX('Equipo'!$C$6:$C$45,A14)="","",INDEX('Equipo'!$C$6:$C$45,A14)),""))</f>
      </c>
      <c r="D14" s="21">
        <f>IF(A14="","",IFERROR(IF(INDEX('Equipo'!$D$6:$D$45,A14)="","",INDEX('Equipo'!$D$6:$D$45,A14)),""))</f>
      </c>
      <c r="E14" s="16"/>
      <c r="F14" s="20">
        <f>IF(OR(A14="",E14="",C14="",D14=""),"",E14-MAX(C14,DATE(YEAR(E14),1,1))+1)</f>
      </c>
      <c r="G14" s="53">
        <f>IF(F14="","",IF(C14&gt;=DATE(YEAR(E14)-5,12,31),14,IF(C14&gt;=DATE(YEAR(E14)-10,12,31),21,IF(C14&gt;=DATE(YEAR(E14)-20,12,31),28,35)))*F14/365)</f>
      </c>
      <c r="H14" s="31">
        <f>IF(F14="","",G14*D14/25)</f>
      </c>
      <c r="I14" s="31">
        <f>IF(F14="","",H14/12)</f>
      </c>
      <c r="J14" s="33">
        <f>IF(F14="","",H14+I14)</f>
      </c>
    </row>
    <row r="15" spans="1:10" x14ac:dyDescent="0.25">
      <c r="A15" s="52"/>
      <c r="B15" s="19">
        <f>IF(A15="","",IFERROR(IF(INDEX('Equipo'!$B$6:$B$45,A15)="","",INDEX('Equipo'!$B$6:$B$45,A15)),""))</f>
      </c>
      <c r="C15" s="11">
        <f>IF(A15="","",IFERROR(IF(INDEX('Equipo'!$C$6:$C$45,A15)="","",INDEX('Equipo'!$C$6:$C$45,A15)),""))</f>
      </c>
      <c r="D15" s="21">
        <f>IF(A15="","",IFERROR(IF(INDEX('Equipo'!$D$6:$D$45,A15)="","",INDEX('Equipo'!$D$6:$D$45,A15)),""))</f>
      </c>
      <c r="E15" s="16"/>
      <c r="F15" s="20">
        <f>IF(OR(A15="",E15="",C15="",D15=""),"",E15-MAX(C15,DATE(YEAR(E15),1,1))+1)</f>
      </c>
      <c r="G15" s="53">
        <f>IF(F15="","",IF(C15&gt;=DATE(YEAR(E15)-5,12,31),14,IF(C15&gt;=DATE(YEAR(E15)-10,12,31),21,IF(C15&gt;=DATE(YEAR(E15)-20,12,31),28,35)))*F15/365)</f>
      </c>
      <c r="H15" s="31">
        <f>IF(F15="","",G15*D15/25)</f>
      </c>
      <c r="I15" s="31">
        <f>IF(F15="","",H15/12)</f>
      </c>
      <c r="J15" s="33">
        <f>IF(F15="","",H15+I15)</f>
      </c>
    </row>
  </sheetData>
  <mergeCells count="3">
    <mergeCell ref="A1:J1"/>
    <mergeCell ref="A2:J2"/>
    <mergeCell ref="A3:J3"/>
  </mergeCells>
  <dataValidations count="4">
    <dataValidation type="whole" allowBlank="1" showErrorMessage="1" error="Un número de empleado del 1 al 40." sqref="A10:A15">
      <formula1>1</formula1>
      <formula2>40</formula2>
    </dataValidation>
    <dataValidation type="whole" allowBlank="1" showErrorMessage="1" error="Un número de empleado del 1 al 40." sqref="A6:A15">
      <formula1>1</formula1>
      <formula2>40</formula2>
    </dataValidation>
    <dataValidation type="decimal" allowBlank="1" showErrorMessage="1" error="Escribí la fecha de egreso como dd/mm/aaaa." sqref="E10:E15">
      <formula1>46023</formula1>
      <formula2>47118</formula2>
    </dataValidation>
    <dataValidation type="decimal" allowBlank="1" showErrorMessage="1" error="Escribí la fecha de egreso como dd/mm/aaaa." sqref="E6:E15">
      <formula1>46023</formula1>
      <formula2>47118</formula2>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55A64"/>
  </sheetPr>
  <dimension ref="A1:B35"/>
  <sheetFormatPr defaultRowHeight="15" outlineLevelRow="0" outlineLevelCol="0" x14ac:dyDescent="55"/>
  <cols>
    <col min="1" max="1" width="16" customWidth="1"/>
    <col min="2" max="2" width="60" customWidth="1"/>
  </cols>
  <sheetData>
    <row r="1" ht="28" customHeight="1" spans="1:2" x14ac:dyDescent="0.25">
      <c r="A1" s="35" t="s">
        <v>110</v>
      </c>
      <c r="B1" s="35"/>
    </row>
    <row r="2" ht="40" customHeight="1" spans="1:2" x14ac:dyDescent="0.25">
      <c r="A2" s="6" t="s">
        <v>111</v>
      </c>
      <c r="B2" s="6"/>
    </row>
    <row r="4" spans="1:2" x14ac:dyDescent="0.25">
      <c r="A4" s="54" t="s">
        <v>112</v>
      </c>
      <c r="B4" s="54" t="s">
        <v>113</v>
      </c>
    </row>
    <row r="5" spans="1:2" x14ac:dyDescent="0.25">
      <c r="A5" s="55">
        <v>46023</v>
      </c>
      <c r="B5" s="56" t="s">
        <v>114</v>
      </c>
    </row>
    <row r="6" spans="1:2" x14ac:dyDescent="0.25">
      <c r="A6" s="57">
        <v>46069</v>
      </c>
      <c r="B6" s="58" t="s">
        <v>115</v>
      </c>
    </row>
    <row r="7" spans="1:2" x14ac:dyDescent="0.25">
      <c r="A7" s="55">
        <v>46070</v>
      </c>
      <c r="B7" s="56" t="s">
        <v>116</v>
      </c>
    </row>
    <row r="8" spans="1:2" x14ac:dyDescent="0.25">
      <c r="A8" s="57">
        <v>46105</v>
      </c>
      <c r="B8" s="58" t="s">
        <v>117</v>
      </c>
    </row>
    <row r="9" spans="1:2" x14ac:dyDescent="0.25">
      <c r="A9" s="55">
        <v>46114</v>
      </c>
      <c r="B9" s="56" t="s">
        <v>118</v>
      </c>
    </row>
    <row r="10" spans="1:2" x14ac:dyDescent="0.25">
      <c r="A10" s="57">
        <v>46115</v>
      </c>
      <c r="B10" s="58" t="s">
        <v>119</v>
      </c>
    </row>
    <row r="11" spans="1:2" x14ac:dyDescent="0.25">
      <c r="A11" s="55">
        <v>46143</v>
      </c>
      <c r="B11" s="56" t="s">
        <v>120</v>
      </c>
    </row>
    <row r="12" spans="1:2" x14ac:dyDescent="0.25">
      <c r="A12" s="57">
        <v>46167</v>
      </c>
      <c r="B12" s="58" t="s">
        <v>121</v>
      </c>
    </row>
    <row r="13" spans="1:2" x14ac:dyDescent="0.25">
      <c r="A13" s="55">
        <v>46188</v>
      </c>
      <c r="B13" s="56" t="s">
        <v>122</v>
      </c>
    </row>
    <row r="14" spans="1:2" x14ac:dyDescent="0.25">
      <c r="A14" s="57">
        <v>46193</v>
      </c>
      <c r="B14" s="58" t="s">
        <v>123</v>
      </c>
    </row>
    <row r="15" spans="1:2" x14ac:dyDescent="0.25">
      <c r="A15" s="55">
        <v>46212</v>
      </c>
      <c r="B15" s="56" t="s">
        <v>124</v>
      </c>
    </row>
    <row r="16" spans="1:2" x14ac:dyDescent="0.25">
      <c r="A16" s="57">
        <v>46251</v>
      </c>
      <c r="B16" s="58" t="s">
        <v>125</v>
      </c>
    </row>
    <row r="17" spans="1:2" x14ac:dyDescent="0.25">
      <c r="A17" s="55">
        <v>46307</v>
      </c>
      <c r="B17" s="56" t="s">
        <v>126</v>
      </c>
    </row>
    <row r="18" spans="1:2" x14ac:dyDescent="0.25">
      <c r="A18" s="57">
        <v>46349</v>
      </c>
      <c r="B18" s="58" t="s">
        <v>127</v>
      </c>
    </row>
    <row r="19" spans="1:2" x14ac:dyDescent="0.25">
      <c r="A19" s="55">
        <v>46364</v>
      </c>
      <c r="B19" s="56" t="s">
        <v>128</v>
      </c>
    </row>
    <row r="20" spans="1:2" x14ac:dyDescent="0.25">
      <c r="A20" s="57">
        <v>46381</v>
      </c>
      <c r="B20" s="58" t="s">
        <v>129</v>
      </c>
    </row>
    <row r="21" spans="1:2" x14ac:dyDescent="0.25">
      <c r="A21" s="55">
        <v>46388</v>
      </c>
      <c r="B21" s="56" t="s">
        <v>114</v>
      </c>
    </row>
    <row r="22" spans="1:2" x14ac:dyDescent="0.25">
      <c r="A22" s="57">
        <v>46426</v>
      </c>
      <c r="B22" s="58" t="s">
        <v>115</v>
      </c>
    </row>
    <row r="23" spans="1:2" x14ac:dyDescent="0.25">
      <c r="A23" s="55">
        <v>46427</v>
      </c>
      <c r="B23" s="56" t="s">
        <v>116</v>
      </c>
    </row>
    <row r="24" spans="1:2" x14ac:dyDescent="0.25">
      <c r="A24" s="57">
        <v>46470</v>
      </c>
      <c r="B24" s="58" t="s">
        <v>117</v>
      </c>
    </row>
    <row r="25" spans="1:2" x14ac:dyDescent="0.25">
      <c r="A25" s="55">
        <v>46472</v>
      </c>
      <c r="B25" s="56" t="s">
        <v>119</v>
      </c>
    </row>
    <row r="26" spans="1:2" x14ac:dyDescent="0.25">
      <c r="A26" s="57">
        <v>46479</v>
      </c>
      <c r="B26" s="58" t="s">
        <v>118</v>
      </c>
    </row>
    <row r="27" spans="1:2" x14ac:dyDescent="0.25">
      <c r="A27" s="55">
        <v>46508</v>
      </c>
      <c r="B27" s="56" t="s">
        <v>120</v>
      </c>
    </row>
    <row r="28" spans="1:2" x14ac:dyDescent="0.25">
      <c r="A28" s="57">
        <v>46532</v>
      </c>
      <c r="B28" s="58" t="s">
        <v>121</v>
      </c>
    </row>
    <row r="29" spans="1:2" x14ac:dyDescent="0.25">
      <c r="A29" s="55">
        <v>46558</v>
      </c>
      <c r="B29" s="56" t="s">
        <v>123</v>
      </c>
    </row>
    <row r="30" spans="1:2" x14ac:dyDescent="0.25">
      <c r="A30" s="57">
        <v>46559</v>
      </c>
      <c r="B30" s="58" t="s">
        <v>122</v>
      </c>
    </row>
    <row r="31" spans="1:2" x14ac:dyDescent="0.25">
      <c r="A31" s="55">
        <v>46577</v>
      </c>
      <c r="B31" s="56" t="s">
        <v>124</v>
      </c>
    </row>
    <row r="32" spans="1:2" x14ac:dyDescent="0.25">
      <c r="A32" s="57">
        <v>46615</v>
      </c>
      <c r="B32" s="58" t="s">
        <v>125</v>
      </c>
    </row>
    <row r="33" spans="1:2" x14ac:dyDescent="0.25">
      <c r="A33" s="55">
        <v>46671</v>
      </c>
      <c r="B33" s="56" t="s">
        <v>126</v>
      </c>
    </row>
    <row r="34" spans="1:2" x14ac:dyDescent="0.25">
      <c r="A34" s="57">
        <v>46729</v>
      </c>
      <c r="B34" s="58" t="s">
        <v>128</v>
      </c>
    </row>
    <row r="35" spans="1:2" x14ac:dyDescent="0.25">
      <c r="A35" s="55">
        <v>46746</v>
      </c>
      <c r="B35" s="56" t="s">
        <v>129</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74F"/>
  </sheetPr>
  <dimension ref="A1:B12"/>
  <sheetFormatPr defaultRowHeight="15" outlineLevelRow="0" outlineLevelCol="0" x14ac:dyDescent="55"/>
  <cols>
    <col min="1" max="1" width="62" customWidth="1"/>
    <col min="2" max="2" width="76" customWidth="1"/>
  </cols>
  <sheetData>
    <row r="1" ht="28" customHeight="1" spans="1:2" x14ac:dyDescent="0.25">
      <c r="A1" s="59" t="s">
        <v>130</v>
      </c>
      <c r="B1" s="59"/>
    </row>
    <row r="2" ht="30" customHeight="1" spans="1:2" x14ac:dyDescent="0.25">
      <c r="A2" s="60" t="s">
        <v>131</v>
      </c>
      <c r="B2" s="60"/>
    </row>
    <row r="4" spans="1:2" x14ac:dyDescent="0.25">
      <c r="A4" s="54" t="s">
        <v>132</v>
      </c>
      <c r="B4" s="54" t="s">
        <v>133</v>
      </c>
    </row>
    <row r="5" ht="32" customHeight="1" spans="1:2" x14ac:dyDescent="0.25">
      <c r="A5" s="61" t="s">
        <v>134</v>
      </c>
      <c r="B5" s="62" t="s">
        <v>135</v>
      </c>
    </row>
    <row r="6" ht="32" customHeight="1" spans="1:2" x14ac:dyDescent="0.25">
      <c r="A6" s="63" t="s">
        <v>136</v>
      </c>
      <c r="B6" s="64" t="s">
        <v>137</v>
      </c>
    </row>
    <row r="7" ht="32" customHeight="1" spans="1:2" x14ac:dyDescent="0.25">
      <c r="A7" s="61" t="s">
        <v>138</v>
      </c>
      <c r="B7" s="62" t="s">
        <v>139</v>
      </c>
    </row>
    <row r="8" ht="32" customHeight="1" spans="1:2" x14ac:dyDescent="0.25">
      <c r="A8" s="63" t="s">
        <v>140</v>
      </c>
      <c r="B8" s="64" t="s">
        <v>141</v>
      </c>
    </row>
    <row r="9" ht="32" customHeight="1" spans="1:2" x14ac:dyDescent="0.25">
      <c r="A9" s="61" t="s">
        <v>142</v>
      </c>
      <c r="B9" s="62" t="s">
        <v>143</v>
      </c>
    </row>
    <row r="10" ht="32" customHeight="1" spans="1:2" x14ac:dyDescent="0.25">
      <c r="A10" s="63" t="s">
        <v>144</v>
      </c>
      <c r="B10" s="64" t="s">
        <v>145</v>
      </c>
    </row>
    <row r="12" spans="1:2" x14ac:dyDescent="0.25">
      <c r="A12" s="6" t="s">
        <v>146</v>
      </c>
      <c r="B12" s="6"/>
    </row>
  </sheetData>
  <mergeCells count="3">
    <mergeCell ref="A1:B1"/>
    <mergeCell ref="A2:B2"/>
    <mergeCell ref="A12:B12"/>
  </mergeCells>
  <hyperlinks>
    <hyperlink ref="B5" r:id="rId1"/>
    <hyperlink ref="B6" r:id="rId2"/>
    <hyperlink ref="B7" r:id="rId3"/>
    <hyperlink ref="B8" r:id="rId4"/>
    <hyperlink ref="B9" r:id="rId5"/>
    <hyperlink ref="B10"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Instrucciones</vt:lpstr>
      <vt:lpstr>Equipo</vt:lpstr>
      <vt:lpstr>Liquidación</vt:lpstr>
      <vt:lpstr>Notificación</vt:lpstr>
      <vt:lpstr>Temporada</vt:lpstr>
      <vt:lpstr>Egresos</vt:lpstr>
      <vt:lpstr>Feriados</vt:lpstr>
      <vt:lpstr>Fuentes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CalculAR (calcular.ar)</dc:creator>
  <dc:title>Planilla de vacaciones 2026</dc:title>
  <dc:subject>Días, fechas, aviso, pago y notificación de vacaciones del equipo (LCT arts. 150 a 157)</dc:subject>
  <dc:description/>
  <cp:keywords>vacaciones, LCT, art. 154, plus vacacional, notificación de vacaciones, planilla</cp:keywords>
  <cp:category/>
  <cp:lastModifiedBy>Unknown</cp:lastModifiedBy>
  <dcterms:created xsi:type="dcterms:W3CDTF">2026-10-08T04:07:05Z</dcterms:created>
  <dcterms:modified xsi:type="dcterms:W3CDTF">2026-10-08T04:07:05Z</dcterms:modified>
</cp:coreProperties>
</file>