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<sst xmlns="http://schemas.openxmlformats.org/spreadsheetml/2006/main" count="271" uniqueCount="189">
  <si>
    <t>Cómo usar esta planilla</t>
  </si>
  <si>
    <t>1</t>
  </si>
  <si>
    <t>Andá a la hoja «Liquidador». Completá solo las celdas amarillas: mes, categoría, modalidad, horas por semana, zona, años de antigüedad,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</si>
  <si>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</si>
  <si>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</si>
  <si>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</si>
  <si>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</si>
  <si>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</si>
  <si>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</si>
  <si>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</si>
  <si>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</si>
  <si>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</si>
  <si>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</si>
  <si>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</si>
  <si>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</si>
  <si>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Antigüedad: 1% del básico por cada año (art. 3 de la Resolución CNTCP 2/2021). Los años se cuentan desde el 1 de septiembre de 2020, sin efecto retroactivo: aunque haya entrado antes, en octubre de 2026 suma como máximo 6 años. La planilla aplica ese tope sola.</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</si>
  <si>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</si>
  <si>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</si>
  <si>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</si>
  <si>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</si>
  <si>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</si>
  <si>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</si>
  <si>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</si>
  <si>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</si>
  <si>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</si>
  <si>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</si>
  <si>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</si>
  <si>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</si>
  <si>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</si>
  <si>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</si>
  <si>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</si>
  <si>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</si>
  <si>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</si>
  <si>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</si>
  <si>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</si>
  <si>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Años completos de antigüedad</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</si>
  <si>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</si>
  <si>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</si>
  <si>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</si>
  <si>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</si>
  <si>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</si>
  <si>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</si>
  <si>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</si>
  <si>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</si>
  <si>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</si>
  <si>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</si>
  <si>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</si>
  <si>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Adicional por antigüedad (1% por año)</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</si>
  <si>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</si>
  <si>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</si>
  <si>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</si>
  <si>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</si>
  <si>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</si>
  <si>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</si>
  <si>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</si>
  <si>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</si>
  <si>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</si>
  <si>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</si>
  <si>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</si>
  <si>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</si>
  <si>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</si>
  <si>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</si>
  <si>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 Antigüedad (art. 3 de la Resolución CNTCP 2/2021): 1% del básico por año completo, contado desde el 1 de septiembre de 2020 sin efecto retroactivo. Si cargás más años de los que se pueden contar en el mes elegido, la planilla toma el máximo. Para vacaciones e indemnización vale la antigüedad completa.</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</si>
  <si>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</si>
  <si>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</si>
  <si>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</si>
  <si>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</si>
  <si>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</si>
  <si>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</si>
  <si>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</si>
  <si>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</si>
  <si>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</si>
  <si>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</si>
  <si>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</si>
  <si>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</si>
  <si>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</si>
  <si>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</si>
  <si>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</si>
  <si>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</si>
  <si>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</si>
  <si>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</si>
  <si>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</si>
  <si>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</si>
  <si>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</si>
  <si>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</si>
  <si>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</si>
  <si>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</si>
  <si>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</si>
  <si>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</si>
  <si>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</si>
  <si>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</si>
  <si>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</si>
  <si>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</si>
  <si>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</si>
  <si>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</si>
  <si>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</si>
  <si>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</si>
  <si>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</si>
  <si>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</si>
  <si>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</si>
  <si>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</si>
  <si>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</si>
  <si>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</si>
  <si>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</si>
  <si>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</si>
  <si>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</si>
  <si>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</si>
  <si>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</si>
  <si>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</si>
  <si>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</si>
  <si>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</si>
  <si>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</si>
  <si>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</si>
  <si>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</si>
  <si>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</si>
  <si>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</si>
  <si>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</si>
  <si>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</si>
  <si>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</si>
  <si>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</si>
  <si>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</si>
  <si>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</si>
  <si>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</si>
  <si>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</si>
  <si>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</si>
  <si>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</si>
  <si>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</si>
  <si>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</si>
  <si>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</si>
  <si>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</si>
  <si>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</si>
  <si>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</si>
  <si>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</si>
  <si>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</si>
  <si>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</si>
  <si>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</si>
  <si>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</si>
  <si>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</si>
  <si>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</si>
  <si>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</si>
  <si>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</si>
  <si>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</si>
  <si>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</si>
  <si>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</si>
  <si>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</si>
  <si>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</si>
  <si>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</si>
  <si>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</si>
  <si>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</si>
  <si>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</si>
  <si>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</si>
  <si>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</si>
  <si>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</si>
  <si>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</si>
  <si>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</si>
  <si>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</si>
  <si>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</si>
  <si>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</si>
  <si>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</si>
  <si>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</si>
  <si>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</si>
  <si>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</si>
  <si>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</si>
  <si>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</si>
  <si>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</si>
  <si>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</si>
  <si>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</si>
  <si>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</si>
  <si>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</si>
  <si>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</si>
  <si>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</si>
  <si>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</si>
  <si>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</si>
  <si>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</si>
  <si>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</si>
  <si>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</si>
  <si>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Resolución CNTCP 2/2021: crea el adicional por antigüedad</t>
  </si>
  <si>
    <t>https://www.boletinoficial.gob.ar/detalleAviso/primera/246035/20210625</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</si>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</sst>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www.boletinoficial.gob.ar/detalleAviso/primera/246035/20210625" TargetMode="External"/><Relationship Id="rId6" Type="http://schemas.openxmlformats.org/officeDocument/2006/relationships/hyperlink" Target="https://servicios.infoleg.gob.ar/infolegInternet/anexos/210000-214999/210489/texact.htm" TargetMode="External"/><Relationship Id="rId7" Type="http://schemas.openxmlformats.org/officeDocument/2006/relationships/hyperlink" Target="https://www.arca.gob.ar/casasparticulares/aportes-contribuciones-ART/documentos/2026/Casas-particulares-aportes-y-contribuciones-08-26.pdf" TargetMode="External"/><Relationship Id="rId8" Type="http://schemas.openxmlformats.org/officeDocument/2006/relationships/hyperlink" Target="https://www.arca.gob.ar/casasparticulares/aportes-contribuciones-ART/conceptos.asp" TargetMode="External"/><Relationship Id="rId9" Type="http://schemas.openxmlformats.org/officeDocument/2006/relationships/hyperlink" Target="https://www.arca.gob.ar/casasparticulares/ayuda/empleador/obra-social.asp" TargetMode="External"/><Relationship Id="rId10" Type="http://schemas.openxmlformats.org/officeDocument/2006/relationships/hyperlink" Target="https://www.arca.gob.ar/casasparticulares/ayuda/empleador/jubilacion.asp" TargetMode="External"/><Relationship Id="rId11"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19" ht="36" customHeight="1" spans="2:2" x14ac:dyDescent="0.25">
      <c r="B19" s="5" t="s">
        <v>21</v>
      </c>
    </row>
    <row r="21" ht="44" customHeight="1" spans="1:2" x14ac:dyDescent="0.25">
      <c r="A21" s="6" t="s">
        <v>22</v>
      </c>
      <c r="B21" s="6"/>
    </row>
  </sheetData>
  <mergeCells count="3">
    <mergeCell ref="A1:B1"/>
    <mergeCell ref="A9:B9"/>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8"/>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23</v>
      </c>
      <c r="B1" s="7"/>
    </row>
    <row r="2" spans="1:2" x14ac:dyDescent="0.25">
      <c r="A2" s="8" t="s">
        <v>24</v>
      </c>
      <c r="B2" s="8"/>
    </row>
    <row r="4" spans="1:2" x14ac:dyDescent="0.25">
      <c r="A4" s="4" t="s">
        <v>25</v>
      </c>
      <c r="B4" s="4"/>
    </row>
    <row r="5" spans="1:4" x14ac:dyDescent="0.25">
      <c r="A5" s="9" t="s">
        <v>26</v>
      </c>
      <c r="B5" s="10" t="s">
        <v>27</v>
      </c>
      <c r="D5">
        <f>MATCH(B5,'Escala 2026'!$E$2:$I$2,0)</f>
      </c>
    </row>
    <row r="6" spans="1:4" x14ac:dyDescent="0.25">
      <c r="A6" s="9" t="s">
        <v>28</v>
      </c>
      <c r="B6" s="10" t="s">
        <v>29</v>
      </c>
      <c r="D6">
        <f>CONCATENATE("H|",B6,"|",B7)</f>
      </c>
    </row>
    <row r="7" spans="1:4" x14ac:dyDescent="0.25">
      <c r="A7" s="9" t="s">
        <v>30</v>
      </c>
      <c r="B7" s="10" t="s">
        <v>31</v>
      </c>
      <c r="D7">
        <f>IFERROR(INDEX('Escala 2026'!$E$3:$I$22,MATCH(D6,'Escala 2026'!$A$3:$A$22,0),D5),0)</f>
      </c>
    </row>
    <row r="8" spans="1:4" x14ac:dyDescent="0.25">
      <c r="A8" s="9" t="s">
        <v>32</v>
      </c>
      <c r="B8" s="11">
        <v>20</v>
      </c>
      <c r="D8">
        <f>CONCATENATE("M|",B6,"|",B7)</f>
      </c>
    </row>
    <row r="9" spans="1:4" x14ac:dyDescent="0.25">
      <c r="A9" s="9" t="s">
        <v>33</v>
      </c>
      <c r="B9" s="10" t="s">
        <v>34</v>
      </c>
      <c r="D9">
        <f>IFERROR(INDEX('Escala 2026'!$E$3:$I$22,MATCH(D8,'Escala 2026'!$A$3:$A$22,0),D5),0)</f>
      </c>
    </row>
    <row r="10" spans="1:4" x14ac:dyDescent="0.25">
      <c r="A10" s="9" t="s">
        <v>35</v>
      </c>
      <c r="B10" s="11">
        <v>0</v>
      </c>
      <c r="D10">
        <f>IF(B9="Sí",1.31,1)</f>
      </c>
    </row>
    <row r="11" spans="1:4" x14ac:dyDescent="0.25">
      <c r="A11" s="9" t="s">
        <v>36</v>
      </c>
      <c r="B11" s="11">
        <v>0</v>
      </c>
      <c r="D11">
        <f>MIN(MAX(B8,0),48)</f>
      </c>
    </row>
    <row r="12" spans="1:4" x14ac:dyDescent="0.25">
      <c r="A12" s="9" t="s">
        <v>37</v>
      </c>
      <c r="B12" s="11">
        <v>0</v>
      </c>
      <c r="D12">
        <f>IF(MAX(B8,0)&gt;=16,"16 horas semanales o más",IF(MAX(B8,0)&gt;=12,"Desde 12 a menos de 16 horas semanales","Menos de 12 horas semanales"))</f>
      </c>
    </row>
    <row r="13" spans="1:4" x14ac:dyDescent="0.25">
      <c r="A13" s="9" t="s">
        <v>38</v>
      </c>
      <c r="B13" s="10" t="s">
        <v>39</v>
      </c>
      <c r="D13">
        <f>CONCATENATE(B13,"|",D12)</f>
      </c>
    </row>
    <row r="14" spans="1:4" x14ac:dyDescent="0.25">
      <c r="A14" s="9" t="s">
        <v>40</v>
      </c>
      <c r="B14" s="12">
        <f>IF(D7=0,"Esa combinación no existe en la escala oficial: los caseros son siempre sin retiro.","OK")</f>
      </c>
      <c r="D14">
        <f>CONCATENATE(B13,"|","16 horas semanales o más")</f>
      </c>
    </row>
    <row r="15" spans="1:4" x14ac:dyDescent="0.25">
      <c r="A15" s="4" t="s">
        <v>41</v>
      </c>
      <c r="B15" s="4"/>
      <c r="D15">
        <f>IFERROR(CHOOSE(D5,5,6,6,6,6),0)</f>
      </c>
    </row>
    <row r="16" spans="1:4" x14ac:dyDescent="0.25">
      <c r="A16" s="13" t="s">
        <v>42</v>
      </c>
      <c r="B16" s="14">
        <f>IF(D7=0,0,ROUND(D7*D10,2))</f>
      </c>
      <c r="D16">
        <f>MIN(MAX(INT(B10),0),D15)</f>
      </c>
    </row>
    <row r="17" spans="1:2" x14ac:dyDescent="0.25">
      <c r="A17" s="13" t="s">
        <v>43</v>
      </c>
      <c r="B17" s="14">
        <f>ROUND(D9*D10,2)</f>
      </c>
    </row>
    <row r="18" spans="1:2" x14ac:dyDescent="0.25">
      <c r="A18" s="13" t="s">
        <v>44</v>
      </c>
      <c r="B18" s="15">
        <f>ROUND(D11*52/12,2)</f>
      </c>
    </row>
    <row r="19" spans="1:2" x14ac:dyDescent="0.25">
      <c r="A19" s="13" t="s">
        <v>45</v>
      </c>
      <c r="B19" s="14">
        <f>ROUND(B16*B18,2)</f>
      </c>
    </row>
    <row r="20" spans="1:2" x14ac:dyDescent="0.25">
      <c r="A20" s="13" t="s">
        <v>46</v>
      </c>
      <c r="B20" s="14">
        <f>IF(D11&gt;=48,MAX(B19,B17),B19)</f>
      </c>
    </row>
    <row r="21" spans="1:2" x14ac:dyDescent="0.25">
      <c r="A21" s="13" t="s">
        <v>47</v>
      </c>
      <c r="B21" s="14">
        <f>ROUND(B20*D16*1/100,2)</f>
      </c>
    </row>
    <row r="22" spans="1:2" x14ac:dyDescent="0.25">
      <c r="A22" s="13" t="s">
        <v>48</v>
      </c>
      <c r="B22" s="14">
        <f>ROUND(MAX(B11,0)*B16*1.5,2)</f>
      </c>
    </row>
    <row r="23" spans="1:2" x14ac:dyDescent="0.25">
      <c r="A23" s="13" t="s">
        <v>49</v>
      </c>
      <c r="B23" s="14">
        <f>ROUND(MAX(B12,0)*B16*2,2)</f>
      </c>
    </row>
    <row r="24" spans="1:2" x14ac:dyDescent="0.25">
      <c r="A24" s="16" t="s">
        <v>50</v>
      </c>
      <c r="B24" s="17">
        <f>ROUND(B20+B21+B22+B23,2)</f>
      </c>
    </row>
    <row r="25" spans="1:2" x14ac:dyDescent="0.25">
      <c r="A25" s="13" t="s">
        <v>51</v>
      </c>
      <c r="B25" s="14">
        <f>ROUND(B24/2,2)</f>
      </c>
    </row>
    <row r="26" ht="6" customHeight="1" x14ac:dyDescent="0.25"/>
    <row r="27" spans="1:2" x14ac:dyDescent="0.25">
      <c r="A27" s="4" t="s">
        <v>52</v>
      </c>
      <c r="B27" s="4"/>
    </row>
    <row r="28" spans="1:2" x14ac:dyDescent="0.25">
      <c r="A28" s="13" t="s">
        <v>53</v>
      </c>
      <c r="B28" s="18">
        <f>D12</f>
      </c>
    </row>
    <row r="29" spans="1:2" x14ac:dyDescent="0.25">
      <c r="A29" s="13" t="s">
        <v>54</v>
      </c>
      <c r="B29" s="14">
        <f>IFERROR(INDEX('Aportes ARCA'!$D$3:$D$11,MATCH(D13,'Aportes ARCA'!$A$3:$A$11,0)),0)</f>
      </c>
    </row>
    <row r="30" spans="1:2" x14ac:dyDescent="0.25">
      <c r="A30" s="13" t="s">
        <v>55</v>
      </c>
      <c r="B30" s="14">
        <f>IFERROR(INDEX('Aportes ARCA'!$G$3:$G$11,MATCH(D13,'Aportes ARCA'!$A$3:$A$11,0)),0)</f>
      </c>
    </row>
    <row r="31" spans="1:2" x14ac:dyDescent="0.25">
      <c r="A31" s="13" t="s">
        <v>56</v>
      </c>
      <c r="B31" s="14">
        <f>MAX(0,ROUND(IFERROR(INDEX('Aportes ARCA'!$E$3:$E$11,MATCH(D14,'Aportes ARCA'!$A$3:$A$11,0)),0)-IFERROR(INDEX('Aportes ARCA'!$E$3:$E$11,MATCH(D13,'Aportes ARCA'!$A$3:$A$11,0)),0),2))</f>
      </c>
    </row>
    <row r="32" spans="1:2" x14ac:dyDescent="0.25">
      <c r="A32" s="13" t="s">
        <v>57</v>
      </c>
      <c r="B32" s="14">
        <f>MAX(0,ROUND(IFERROR(INDEX('Aportes ARCA'!$F$3:$F$11,MATCH(D14,'Aportes ARCA'!$A$3:$A$11,0)),0)-IFERROR(INDEX('Aportes ARCA'!$F$3:$F$11,MATCH(D13,'Aportes ARCA'!$A$3:$A$11,0)),0),2))</f>
      </c>
    </row>
    <row r="33" spans="1:2" x14ac:dyDescent="0.25">
      <c r="A33" s="16" t="s">
        <v>58</v>
      </c>
      <c r="B33" s="17">
        <f>ROUND(B24+B29,2)</f>
      </c>
    </row>
    <row r="35" spans="1:2" x14ac:dyDescent="0.25">
      <c r="A35" s="6" t="s">
        <v>59</v>
      </c>
      <c r="B35" s="6"/>
    </row>
    <row r="36" spans="1:2" x14ac:dyDescent="0.25">
      <c r="A36" s="6" t="s">
        <v>60</v>
      </c>
      <c r="B36" s="6"/>
    </row>
    <row r="37" ht="40" customHeight="1" spans="1:2" x14ac:dyDescent="0.25">
      <c r="A37" s="6" t="s">
        <v>61</v>
      </c>
      <c r="B37" s="6"/>
    </row>
    <row r="38" ht="40" customHeight="1" spans="1:2" x14ac:dyDescent="0.25">
      <c r="A38" s="6" t="s">
        <v>62</v>
      </c>
      <c r="B38" s="6"/>
    </row>
  </sheetData>
  <mergeCells count="9">
    <mergeCell ref="A1:B1"/>
    <mergeCell ref="A2:B2"/>
    <mergeCell ref="A4:B4"/>
    <mergeCell ref="A15:B15"/>
    <mergeCell ref="A27:B27"/>
    <mergeCell ref="A35:B35"/>
    <mergeCell ref="A36:B36"/>
    <mergeCell ref="A37:B37"/>
    <mergeCell ref="A38:B38"/>
  </mergeCells>
  <dataValidations count="8">
    <dataValidation type="whole" showErrorMessage="1" error="Ingresá los años completos que lleva trabajando en tu casa (entre 0 y 60)." sqref="B10">
      <formula1>0</formula1>
      <formula2>60</formula2>
    </dataValidation>
    <dataValidation type="decimal" showErrorMessage="1" error="Entre 0 y 200 horas." sqref="B11:B12">
      <formula1>0</formula1>
      <formula2>200</formula2>
    </dataValidation>
    <dataValidation type="list" showErrorMessage="1" error="Elegí una condición de la lista." sqref="B13">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63</v>
      </c>
      <c r="B1" s="19"/>
      <c r="C1" s="19"/>
      <c r="D1" s="19"/>
    </row>
    <row r="3" spans="1:4" x14ac:dyDescent="0.25">
      <c r="A3" s="20" t="s">
        <v>64</v>
      </c>
      <c r="B3" s="20" t="s">
        <v>65</v>
      </c>
      <c r="C3" s="20" t="s">
        <v>66</v>
      </c>
      <c r="D3" s="20" t="s">
        <v>67</v>
      </c>
    </row>
    <row r="4" spans="1:4" x14ac:dyDescent="0.25">
      <c r="A4" s="9" t="s">
        <v>68</v>
      </c>
      <c r="B4" s="21"/>
      <c r="C4" s="21"/>
      <c r="D4" s="22"/>
    </row>
    <row r="5" spans="1:4" x14ac:dyDescent="0.25">
      <c r="A5" s="9" t="s">
        <v>69</v>
      </c>
      <c r="B5" s="21"/>
      <c r="C5" s="21"/>
      <c r="D5" s="22"/>
    </row>
    <row r="6" spans="1:4" x14ac:dyDescent="0.25">
      <c r="A6" s="9" t="s">
        <v>70</v>
      </c>
      <c r="B6" s="21"/>
      <c r="C6" s="21"/>
      <c r="D6" s="22"/>
    </row>
    <row r="7" spans="1:4" x14ac:dyDescent="0.25">
      <c r="A7" s="9" t="s">
        <v>71</v>
      </c>
      <c r="B7" s="21"/>
      <c r="C7" s="21"/>
      <c r="D7" s="22"/>
    </row>
    <row r="8" spans="1:4" x14ac:dyDescent="0.25">
      <c r="A8" s="9" t="s">
        <v>72</v>
      </c>
      <c r="B8" s="21"/>
      <c r="C8" s="21"/>
      <c r="D8" s="22"/>
    </row>
    <row r="9" spans="1:4" x14ac:dyDescent="0.25">
      <c r="A9" s="9" t="s">
        <v>73</v>
      </c>
      <c r="B9" s="21"/>
      <c r="C9" s="21"/>
      <c r="D9" s="22"/>
    </row>
    <row r="10" spans="1:4" x14ac:dyDescent="0.25">
      <c r="A10" s="9" t="s">
        <v>74</v>
      </c>
      <c r="B10" s="21"/>
      <c r="C10" s="21"/>
      <c r="D10" s="22"/>
    </row>
    <row r="11" spans="1:4" x14ac:dyDescent="0.25">
      <c r="A11" s="9" t="s">
        <v>75</v>
      </c>
      <c r="B11" s="21"/>
      <c r="C11" s="21"/>
      <c r="D11" s="22"/>
    </row>
    <row r="12" spans="1:4" x14ac:dyDescent="0.25">
      <c r="A12" s="9" t="s">
        <v>76</v>
      </c>
      <c r="B12" s="21"/>
      <c r="C12" s="21"/>
      <c r="D12" s="22"/>
    </row>
    <row r="13" spans="1:4" x14ac:dyDescent="0.25">
      <c r="A13" s="9" t="s">
        <v>77</v>
      </c>
      <c r="B13" s="21"/>
      <c r="C13" s="21"/>
      <c r="D13" s="22"/>
    </row>
    <row r="14" spans="1:4" x14ac:dyDescent="0.25">
      <c r="A14" s="9" t="s">
        <v>78</v>
      </c>
      <c r="B14" s="21"/>
      <c r="C14" s="21"/>
      <c r="D14" s="22"/>
    </row>
    <row r="15" spans="1:4" x14ac:dyDescent="0.25">
      <c r="A15" s="9" t="s">
        <v>79</v>
      </c>
      <c r="B15" s="21"/>
      <c r="C15" s="21"/>
      <c r="D15" s="22"/>
    </row>
    <row r="16" spans="1:2" x14ac:dyDescent="0.25">
      <c r="A16" s="4" t="s">
        <v>80</v>
      </c>
      <c r="B16" s="4"/>
    </row>
    <row r="17" spans="1:2" x14ac:dyDescent="0.25">
      <c r="A17" s="13" t="s">
        <v>81</v>
      </c>
      <c r="B17" s="14">
        <f>ROUND(MAX(B4:B9)/2,2)</f>
      </c>
    </row>
    <row r="18" spans="1:2" x14ac:dyDescent="0.25">
      <c r="A18" s="13" t="s">
        <v>82</v>
      </c>
      <c r="B18" s="14">
        <f>ROUND(MAX(B10:B15)/2,2)</f>
      </c>
    </row>
    <row r="19" spans="1:2" x14ac:dyDescent="0.25">
      <c r="A19" s="13" t="s">
        <v>83</v>
      </c>
      <c r="B19" s="14">
        <f>SUM(B4:B15)</f>
      </c>
    </row>
    <row r="20" spans="1:2" x14ac:dyDescent="0.25">
      <c r="A20" s="13" t="s">
        <v>84</v>
      </c>
      <c r="B20" s="14">
        <f>SUM(C4:C15)</f>
      </c>
    </row>
    <row r="22" spans="1:2" x14ac:dyDescent="0.25">
      <c r="A22" s="4" t="s">
        <v>85</v>
      </c>
      <c r="B22" s="4"/>
    </row>
    <row r="23" spans="1:2" x14ac:dyDescent="0.25">
      <c r="A23" s="9" t="s">
        <v>86</v>
      </c>
      <c r="B23" s="23">
        <v>1</v>
      </c>
    </row>
    <row r="24" spans="1:2" x14ac:dyDescent="0.25">
      <c r="A24" s="13" t="s">
        <v>87</v>
      </c>
      <c r="B24" s="24">
        <f>IF(B23&lt;=5,14,IF(B23&lt;=10,21,IF(B23&lt;=20,28,35)))</f>
      </c>
    </row>
    <row r="26" ht="30" customHeight="1" spans="1:4" x14ac:dyDescent="0.25">
      <c r="A26" s="6" t="s">
        <v>88</v>
      </c>
      <c r="B26" s="6"/>
      <c r="C26" s="6"/>
      <c r="D26" s="6"/>
    </row>
    <row r="27" ht="30" customHeight="1" spans="1:4" x14ac:dyDescent="0.25">
      <c r="A27" s="6" t="s">
        <v>89</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3"/>
  <sheetFormatPr defaultRowHeight="15" outlineLevelRow="0" outlineLevelCol="0" x14ac:dyDescent="55"/>
  <cols>
    <col min="1" max="1" width="40" customWidth="1"/>
    <col min="2" max="2" width="44" customWidth="1"/>
  </cols>
  <sheetData>
    <row r="1" ht="28" customHeight="1" spans="1:2" x14ac:dyDescent="0.25">
      <c r="A1" s="25" t="s">
        <v>90</v>
      </c>
      <c r="B1" s="25"/>
    </row>
    <row r="2" spans="1:2" x14ac:dyDescent="0.25">
      <c r="A2" s="6" t="s">
        <v>91</v>
      </c>
      <c r="B2" s="6"/>
    </row>
    <row r="4" spans="1:2" x14ac:dyDescent="0.25">
      <c r="A4" s="9" t="s">
        <v>92</v>
      </c>
      <c r="B4" s="10" t="s">
        <v>93</v>
      </c>
    </row>
    <row r="5" spans="1:2" x14ac:dyDescent="0.25">
      <c r="A5" s="9" t="s">
        <v>94</v>
      </c>
      <c r="B5" s="10" t="s">
        <v>93</v>
      </c>
    </row>
    <row r="6" spans="1:2" x14ac:dyDescent="0.25">
      <c r="A6" s="9" t="s">
        <v>95</v>
      </c>
      <c r="B6" s="10" t="s">
        <v>93</v>
      </c>
    </row>
    <row r="7" spans="1:2" x14ac:dyDescent="0.25">
      <c r="A7" s="9" t="s">
        <v>96</v>
      </c>
      <c r="B7" s="10" t="s">
        <v>93</v>
      </c>
    </row>
    <row r="8" spans="1:2" x14ac:dyDescent="0.25">
      <c r="A8" s="9" t="s">
        <v>97</v>
      </c>
      <c r="B8" s="13">
        <f>'Liquidador'!B5</f>
      </c>
    </row>
    <row r="9" spans="1:2" x14ac:dyDescent="0.25">
      <c r="A9" s="9" t="s">
        <v>28</v>
      </c>
      <c r="B9" s="13">
        <f>'Liquidador'!B6</f>
      </c>
    </row>
    <row r="10" spans="1:2" x14ac:dyDescent="0.25">
      <c r="A10" s="9" t="s">
        <v>30</v>
      </c>
      <c r="B10" s="13">
        <f>'Liquidador'!B7</f>
      </c>
    </row>
    <row r="11" spans="1:2" x14ac:dyDescent="0.25">
      <c r="A11" s="9" t="s">
        <v>98</v>
      </c>
      <c r="B11" s="26">
        <f>'Liquidador'!B8</f>
      </c>
    </row>
    <row r="12" spans="1:2" x14ac:dyDescent="0.25">
      <c r="A12" s="9" t="s">
        <v>99</v>
      </c>
      <c r="B12" s="14">
        <f>'Liquidador'!B20</f>
      </c>
    </row>
    <row r="13" spans="1:2" x14ac:dyDescent="0.25">
      <c r="A13" s="9" t="s">
        <v>47</v>
      </c>
      <c r="B13" s="14">
        <f>'Liquidador'!B21</f>
      </c>
    </row>
    <row r="14" spans="1:2" x14ac:dyDescent="0.25">
      <c r="A14" s="9" t="s">
        <v>48</v>
      </c>
      <c r="B14" s="14">
        <f>'Liquidador'!B22</f>
      </c>
    </row>
    <row r="15" spans="1:2" x14ac:dyDescent="0.25">
      <c r="A15" s="9" t="s">
        <v>49</v>
      </c>
      <c r="B15" s="14">
        <f>'Liquidador'!B23</f>
      </c>
    </row>
    <row r="16" spans="1:2" x14ac:dyDescent="0.25">
      <c r="A16" s="9" t="s">
        <v>100</v>
      </c>
      <c r="B16" s="17">
        <f>'Liquidador'!B24</f>
      </c>
    </row>
    <row r="17" spans="1:2" x14ac:dyDescent="0.25">
      <c r="A17" s="9" t="s">
        <v>101</v>
      </c>
      <c r="B17" s="10" t="s">
        <v>93</v>
      </c>
    </row>
    <row r="20" spans="1:1" x14ac:dyDescent="0.25">
      <c r="A20" s="27" t="s">
        <v>102</v>
      </c>
    </row>
    <row r="23" spans="1:2" x14ac:dyDescent="0.25">
      <c r="A23" s="28" t="s">
        <v>103</v>
      </c>
      <c r="B23" s="28" t="s">
        <v>104</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105</v>
      </c>
      <c r="B1" s="29"/>
      <c r="C1" s="29"/>
      <c r="D1" s="29"/>
      <c r="E1" s="29"/>
      <c r="F1" s="29"/>
      <c r="G1" s="29"/>
      <c r="H1" s="29"/>
      <c r="I1" s="29"/>
    </row>
    <row r="2" spans="1:9" x14ac:dyDescent="0.25">
      <c r="A2" s="30" t="s">
        <v>106</v>
      </c>
      <c r="B2" s="30" t="s">
        <v>28</v>
      </c>
      <c r="C2" s="30" t="s">
        <v>30</v>
      </c>
      <c r="D2" s="30" t="s">
        <v>107</v>
      </c>
      <c r="E2" s="30" t="s">
        <v>108</v>
      </c>
      <c r="F2" s="30" t="s">
        <v>109</v>
      </c>
      <c r="G2" s="30" t="s">
        <v>27</v>
      </c>
      <c r="H2" s="30" t="s">
        <v>110</v>
      </c>
      <c r="I2" s="30" t="s">
        <v>111</v>
      </c>
    </row>
    <row r="3" spans="1:9" x14ac:dyDescent="0.25">
      <c r="A3" s="31" t="s">
        <v>112</v>
      </c>
      <c r="B3" s="32" t="s">
        <v>113</v>
      </c>
      <c r="C3" s="32" t="s">
        <v>31</v>
      </c>
      <c r="D3" s="32" t="s">
        <v>114</v>
      </c>
      <c r="E3" s="33">
        <v>4523.11</v>
      </c>
      <c r="F3" s="33">
        <v>4645.33</v>
      </c>
      <c r="G3" s="33">
        <v>4805.82</v>
      </c>
      <c r="H3" s="33">
        <v>4923.44</v>
      </c>
      <c r="I3" s="33">
        <v>5002.21</v>
      </c>
    </row>
    <row r="4" spans="1:9" x14ac:dyDescent="0.25">
      <c r="A4" s="34" t="s">
        <v>115</v>
      </c>
      <c r="B4" s="35" t="s">
        <v>113</v>
      </c>
      <c r="C4" s="35" t="s">
        <v>31</v>
      </c>
      <c r="D4" s="35" t="s">
        <v>116</v>
      </c>
      <c r="E4" s="36">
        <v>564246.7</v>
      </c>
      <c r="F4" s="36">
        <v>579493.14</v>
      </c>
      <c r="G4" s="36">
        <v>599514.52</v>
      </c>
      <c r="H4" s="36">
        <v>614186.76</v>
      </c>
      <c r="I4" s="36">
        <v>624013.75</v>
      </c>
    </row>
    <row r="5" spans="1:9" x14ac:dyDescent="0.25">
      <c r="A5" s="31" t="s">
        <v>117</v>
      </c>
      <c r="B5" s="32" t="s">
        <v>113</v>
      </c>
      <c r="C5" s="32" t="s">
        <v>118</v>
      </c>
      <c r="D5" s="32" t="s">
        <v>114</v>
      </c>
      <c r="E5" s="33">
        <v>4920.89</v>
      </c>
      <c r="F5" s="33">
        <v>5049.58</v>
      </c>
      <c r="G5" s="33">
        <v>5215.59</v>
      </c>
      <c r="H5" s="33">
        <v>5339.08</v>
      </c>
      <c r="I5" s="33">
        <v>5424.5</v>
      </c>
    </row>
    <row r="6" spans="1:9" x14ac:dyDescent="0.25">
      <c r="A6" s="34" t="s">
        <v>119</v>
      </c>
      <c r="B6" s="35" t="s">
        <v>113</v>
      </c>
      <c r="C6" s="35" t="s">
        <v>118</v>
      </c>
      <c r="D6" s="35" t="s">
        <v>116</v>
      </c>
      <c r="E6" s="36">
        <v>624313.9</v>
      </c>
      <c r="F6" s="36">
        <v>640641.55</v>
      </c>
      <c r="G6" s="36">
        <v>661702.46</v>
      </c>
      <c r="H6" s="36">
        <v>677369.7</v>
      </c>
      <c r="I6" s="36">
        <v>688207.61</v>
      </c>
    </row>
    <row r="7" spans="1:9" x14ac:dyDescent="0.25">
      <c r="A7" s="31" t="s">
        <v>120</v>
      </c>
      <c r="B7" s="32" t="s">
        <v>121</v>
      </c>
      <c r="C7" s="32" t="s">
        <v>31</v>
      </c>
      <c r="D7" s="32" t="s">
        <v>114</v>
      </c>
      <c r="E7" s="33">
        <v>4303.5</v>
      </c>
      <c r="F7" s="33">
        <v>4422.54</v>
      </c>
      <c r="G7" s="33">
        <v>4580.8</v>
      </c>
      <c r="H7" s="33">
        <v>4695.59</v>
      </c>
      <c r="I7" s="33">
        <v>4770.72</v>
      </c>
    </row>
    <row r="8" spans="1:9" x14ac:dyDescent="0.25">
      <c r="A8" s="34" t="s">
        <v>122</v>
      </c>
      <c r="B8" s="35" t="s">
        <v>121</v>
      </c>
      <c r="C8" s="35" t="s">
        <v>31</v>
      </c>
      <c r="D8" s="35" t="s">
        <v>116</v>
      </c>
      <c r="E8" s="36">
        <v>526829.56</v>
      </c>
      <c r="F8" s="36">
        <v>541402.49</v>
      </c>
      <c r="G8" s="36">
        <v>560776.33</v>
      </c>
      <c r="H8" s="36">
        <v>574828.75</v>
      </c>
      <c r="I8" s="36">
        <v>584026.01</v>
      </c>
    </row>
    <row r="9" spans="1:9" x14ac:dyDescent="0.25">
      <c r="A9" s="31" t="s">
        <v>123</v>
      </c>
      <c r="B9" s="32" t="s">
        <v>121</v>
      </c>
      <c r="C9" s="32" t="s">
        <v>118</v>
      </c>
      <c r="D9" s="32" t="s">
        <v>114</v>
      </c>
      <c r="E9" s="33">
        <v>4684.53</v>
      </c>
      <c r="F9" s="33">
        <v>4809.8</v>
      </c>
      <c r="G9" s="33">
        <v>4973.38</v>
      </c>
      <c r="H9" s="33">
        <v>5093.82</v>
      </c>
      <c r="I9" s="33">
        <v>5175.33</v>
      </c>
    </row>
    <row r="10" spans="1:9" x14ac:dyDescent="0.25">
      <c r="A10" s="34" t="s">
        <v>124</v>
      </c>
      <c r="B10" s="35" t="s">
        <v>121</v>
      </c>
      <c r="C10" s="35" t="s">
        <v>118</v>
      </c>
      <c r="D10" s="35" t="s">
        <v>116</v>
      </c>
      <c r="E10" s="36">
        <v>582283.26</v>
      </c>
      <c r="F10" s="36">
        <v>597854.36</v>
      </c>
      <c r="G10" s="36">
        <v>618187.89</v>
      </c>
      <c r="H10" s="36">
        <v>633158.89</v>
      </c>
      <c r="I10" s="36">
        <v>643289.43</v>
      </c>
    </row>
    <row r="11" spans="1:9" x14ac:dyDescent="0.25">
      <c r="A11" s="31" t="s">
        <v>125</v>
      </c>
      <c r="B11" s="32" t="s">
        <v>126</v>
      </c>
      <c r="C11" s="32" t="s">
        <v>31</v>
      </c>
      <c r="D11" s="32" t="s">
        <v>114</v>
      </c>
      <c r="E11" s="33"/>
      <c r="F11" s="33"/>
      <c r="G11" s="33"/>
      <c r="H11" s="33"/>
      <c r="I11" s="33"/>
    </row>
    <row r="12" spans="1:9" x14ac:dyDescent="0.25">
      <c r="A12" s="34" t="s">
        <v>127</v>
      </c>
      <c r="B12" s="35" t="s">
        <v>126</v>
      </c>
      <c r="C12" s="35" t="s">
        <v>31</v>
      </c>
      <c r="D12" s="35" t="s">
        <v>116</v>
      </c>
      <c r="E12" s="36"/>
      <c r="F12" s="36"/>
      <c r="G12" s="36"/>
      <c r="H12" s="36"/>
      <c r="I12" s="36"/>
    </row>
    <row r="13" spans="1:9" x14ac:dyDescent="0.25">
      <c r="A13" s="31" t="s">
        <v>128</v>
      </c>
      <c r="B13" s="32" t="s">
        <v>126</v>
      </c>
      <c r="C13" s="32" t="s">
        <v>118</v>
      </c>
      <c r="D13" s="32" t="s">
        <v>114</v>
      </c>
      <c r="E13" s="33">
        <v>4072.38</v>
      </c>
      <c r="F13" s="33">
        <v>4185.94</v>
      </c>
      <c r="G13" s="33">
        <v>4337.53</v>
      </c>
      <c r="H13" s="33">
        <v>4447.11</v>
      </c>
      <c r="I13" s="33">
        <v>4518.27</v>
      </c>
    </row>
    <row r="14" spans="1:9" x14ac:dyDescent="0.25">
      <c r="A14" s="34" t="s">
        <v>129</v>
      </c>
      <c r="B14" s="35" t="s">
        <v>126</v>
      </c>
      <c r="C14" s="35" t="s">
        <v>118</v>
      </c>
      <c r="D14" s="35" t="s">
        <v>116</v>
      </c>
      <c r="E14" s="36">
        <v>514903.51</v>
      </c>
      <c r="F14" s="36">
        <v>529261.78</v>
      </c>
      <c r="G14" s="36">
        <v>548429.23</v>
      </c>
      <c r="H14" s="36">
        <v>562284.09</v>
      </c>
      <c r="I14" s="36">
        <v>571280.64</v>
      </c>
    </row>
    <row r="15" spans="1:9" x14ac:dyDescent="0.25">
      <c r="A15" s="31" t="s">
        <v>130</v>
      </c>
      <c r="B15" s="32" t="s">
        <v>131</v>
      </c>
      <c r="C15" s="32" t="s">
        <v>31</v>
      </c>
      <c r="D15" s="32" t="s">
        <v>114</v>
      </c>
      <c r="E15" s="33">
        <v>4072.38</v>
      </c>
      <c r="F15" s="33">
        <v>4185.94</v>
      </c>
      <c r="G15" s="33">
        <v>4337.53</v>
      </c>
      <c r="H15" s="33">
        <v>4447.11</v>
      </c>
      <c r="I15" s="33">
        <v>4518.27</v>
      </c>
    </row>
    <row r="16" spans="1:9" x14ac:dyDescent="0.25">
      <c r="A16" s="34" t="s">
        <v>132</v>
      </c>
      <c r="B16" s="35" t="s">
        <v>131</v>
      </c>
      <c r="C16" s="35" t="s">
        <v>31</v>
      </c>
      <c r="D16" s="35" t="s">
        <v>116</v>
      </c>
      <c r="E16" s="36">
        <v>514903.51</v>
      </c>
      <c r="F16" s="36">
        <v>529261.78</v>
      </c>
      <c r="G16" s="36">
        <v>548429.23</v>
      </c>
      <c r="H16" s="36">
        <v>562284.09</v>
      </c>
      <c r="I16" s="36">
        <v>571280.64</v>
      </c>
    </row>
    <row r="17" spans="1:9" x14ac:dyDescent="0.25">
      <c r="A17" s="31" t="s">
        <v>133</v>
      </c>
      <c r="B17" s="32" t="s">
        <v>131</v>
      </c>
      <c r="C17" s="32" t="s">
        <v>118</v>
      </c>
      <c r="D17" s="32" t="s">
        <v>114</v>
      </c>
      <c r="E17" s="33">
        <v>4520.15</v>
      </c>
      <c r="F17" s="33">
        <v>4641.9</v>
      </c>
      <c r="G17" s="33">
        <v>4801.52</v>
      </c>
      <c r="H17" s="33">
        <v>4918.66</v>
      </c>
      <c r="I17" s="33">
        <v>4997.36</v>
      </c>
    </row>
    <row r="18" spans="1:9" x14ac:dyDescent="0.25">
      <c r="A18" s="34" t="s">
        <v>134</v>
      </c>
      <c r="B18" s="35" t="s">
        <v>131</v>
      </c>
      <c r="C18" s="35" t="s">
        <v>118</v>
      </c>
      <c r="D18" s="35" t="s">
        <v>116</v>
      </c>
      <c r="E18" s="36">
        <v>569593.41</v>
      </c>
      <c r="F18" s="36">
        <v>584936.09</v>
      </c>
      <c r="G18" s="36">
        <v>605050</v>
      </c>
      <c r="H18" s="36">
        <v>619810.8</v>
      </c>
      <c r="I18" s="36">
        <v>629727.77</v>
      </c>
    </row>
    <row r="19" spans="1:9" x14ac:dyDescent="0.25">
      <c r="A19" s="31" t="s">
        <v>135</v>
      </c>
      <c r="B19" s="32" t="s">
        <v>29</v>
      </c>
      <c r="C19" s="32" t="s">
        <v>31</v>
      </c>
      <c r="D19" s="32" t="s">
        <v>114</v>
      </c>
      <c r="E19" s="33">
        <v>3804.66</v>
      </c>
      <c r="F19" s="33">
        <v>3914.64</v>
      </c>
      <c r="G19" s="33">
        <v>4064.08</v>
      </c>
      <c r="H19" s="33">
        <v>4170.52</v>
      </c>
      <c r="I19" s="33">
        <v>4237.25</v>
      </c>
    </row>
    <row r="20" spans="1:9" x14ac:dyDescent="0.25">
      <c r="A20" s="34" t="s">
        <v>136</v>
      </c>
      <c r="B20" s="35" t="s">
        <v>29</v>
      </c>
      <c r="C20" s="35" t="s">
        <v>31</v>
      </c>
      <c r="D20" s="35" t="s">
        <v>116</v>
      </c>
      <c r="E20" s="36">
        <v>466756.24</v>
      </c>
      <c r="F20" s="36">
        <v>480247.85</v>
      </c>
      <c r="G20" s="36">
        <v>498582.06</v>
      </c>
      <c r="H20" s="36">
        <v>511639.37</v>
      </c>
      <c r="I20" s="36">
        <v>519825.6</v>
      </c>
    </row>
    <row r="21" spans="1:9" x14ac:dyDescent="0.25">
      <c r="A21" s="31" t="s">
        <v>137</v>
      </c>
      <c r="B21" s="32" t="s">
        <v>29</v>
      </c>
      <c r="C21" s="32" t="s">
        <v>118</v>
      </c>
      <c r="D21" s="32" t="s">
        <v>114</v>
      </c>
      <c r="E21" s="33">
        <v>4072.38</v>
      </c>
      <c r="F21" s="33">
        <v>4185.94</v>
      </c>
      <c r="G21" s="33">
        <v>4337.53</v>
      </c>
      <c r="H21" s="33">
        <v>4447.11</v>
      </c>
      <c r="I21" s="33">
        <v>4518.27</v>
      </c>
    </row>
    <row r="22" spans="1:9" x14ac:dyDescent="0.25">
      <c r="A22" s="34" t="s">
        <v>138</v>
      </c>
      <c r="B22" s="35" t="s">
        <v>29</v>
      </c>
      <c r="C22" s="35" t="s">
        <v>118</v>
      </c>
      <c r="D22" s="35" t="s">
        <v>116</v>
      </c>
      <c r="E22" s="36">
        <v>514903.51</v>
      </c>
      <c r="F22" s="36">
        <v>529261.78</v>
      </c>
      <c r="G22" s="36">
        <v>548429.23</v>
      </c>
      <c r="H22" s="36">
        <v>562284.09</v>
      </c>
      <c r="I22" s="36">
        <v>571280.64</v>
      </c>
    </row>
    <row r="24" spans="1:9" x14ac:dyDescent="0.25">
      <c r="A24" s="6" t="s">
        <v>139</v>
      </c>
      <c r="B24" s="6"/>
      <c r="C24" s="6"/>
      <c r="D24" s="6"/>
      <c r="E24" s="6"/>
      <c r="F24" s="6"/>
      <c r="G24" s="6"/>
      <c r="H24" s="6"/>
      <c r="I24" s="6"/>
    </row>
    <row r="25" spans="1:9" x14ac:dyDescent="0.25">
      <c r="A25" s="6" t="s">
        <v>140</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141</v>
      </c>
      <c r="B1" s="37"/>
      <c r="C1" s="37"/>
      <c r="D1" s="37"/>
      <c r="E1" s="37"/>
      <c r="F1" s="37"/>
      <c r="G1" s="37"/>
    </row>
    <row r="2" spans="1:7" x14ac:dyDescent="0.25">
      <c r="A2" s="38" t="s">
        <v>106</v>
      </c>
      <c r="B2" s="38" t="s">
        <v>142</v>
      </c>
      <c r="C2" s="38" t="s">
        <v>98</v>
      </c>
      <c r="D2" s="38" t="s">
        <v>143</v>
      </c>
      <c r="E2" s="38" t="s">
        <v>144</v>
      </c>
      <c r="F2" s="38" t="s">
        <v>145</v>
      </c>
      <c r="G2" s="38" t="s">
        <v>146</v>
      </c>
    </row>
    <row r="3" spans="1:7" x14ac:dyDescent="0.25">
      <c r="A3" s="31" t="s">
        <v>147</v>
      </c>
      <c r="B3" s="32" t="s">
        <v>148</v>
      </c>
      <c r="C3" s="32" t="s">
        <v>149</v>
      </c>
      <c r="D3" s="33">
        <v>10569.57</v>
      </c>
      <c r="E3" s="33">
        <v>2084.85</v>
      </c>
      <c r="F3" s="33">
        <v>729.9</v>
      </c>
      <c r="G3" s="33">
        <v>7754.82</v>
      </c>
    </row>
    <row r="4" spans="1:7" x14ac:dyDescent="0.25">
      <c r="A4" s="34" t="s">
        <v>150</v>
      </c>
      <c r="B4" s="35" t="s">
        <v>148</v>
      </c>
      <c r="C4" s="35" t="s">
        <v>151</v>
      </c>
      <c r="D4" s="36">
        <v>16627.46</v>
      </c>
      <c r="E4" s="36">
        <v>3863.3</v>
      </c>
      <c r="F4" s="36">
        <v>1459.48</v>
      </c>
      <c r="G4" s="36">
        <v>11304.68</v>
      </c>
    </row>
    <row r="5" spans="1:7" x14ac:dyDescent="0.25">
      <c r="A5" s="31" t="s">
        <v>152</v>
      </c>
      <c r="B5" s="32" t="s">
        <v>148</v>
      </c>
      <c r="C5" s="32" t="s">
        <v>153</v>
      </c>
      <c r="D5" s="33">
        <v>44270.19</v>
      </c>
      <c r="E5" s="33">
        <v>25694.55</v>
      </c>
      <c r="F5" s="33">
        <v>2128.79</v>
      </c>
      <c r="G5" s="33">
        <v>16446.85</v>
      </c>
    </row>
    <row r="6" spans="1:7" x14ac:dyDescent="0.25">
      <c r="A6" s="34" t="s">
        <v>154</v>
      </c>
      <c r="B6" s="35" t="s">
        <v>155</v>
      </c>
      <c r="C6" s="35" t="s">
        <v>149</v>
      </c>
      <c r="D6" s="36">
        <v>9839.67</v>
      </c>
      <c r="E6" s="36">
        <v>2084.85</v>
      </c>
      <c r="F6" s="36"/>
      <c r="G6" s="36">
        <v>7754.82</v>
      </c>
    </row>
    <row r="7" spans="1:7" x14ac:dyDescent="0.25">
      <c r="A7" s="31" t="s">
        <v>156</v>
      </c>
      <c r="B7" s="32" t="s">
        <v>155</v>
      </c>
      <c r="C7" s="32" t="s">
        <v>151</v>
      </c>
      <c r="D7" s="33">
        <v>15167.98</v>
      </c>
      <c r="E7" s="33">
        <v>3863.3</v>
      </c>
      <c r="F7" s="33"/>
      <c r="G7" s="33">
        <v>11304.68</v>
      </c>
    </row>
    <row r="8" spans="1:7" x14ac:dyDescent="0.25">
      <c r="A8" s="34" t="s">
        <v>157</v>
      </c>
      <c r="B8" s="35" t="s">
        <v>155</v>
      </c>
      <c r="C8" s="35" t="s">
        <v>153</v>
      </c>
      <c r="D8" s="36">
        <v>42141.4</v>
      </c>
      <c r="E8" s="36">
        <v>25694.55</v>
      </c>
      <c r="F8" s="36"/>
      <c r="G8" s="36">
        <v>16446.85</v>
      </c>
    </row>
    <row r="9" spans="1:7" x14ac:dyDescent="0.25">
      <c r="A9" s="31" t="s">
        <v>158</v>
      </c>
      <c r="B9" s="32" t="s">
        <v>159</v>
      </c>
      <c r="C9" s="32" t="s">
        <v>149</v>
      </c>
      <c r="D9" s="33">
        <v>8484.72</v>
      </c>
      <c r="E9" s="33"/>
      <c r="F9" s="33">
        <v>729.9</v>
      </c>
      <c r="G9" s="33">
        <v>7754.82</v>
      </c>
    </row>
    <row r="10" spans="1:7" x14ac:dyDescent="0.25">
      <c r="A10" s="34" t="s">
        <v>160</v>
      </c>
      <c r="B10" s="35" t="s">
        <v>159</v>
      </c>
      <c r="C10" s="35" t="s">
        <v>151</v>
      </c>
      <c r="D10" s="36">
        <v>12764.16</v>
      </c>
      <c r="E10" s="36"/>
      <c r="F10" s="36">
        <v>1459.48</v>
      </c>
      <c r="G10" s="36">
        <v>11304.68</v>
      </c>
    </row>
    <row r="11" spans="1:7" x14ac:dyDescent="0.25">
      <c r="A11" s="31" t="s">
        <v>161</v>
      </c>
      <c r="B11" s="32" t="s">
        <v>159</v>
      </c>
      <c r="C11" s="32" t="s">
        <v>153</v>
      </c>
      <c r="D11" s="33">
        <v>18575.64</v>
      </c>
      <c r="E11" s="33"/>
      <c r="F11" s="33">
        <v>2128.79</v>
      </c>
      <c r="G11" s="33">
        <v>16446.85</v>
      </c>
    </row>
    <row r="13" spans="1:7" x14ac:dyDescent="0.25">
      <c r="A13" s="6" t="s">
        <v>162</v>
      </c>
      <c r="B13" s="6"/>
      <c r="C13" s="6"/>
      <c r="D13" s="6"/>
      <c r="E13" s="6"/>
      <c r="F13" s="6"/>
      <c r="G13" s="6"/>
    </row>
    <row r="14" spans="1:7" x14ac:dyDescent="0.25">
      <c r="A14" s="6" t="s">
        <v>163</v>
      </c>
      <c r="B14" s="6"/>
      <c r="C14" s="6"/>
      <c r="D14" s="6"/>
      <c r="E14" s="6"/>
      <c r="F14" s="6"/>
      <c r="G14" s="6"/>
    </row>
    <row r="15" spans="1:7" x14ac:dyDescent="0.25">
      <c r="A15" s="6" t="s">
        <v>164</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7"/>
  <sheetFormatPr defaultRowHeight="15" outlineLevelRow="0" outlineLevelCol="0" x14ac:dyDescent="55"/>
  <cols>
    <col min="1" max="1" width="62" customWidth="1"/>
    <col min="2" max="2" width="76" customWidth="1"/>
  </cols>
  <sheetData>
    <row r="1" ht="28" customHeight="1" spans="1:2" x14ac:dyDescent="0.25">
      <c r="A1" s="39" t="s">
        <v>165</v>
      </c>
      <c r="B1" s="39"/>
    </row>
    <row r="2" ht="30" customHeight="1" spans="1:2" x14ac:dyDescent="0.25">
      <c r="A2" s="40" t="s">
        <v>166</v>
      </c>
      <c r="B2" s="40"/>
    </row>
    <row r="4" spans="1:2" x14ac:dyDescent="0.25">
      <c r="A4" s="41" t="s">
        <v>167</v>
      </c>
      <c r="B4" s="41" t="s">
        <v>168</v>
      </c>
    </row>
    <row r="5" ht="32" customHeight="1" spans="1:2" x14ac:dyDescent="0.25">
      <c r="A5" s="42" t="s">
        <v>169</v>
      </c>
      <c r="B5" s="43" t="s">
        <v>170</v>
      </c>
    </row>
    <row r="6" ht="32" customHeight="1" spans="1:2" x14ac:dyDescent="0.25">
      <c r="A6" s="44" t="s">
        <v>171</v>
      </c>
      <c r="B6" s="45" t="s">
        <v>172</v>
      </c>
    </row>
    <row r="7" ht="32" customHeight="1" spans="1:2" x14ac:dyDescent="0.25">
      <c r="A7" s="42" t="s">
        <v>173</v>
      </c>
      <c r="B7" s="43" t="s">
        <v>172</v>
      </c>
    </row>
    <row r="8" ht="32" customHeight="1" spans="1:2" x14ac:dyDescent="0.25">
      <c r="A8" s="44" t="s">
        <v>174</v>
      </c>
      <c r="B8" s="45" t="s">
        <v>175</v>
      </c>
    </row>
    <row r="9" ht="32" customHeight="1" spans="1:2" x14ac:dyDescent="0.25">
      <c r="A9" s="42" t="s">
        <v>176</v>
      </c>
      <c r="B9" s="43" t="s">
        <v>177</v>
      </c>
    </row>
    <row r="10" ht="32" customHeight="1" spans="1:2" x14ac:dyDescent="0.25">
      <c r="A10" s="44" t="s">
        <v>178</v>
      </c>
      <c r="B10" s="45" t="s">
        <v>179</v>
      </c>
    </row>
    <row r="11" ht="32" customHeight="1" spans="1:2" x14ac:dyDescent="0.25">
      <c r="A11" s="42" t="s">
        <v>180</v>
      </c>
      <c r="B11" s="43" t="s">
        <v>181</v>
      </c>
    </row>
    <row r="12" ht="32" customHeight="1" spans="1:2" x14ac:dyDescent="0.25">
      <c r="A12" s="44" t="s">
        <v>182</v>
      </c>
      <c r="B12" s="45" t="s">
        <v>183</v>
      </c>
    </row>
    <row r="13" ht="32" customHeight="1" spans="1:2" x14ac:dyDescent="0.25">
      <c r="A13" s="42" t="s">
        <v>184</v>
      </c>
      <c r="B13" s="43" t="s">
        <v>185</v>
      </c>
    </row>
    <row r="14" ht="32" customHeight="1" spans="1:2" x14ac:dyDescent="0.25">
      <c r="A14" s="44" t="s">
        <v>186</v>
      </c>
      <c r="B14" s="45" t="s">
        <v>187</v>
      </c>
    </row>
    <row r="15" ht="32" customHeight="1" spans="1:2" x14ac:dyDescent="0.25">
      <c r="A15" s="42" t="s">
        <v>178</v>
      </c>
      <c r="B15" s="43" t="s">
        <v>179</v>
      </c>
    </row>
    <row r="17" spans="1:2" x14ac:dyDescent="0.25">
      <c r="A17" s="6" t="s">
        <v>188</v>
      </c>
      <c r="B17" s="6"/>
    </row>
  </sheetData>
  <mergeCells count="3">
    <mergeCell ref="A1:B1"/>
    <mergeCell ref="A2:B2"/>
    <mergeCell ref="A17:B17"/>
  </mergeCells>
  <hyperlinks>
    <hyperlink ref="B5" r:id="rId1"/>
    <hyperlink ref="B6" r:id="rId2"/>
    <hyperlink ref="B7" r:id="rId3"/>
    <hyperlink ref="B8" r:id="rId4"/>
    <hyperlink ref="B9" r:id="rId5"/>
    <hyperlink ref="B10" r:id="rId6"/>
    <hyperlink ref="B11" r:id="rId7"/>
    <hyperlink ref="B12" r:id="rId8"/>
    <hyperlink ref="B13" r:id="rId9"/>
    <hyperlink ref="B14" r:id="rId10"/>
    <hyperlink ref="B15" r:id="rId1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2026-10-25T02:16:27Z</dcterms:created>
  <dcterms:modified xsi:type="dcterms:W3CDTF">2026-10-25T02:16:27Z</dcterms:modified>
</cp:coreProperties>
</file>