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Liquidador" state="visible" r:id="rId5"/>
    <sheet sheetId="3" name="Pagos del año" state="visible" r:id="rId6"/>
    <sheet sheetId="4" name="Recibo" state="visible" r:id="rId7"/>
    <sheet sheetId="5" name="Escala 2026" state="visible" r:id="rId8"/>
    <sheet sheetId="6" name="Aportes ARCA" state="visible" r:id="rId9"/>
    <sheet sheetId="7" name="Fuentes" state="visible" r:id="rId10"/>
  </sheets>
  <calcPr calcId="171027"/>
</workbook>
</file>

<file path=xl/sharedStrings.xml><?xml version="1.0" encoding="utf-8"?>
<sst xmlns="http://schemas.openxmlformats.org/spreadsheetml/2006/main" count="262" uniqueCount="181">
  <si>
    <t>Cómo usar esta planilla</t>
  </si>
  <si>
    <t>1</t>
  </si>
  <si>
    <t>Andá a la hoja «Liquidador». Completá solo las celdas amarillas: mes, categoría, modalidad, horas por semana, zona, horas extras y la condición de la persona que trabaja en tu casa.</t>
  </si>
  <si>
    <t>2</t>
  </si>
  <si>
    <t>Las celdas verdes se calculan solas: el sueldo del mes, el aguinaldo que va generando y lo que tenés que pagarle a ARCA. No escribas encima de ellas.</t>
  </si>
  <si>
    <t>3</t>
  </si>
  <si>
    <t>En «Pagos del año» anotá lo que pagaste cada mes. Te calcula el aguinaldo de junio y de diciembre con la regla de la ley (50% del mejor sueldo del semestre) y los días de vacaciones.</t>
  </si>
  <si>
    <t>4</t>
  </si>
  <si>
    <t>La hoja «Recibo» se completa sola con el mes que liquidaste. Cargá los nombres una vez, imprimila por duplicado y que cada parte se quede con una copia firmada.</t>
  </si>
  <si>
    <t>5</t>
  </si>
  <si>
    <t>«Escala 2026» y «Aportes ARCA» son las tablas oficiales de donde salen los números. «Fuentes» tiene el link a cada documento y la fecha en que se verificó.</t>
  </si>
  <si>
    <t>LO QUE TENÉS QUE SABER DE ESTE RÉGIMEN</t>
  </si>
  <si>
    <t>•  Hay DOS pisos que conviven: un valor por hora y un mínimo mensual. Si trabaja la jornada completa (48 horas semanales), no puede cobrar menos que el mínimo mensual de su categoría. Con menos horas, se paga por hora. La planilla aplica el que corresponde.</t>
  </si>
  <si>
    <t>•  Las horas extras se pagan con 50% de recargo en días comunes y 100% los sábados después de las 13, los domingos y los feriados (Ley 26.844, art. 25).</t>
  </si>
  <si>
    <t>•  Zona desfavorable: 31% sobre el mínimo de cada categoría desde el 1 de abril de 2026, en La Pampa, Río Negro, Chubut, Neuquén, Santa Cruz, Tierra del Fuego, Antártida e Islas del Atlántico Sur y el partido de Patagones.</t>
  </si>
  <si>
    <t>•  Aguinaldo: 50% de la mayor remuneración mensual del semestre (Ley 26.844, art. 26). Se paga en junio y en diciembre.</t>
  </si>
  <si>
    <t>•  Vacaciones según antigüedad al 31 de diciembre: 14 días (más de 6 meses y hasta 5 años); 21 días (más de 5 y hasta 10 años); 28 días (más de 10 y hasta 20 años); 35 días (más de 20 años). Con menos de 6 meses, un día de descanso cada 20 días trabajados.</t>
  </si>
  <si>
    <t>•  Los pagos de los aportes son siempre a mes vencido: cada mes se paga por lo trabajado en el mes anterior. La excepción es la ART, que se paga a mes en curso.</t>
  </si>
  <si>
    <t>•  Con menos de 16 horas semanales pagás en regla, pero la trabajadora puede quedar sin obra social y sin cómputo jubilatorio: la planilla te muestra cuánto falta para llegar al piso. Si las contribuciones abonadas por la parte empleadora no alcanzaran esa suma, el trabajador podrá pagar la diferencia.</t>
  </si>
  <si>
    <t>•  Los importes de la escala son el MÍNIMO legal, no un tope: podés pagar más. Si pactaron un sueldo mayor, usá ese.</t>
  </si>
  <si>
    <t>•  Si la relación termina (renuncia o despido), la liquidación final tiene reglas propias: usá la calculadora gratis de calcular.ar/despido-empleada-domestica.</t>
  </si>
  <si>
    <t>Esta planilla da exactamente los mismos números que las calculadoras gratuitas de calcular.ar/empleada-domestica y calcular.ar/aportes-empleada-domestica: misma escala oficial, misma fórmula. Antes de publicar cada versión, una verificación automática recalcula el archivo y lo compara contra esas calculadoras. Si alguna vez difieren, escribinos y lo corregimos.</t>
  </si>
  <si>
    <t>Sueldo del mes — Personal de Casas Particulares</t>
  </si>
  <si>
    <t>Ley 26.844 · Resolución CNTCP 6/2026 · Verificado el 2026-09-15</t>
  </si>
  <si>
    <t>DATOS DEL MES</t>
  </si>
  <si>
    <t>Mes a liquidar</t>
  </si>
  <si>
    <t>septiembre de 2026</t>
  </si>
  <si>
    <t>Categoría</t>
  </si>
  <si>
    <t>Personal para tareas generales</t>
  </si>
  <si>
    <t>Modalidad</t>
  </si>
  <si>
    <t>Con retiro</t>
  </si>
  <si>
    <t>Horas que trabaja por semana (en tu casa)</t>
  </si>
  <si>
    <t>¿Zona desfavorable (Patagonia)?</t>
  </si>
  <si>
    <t>No</t>
  </si>
  <si>
    <t>Horas extras del mes en días comunes</t>
  </si>
  <si>
    <t>Horas extras sábado desde las 13, domingo o feriado</t>
  </si>
  <si>
    <t>Condición de la trabajadora (para ARCA)</t>
  </si>
  <si>
    <t>Mayor de 18 años</t>
  </si>
  <si>
    <t>Chequeo</t>
  </si>
  <si>
    <t>SUELDO DEL MES</t>
  </si>
  <si>
    <t>Valor de la hora</t>
  </si>
  <si>
    <t>Mínimo mensual (jornada completa de 48 h)</t>
  </si>
  <si>
    <t>Horas trabajadas en el mes</t>
  </si>
  <si>
    <t>Sueldo por las horas trabajadas</t>
  </si>
  <si>
    <t>Básico del mes</t>
  </si>
  <si>
    <t>Horas extras comunes (+50%)</t>
  </si>
  <si>
    <t>Horas extras fin de semana y feriados (+100%)</t>
  </si>
  <si>
    <t>TOTAL A PAGARLE ESTE MES</t>
  </si>
  <si>
    <t>Aguinaldo que va generando (50%)</t>
  </si>
  <si>
    <t>LO QUE LE PAGÁS A ARCA (aportes, contribuciones y ART)</t>
  </si>
  <si>
    <t>Rango de horas para ARCA</t>
  </si>
  <si>
    <t>Pago mensual a ARCA por esta trabajadora</t>
  </si>
  <si>
    <t xml:space="preserve">  · de eso, cuota de la ART</t>
  </si>
  <si>
    <t>Falta para que tenga obra social</t>
  </si>
  <si>
    <t>Falta para que le compute la jubilación</t>
  </si>
  <si>
    <t>COSTO TOTAL DEL MES (sueldo + ARCA)</t>
  </si>
  <si>
    <t>* Importes mínimos legales. Si pactaron un sueldo mayor, se paga el pactado.</t>
  </si>
  <si>
    <t>* Los pagos de los aportes son siempre a mes vencido: cada mes se paga por lo trabajado en el mes anterior. La excepción es la ART, que se paga a mes en curso.</t>
  </si>
  <si>
    <t>* «Falta para…» aparece con menos de 16 horas semanales: pagás en regla, pero sin completar esa diferencia la trabajadora no accede a la obra social y ese mes no le computa para jubilarse. La diferencia la puede pagar ella o la pueden acordar.</t>
  </si>
  <si>
    <t>Pagos del año 2026 — aguinaldo y vacaciones</t>
  </si>
  <si>
    <t>Mes</t>
  </si>
  <si>
    <t>Sueldo pagado</t>
  </si>
  <si>
    <t>Pagado a ARCA</t>
  </si>
  <si>
    <t>Notas</t>
  </si>
  <si>
    <t>Enero 2026</t>
  </si>
  <si>
    <t>Febrero 2026</t>
  </si>
  <si>
    <t>Marzo 2026</t>
  </si>
  <si>
    <t>Abril 2026</t>
  </si>
  <si>
    <t>Mayo 2026</t>
  </si>
  <si>
    <t>Junio 2026</t>
  </si>
  <si>
    <t>Julio 2026</t>
  </si>
  <si>
    <t>Agosto 2026</t>
  </si>
  <si>
    <t>Septiembre 2026</t>
  </si>
  <si>
    <t>Octubre 2026</t>
  </si>
  <si>
    <t>Noviembre 2026</t>
  </si>
  <si>
    <t>Diciembre 2026</t>
  </si>
  <si>
    <t>AGUINALDO (Ley 26.844, art. 26)</t>
  </si>
  <si>
    <t>Aguinaldo de junio (1er semestre)</t>
  </si>
  <si>
    <t>Aguinaldo de diciembre (2do semestre)</t>
  </si>
  <si>
    <t>Total pagado en sueldos en el año</t>
  </si>
  <si>
    <t>Total pagado a ARCA en el año</t>
  </si>
  <si>
    <t>VACACIONES (Ley 26.844, art. 29)</t>
  </si>
  <si>
    <t>Antigüedad al 31 de diciembre (años)</t>
  </si>
  <si>
    <t>Días de vacaciones que le corresponden</t>
  </si>
  <si>
    <t>* El aguinaldo es el 50% del MEJOR sueldo del semestre, no el promedio. Si trabajó solo una parte del semestre, corresponde en proporción al tiempo trabajado: para ese caso usá calcular.ar/aguinaldo.</t>
  </si>
  <si>
    <t>* Con menos de 6 meses de antigüedad no hay licencia completa: corresponde un día de descanso cada 20 días trabajados (Ley 26.844, art. 30).</t>
  </si>
  <si>
    <t>Recibo de sueldo — Personal de Casas Particulares</t>
  </si>
  <si>
    <t>Modelo para imprimir por duplicado: una copia firmada queda para cada parte. Las celdas amarillas se completan una sola vez.</t>
  </si>
  <si>
    <t>Empleador/a (nombre y apellido)</t>
  </si>
  <si>
    <t/>
  </si>
  <si>
    <t>CUIL/CUIT del empleador/a</t>
  </si>
  <si>
    <t>Trabajador/a (nombre y apellido)</t>
  </si>
  <si>
    <t>CUIL del trabajador/a</t>
  </si>
  <si>
    <t>Período</t>
  </si>
  <si>
    <t>Horas semanales</t>
  </si>
  <si>
    <t>Básico</t>
  </si>
  <si>
    <t>TOTAL</t>
  </si>
  <si>
    <t>Fecha de pago</t>
  </si>
  <si>
    <t>Recibí conforme el importe total indicado.</t>
  </si>
  <si>
    <t>Firma del trabajador/a</t>
  </si>
  <si>
    <t>Firma del empleador/a</t>
  </si>
  <si>
    <t>Escala oficial — Personal de Casas Particulares 2026 (Resolución CNTCP 6/2026)</t>
  </si>
  <si>
    <t>Clave</t>
  </si>
  <si>
    <t>Valor</t>
  </si>
  <si>
    <t>agosto de 2026</t>
  </si>
  <si>
    <t>octubre de 2026</t>
  </si>
  <si>
    <t>noviembre de 2026</t>
  </si>
  <si>
    <t>diciembre de 2026</t>
  </si>
  <si>
    <t>H|Supervisor/a|Con retiro</t>
  </si>
  <si>
    <t>Supervisor/a</t>
  </si>
  <si>
    <t>por hora</t>
  </si>
  <si>
    <t>M|Supervisor/a|Con retiro</t>
  </si>
  <si>
    <t>por mes</t>
  </si>
  <si>
    <t>H|Supervisor/a|Sin retiro</t>
  </si>
  <si>
    <t>Sin retiro</t>
  </si>
  <si>
    <t>M|Supervisor/a|Sin retiro</t>
  </si>
  <si>
    <t>H|Personal para tareas específicas|Con retiro</t>
  </si>
  <si>
    <t>Personal para tareas específicas</t>
  </si>
  <si>
    <t>M|Personal para tareas específicas|Con retiro</t>
  </si>
  <si>
    <t>H|Personal para tareas específicas|Sin retiro</t>
  </si>
  <si>
    <t>M|Personal para tareas específicas|Sin retiro</t>
  </si>
  <si>
    <t>H|Caseros|Con retiro</t>
  </si>
  <si>
    <t>Caseros</t>
  </si>
  <si>
    <t>M|Caseros|Con retiro</t>
  </si>
  <si>
    <t>H|Caseros|Sin retiro</t>
  </si>
  <si>
    <t>M|Caseros|Sin retiro</t>
  </si>
  <si>
    <t>H|Asistencia y cuidado de personas|Con retiro</t>
  </si>
  <si>
    <t>Asistencia y cuidado de personas</t>
  </si>
  <si>
    <t>M|Asistencia y cuidado de personas|Con retiro</t>
  </si>
  <si>
    <t>H|Asistencia y cuidado de personas|Sin retiro</t>
  </si>
  <si>
    <t>M|Asistencia y cuidado de personas|Sin retiro</t>
  </si>
  <si>
    <t>H|Personal para tareas generales|Con retiro</t>
  </si>
  <si>
    <t>M|Personal para tareas generales|Con retiro</t>
  </si>
  <si>
    <t>H|Personal para tareas generales|Sin retiro</t>
  </si>
  <si>
    <t>M|Personal para tareas generales|Sin retiro</t>
  </si>
  <si>
    <t>Valores sin zona desfavorable. El adicional del 31% lo aplica el Liquidador. Los caseros solo existen en la modalidad sin retiro (el anexo trae un guion en «con retiro»).</t>
  </si>
  <si>
    <t>Importes transcriptos de los Anexos 1 a 5 de la Resolución CNTCP 6/2026 (B.O. 3/9/2026), verificados el 2026-09-15. La columna «Clave» la usa el Liquidador: no la borres.</t>
  </si>
  <si>
    <t>Aportes, contribuciones y ART — valores de agosto de 2026 (se pagan en septiembre de 2026)</t>
  </si>
  <si>
    <t>Condición</t>
  </si>
  <si>
    <t>Total a pagar</t>
  </si>
  <si>
    <t>Obra social</t>
  </si>
  <si>
    <t>Jubilación (SIPA)</t>
  </si>
  <si>
    <t>ART</t>
  </si>
  <si>
    <t>Mayor de 18 años|Menos de 12 horas semanales</t>
  </si>
  <si>
    <t>Trabajador/a activo, mayor de 18 años</t>
  </si>
  <si>
    <t>Menos de 12 horas semanales</t>
  </si>
  <si>
    <t>Mayor de 18 años|Desde 12 a menos de 16 horas semanales</t>
  </si>
  <si>
    <t>Desde 12 a menos de 16 horas semanales</t>
  </si>
  <si>
    <t>Mayor de 18 años|16 horas semanales o más</t>
  </si>
  <si>
    <t>16 horas semanales o más</t>
  </si>
  <si>
    <t>De 16 o 17 años|Menos de 12 horas semanales</t>
  </si>
  <si>
    <t>Trabajador/a de 16 o 17 años</t>
  </si>
  <si>
    <t>De 16 o 17 años|Desde 12 a menos de 16 horas semanales</t>
  </si>
  <si>
    <t>De 16 o 17 años|16 horas semanales o más</t>
  </si>
  <si>
    <t>Jubilado/a|Menos de 12 horas semanales</t>
  </si>
  <si>
    <t>Trabajador/a jubilado</t>
  </si>
  <si>
    <t>Jubilado/a|Desde 12 a menos de 16 horas semanales</t>
  </si>
  <si>
    <t>Jubilado/a|16 horas semanales o más</t>
  </si>
  <si>
    <t>Montos fijos por trabajador, de la tabla oficial de ARCA (Casas-particulares-aportes-y-contribuciones-08-26.pdf). Celda vacía = ese concepto no se paga en esa condición.</t>
  </si>
  <si>
    <t>Los pagos de los aportes son siempre a mes vencido: cada mes se paga por lo trabajado en el mes anterior. La excepción es la ART, que se paga a mes en curso.</t>
  </si>
  <si>
    <t>Para tener acceso a las prestaciones, los aportes de obra social tienen que ser iguales o superiores a la cuota establecida para la categoría de 16 o más horas trabajadas semanalmente.</t>
  </si>
  <si>
    <t>Fuentes oficiales</t>
  </si>
  <si>
    <t>Todos los datos de esta planilla se verificaron el 2026-09-15 contra los documentos oficiales de abajo. Ningún blog, ningún resumen de terceros.</t>
  </si>
  <si>
    <t>Documento</t>
  </si>
  <si>
    <t>Link</t>
  </si>
  <si>
    <t>Resolución CNTCP 6/2026 (texto completo)</t>
  </si>
  <si>
    <t>https://www.boletinoficial.gob.ar/detalleAviso/primera/346855/20260903</t>
  </si>
  <si>
    <t>Resolución CNTCP 6/2026 — Anexos 1 a 5 (las escalas)</t>
  </si>
  <si>
    <t>Resolución CNTCP 4/2026 — la escala anterior (abril a julio de 2026)</t>
  </si>
  <si>
    <t>https://www.argentina.gob.ar/normativa/426540_res4-4_pdf/archivo</t>
  </si>
  <si>
    <t>Ley 26.844 — Régimen Especial para el Personal de Casas Particulares</t>
  </si>
  <si>
    <t>https://servicios.infoleg.gob.ar/infolegInternet/anexos/210000-214999/210489/texact.htm</t>
  </si>
  <si>
    <t>ARCA — Aportes, contribuciones y ART de casas particulares (tabla oficial)</t>
  </si>
  <si>
    <t>https://www.arca.gob.ar/casasparticulares/aportes-contribuciones-ART/documentos/2026/Casas-particulares-aportes-y-contribuciones-08-26.pdf</t>
  </si>
  <si>
    <t>ARCA — Conceptos y valores del pago mensual</t>
  </si>
  <si>
    <t>https://www.arca.gob.ar/casasparticulares/aportes-contribuciones-ART/conceptos.asp</t>
  </si>
  <si>
    <t>ARCA — Obra social del personal de casas particulares</t>
  </si>
  <si>
    <t>https://www.arca.gob.ar/casasparticulares/ayuda/empleador/obra-social.asp</t>
  </si>
  <si>
    <t>ARCA — Jubilación del personal de casas particulares</t>
  </si>
  <si>
    <t>https://www.arca.gob.ar/casasparticulares/ayuda/empleador/jubilacion.asp</t>
  </si>
  <si>
    <t>Planilla de calcular.ar. Las actualizaciones del año están incluidas en el precio: cuando la Comisión Nacional de Trabajo en Casas Particulares fija una escala nueva, o ARCA publica la tabla de aportes del mes, regeneramos la planilla y el mismo enlace de descarga te baja la versión al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</si>
</sst>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quot;$&quot;#,##0.00"/>
    <numFmt numFmtId="166" formatCode="0.#"/>
  </numFmts>
  <fonts count="11" x14ac:knownFonts="1">
    <font>
      <color theme="1"/>
      <family val="2"/>
      <scheme val="minor"/>
      <sz val="11"/>
      <name val="Calibri"/>
    </font>
    <font>
      <b/>
      <color rgb="FFFFFFFF"/>
      <sz val="13"/>
    </font>
    <font>
      <b/>
      <color rgb="FFFFFFFF"/>
    </font>
    <font>
      <b/>
      <color rgb="FFFFFFFF"/>
      <sz val="11"/>
    </font>
    <font>
      <i/>
      <color rgb="FF777777"/>
      <sz val="9"/>
    </font>
    <font>
      <i/>
      <color rgb="FF555555"/>
      <sz val="10"/>
    </font>
    <font>
      <b/>
    </font>
    <font>
      <i/>
      <color rgb="FF555555"/>
    </font>
    <font>
      <i/>
    </font>
    <font>
      <color rgb="FF9E9E9E"/>
      <sz val="9"/>
    </font>
    <font>
      <u/>
      <color rgb="FF1565C0"/>
    </font>
  </fonts>
  <fills count="18">
    <fill>
      <patternFill patternType="none"/>
    </fill>
    <fill>
      <patternFill patternType="gray125"/>
    </fill>
    <fill>
      <patternFill patternType="solid">
        <fgColor rgb="FFF57C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E8F5E9"/>
      </patternFill>
    </fill>
    <fill>
      <patternFill patternType="solid">
        <fgColor rgb="FFC8E6C9"/>
      </patternFill>
    </fill>
    <fill>
      <patternFill patternType="solid">
        <fgColor rgb="FF00838F"/>
      </patternFill>
    </fill>
    <fill>
      <patternFill patternType="solid">
        <fgColor rgb="FF455A64"/>
      </patternFill>
    </fill>
    <fill>
      <patternFill patternType="solid">
        <fgColor rgb="FF1565C0"/>
      </patternFill>
    </fill>
    <fill>
      <patternFill patternType="solid">
        <fgColor rgb="FF1976D2"/>
      </patternFill>
    </fill>
    <fill>
      <patternFill patternType="solid">
        <fgColor rgb="FFFFFFFF"/>
      </patternFill>
    </fill>
    <fill>
      <patternFill patternType="solid">
        <fgColor rgb="FFF3F8FF"/>
      </patternFill>
    </fill>
    <fill>
      <patternFill patternType="solid">
        <fgColor rgb="FF6A1B9A"/>
      </patternFill>
    </fill>
    <fill>
      <patternFill patternType="solid">
        <fgColor rgb="FF7B1FA2"/>
      </patternFill>
    </fill>
    <fill>
      <patternFill patternType="solid">
        <fgColor rgb="FF37474F"/>
      </patternFill>
    </fill>
    <fill>
      <patternFill patternType="solid">
        <fgColor rgb="FF546E7A"/>
      </patternFill>
    </fill>
  </fills>
  <borders count="3">
    <border>
      <left/>
      <right/>
      <top/>
      <bottom/>
      <diagonal/>
    </border>
    <border>
      <left style="thin">
        <color rgb="FFB0BEC5"/>
      </left>
      <right style="thin">
        <color rgb="FFB0BEC5"/>
      </right>
      <top style="thin">
        <color rgb="FFB0BEC5"/>
      </top>
      <bottom style="thin">
        <color rgb="FFB0BEC5"/>
      </bottom>
      <diagonal/>
    </border>
    <border>
      <left/>
      <right/>
      <top style="thin">
        <color rgb="FF455A64"/>
      </top>
      <bottom/>
      <diagonal/>
    </border>
  </borders>
  <cellStyleXfs count="1">
    <xf numFmtId="0" fontId="0" fillId="0" borderId="0"/>
  </cellStyleXfs>
  <cellXfs count="46">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3" borderId="0" xfId="0" applyFont="1" applyFill="1" applyAlignment="1">
      <alignment horizontal="left" indent="1"/>
    </xf>
    <xf numFmtId="0" fontId="0" fillId="0" borderId="0" xfId="0" applyAlignment="1">
      <alignment vertical="top" wrapText="1" indent="1"/>
    </xf>
    <xf numFmtId="0" fontId="4" fillId="0" borderId="0" xfId="0" applyFont="1" applyAlignment="1">
      <alignment vertical="top" wrapText="1"/>
    </xf>
    <xf numFmtId="0" fontId="1" fillId="3" borderId="0" xfId="0" applyFont="1" applyFill="1" applyAlignment="1">
      <alignment horizontal="center" vertical="center"/>
    </xf>
    <xf numFmtId="0" fontId="5" fillId="4" borderId="0" xfId="0" applyFont="1" applyFill="1" applyAlignment="1">
      <alignment horizontal="center"/>
    </xf>
    <xf numFmtId="0" fontId="0" fillId="4" borderId="1" xfId="0" applyFill="1" applyBorder="1" applyAlignment="1">
      <alignment horizontal="left" indent="1"/>
    </xf>
    <xf numFmtId="0" fontId="6" fillId="5" borderId="1" xfId="0" applyFont="1" applyFill="1" applyBorder="1" applyAlignment="1">
      <alignment horizontal="left" indent="1"/>
    </xf>
    <xf numFmtId="164" fontId="6" fillId="5" borderId="1" xfId="0" applyNumberFormat="1" applyFont="1" applyFill="1" applyBorder="1" applyAlignment="1">
      <alignment horizontal="right"/>
    </xf>
    <xf numFmtId="0" fontId="7" fillId="0" borderId="1" xfId="0" applyFont="1" applyBorder="1"/>
    <xf numFmtId="0" fontId="0" fillId="6" borderId="1" xfId="0" applyFill="1" applyBorder="1" applyAlignment="1">
      <alignment horizontal="left" indent="1"/>
    </xf>
    <xf numFmtId="165" fontId="0" fillId="6" borderId="1" xfId="0" applyNumberFormat="1" applyFill="1" applyBorder="1" applyAlignment="1">
      <alignment horizontal="right"/>
    </xf>
    <xf numFmtId="2" fontId="0" fillId="6" borderId="1" xfId="0" applyNumberFormat="1" applyFill="1" applyBorder="1" applyAlignment="1">
      <alignment horizontal="right"/>
    </xf>
    <xf numFmtId="0" fontId="6" fillId="7" borderId="1" xfId="0" applyFont="1" applyFill="1" applyBorder="1" applyAlignment="1">
      <alignment horizontal="left" indent="1"/>
    </xf>
    <xf numFmtId="165" fontId="6" fillId="7" borderId="1" xfId="0" applyNumberFormat="1" applyFont="1" applyFill="1" applyBorder="1" applyAlignment="1">
      <alignment horizontal="right"/>
    </xf>
    <xf numFmtId="49" fontId="0" fillId="6" borderId="1" xfId="0" applyNumberFormat="1" applyFill="1" applyBorder="1" applyAlignment="1">
      <alignment horizontal="right"/>
    </xf>
    <xf numFmtId="0" fontId="1" fillId="8" borderId="0" xfId="0" applyFont="1" applyFill="1" applyAlignment="1">
      <alignment horizontal="center" vertical="center"/>
    </xf>
    <xf numFmtId="0" fontId="2" fillId="8" borderId="1" xfId="0" applyFont="1" applyFill="1" applyBorder="1"/>
    <xf numFmtId="165" fontId="0" fillId="5" borderId="1" xfId="0" applyNumberFormat="1" applyFill="1" applyBorder="1"/>
    <xf numFmtId="0" fontId="0" fillId="5" borderId="1" xfId="0" applyFill="1" applyBorder="1"/>
    <xf numFmtId="166" fontId="6" fillId="5" borderId="1" xfId="0" applyNumberFormat="1" applyFont="1" applyFill="1" applyBorder="1" applyAlignment="1">
      <alignment horizontal="right"/>
    </xf>
    <xf numFmtId="1" fontId="0" fillId="6" borderId="1" xfId="0" applyNumberFormat="1" applyFill="1" applyBorder="1" applyAlignment="1">
      <alignment horizontal="right"/>
    </xf>
    <xf numFmtId="0" fontId="1" fillId="9" borderId="0" xfId="0" applyFont="1" applyFill="1" applyAlignment="1">
      <alignment horizontal="center" vertical="center"/>
    </xf>
    <xf numFmtId="164" fontId="0" fillId="6" borderId="1" xfId="0" applyNumberFormat="1" applyFill="1" applyBorder="1" applyAlignment="1">
      <alignment horizontal="right"/>
    </xf>
    <xf numFmtId="0" fontId="8" fillId="0" borderId="0" xfId="0" applyFont="1"/>
    <xf numFmtId="0" fontId="0" fillId="0" borderId="2" xfId="0" applyBorder="1" applyAlignment="1">
      <alignment horizontal="center"/>
    </xf>
    <xf numFmtId="0" fontId="1" fillId="10" borderId="0" xfId="0" applyFont="1" applyFill="1" applyAlignment="1">
      <alignment horizontal="center" vertical="center"/>
    </xf>
    <xf numFmtId="0" fontId="2" fillId="11" borderId="1" xfId="0" applyFont="1" applyFill="1" applyBorder="1" applyAlignment="1">
      <alignment horizontal="center"/>
    </xf>
    <xf numFmtId="0" fontId="9" fillId="12" borderId="1" xfId="0" applyFont="1" applyFill="1" applyBorder="1"/>
    <xf numFmtId="0" fontId="0" fillId="12" borderId="1" xfId="0" applyFill="1" applyBorder="1"/>
    <xf numFmtId="165" fontId="0" fillId="12" borderId="1" xfId="0" applyNumberFormat="1" applyFill="1" applyBorder="1" applyAlignment="1">
      <alignment horizontal="right"/>
    </xf>
    <xf numFmtId="0" fontId="9" fillId="13" borderId="1" xfId="0" applyFont="1" applyFill="1" applyBorder="1"/>
    <xf numFmtId="0" fontId="0" fillId="13" borderId="1" xfId="0" applyFill="1" applyBorder="1"/>
    <xf numFmtId="165" fontId="0" fillId="13" borderId="1" xfId="0" applyNumberFormat="1" applyFill="1" applyBorder="1" applyAlignment="1">
      <alignment horizontal="right"/>
    </xf>
    <xf numFmtId="0" fontId="1" fillId="14" borderId="0" xfId="0" applyFont="1" applyFill="1" applyAlignment="1">
      <alignment horizontal="center" vertical="center"/>
    </xf>
    <xf numFmtId="0" fontId="2" fillId="15" borderId="1" xfId="0" applyFont="1" applyFill="1" applyBorder="1" applyAlignment="1">
      <alignment horizontal="center"/>
    </xf>
    <xf numFmtId="0" fontId="1" fillId="16" borderId="0" xfId="0" applyFont="1" applyFill="1" applyAlignment="1">
      <alignment horizontal="center" vertical="center"/>
    </xf>
    <xf numFmtId="0" fontId="5" fillId="0" borderId="0" xfId="0" applyFont="1" applyAlignment="1">
      <alignment vertical="top" wrapText="1"/>
    </xf>
    <xf numFmtId="0" fontId="2" fillId="17" borderId="1" xfId="0" applyFont="1" applyFill="1" applyBorder="1"/>
    <xf numFmtId="0" fontId="0" fillId="12" borderId="1" xfId="0" applyFill="1" applyBorder="1" applyAlignment="1">
      <alignment vertical="top" wrapText="1"/>
    </xf>
    <xf numFmtId="0" fontId="10" fillId="12" borderId="1" xfId="0" applyFont="1" applyFill="1" applyBorder="1" applyAlignment="1">
      <alignment vertical="top" wrapText="1"/>
    </xf>
    <xf numFmtId="0" fontId="0" fillId="4" borderId="1" xfId="0" applyFill="1" applyBorder="1" applyAlignment="1">
      <alignment vertical="top" wrapText="1"/>
    </xf>
    <xf numFmtId="0" fontId="1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www.boletinoficial.gob.ar/detalleAviso/primera/346855/20260903" TargetMode="External"/><Relationship Id="rId2" Type="http://schemas.openxmlformats.org/officeDocument/2006/relationships/hyperlink" Target="https://www.boletinoficial.gob.ar/detalleAviso/primera/346855/20260903" TargetMode="External"/><Relationship Id="rId3" Type="http://schemas.openxmlformats.org/officeDocument/2006/relationships/hyperlink" Target="https://www.argentina.gob.ar/normativa/426540_res4-4_pdf/archivo" TargetMode="External"/><Relationship Id="rId4" Type="http://schemas.openxmlformats.org/officeDocument/2006/relationships/hyperlink" Target="https://servicios.infoleg.gob.ar/infolegInternet/anexos/210000-214999/210489/texact.htm" TargetMode="External"/><Relationship Id="rId5" Type="http://schemas.openxmlformats.org/officeDocument/2006/relationships/hyperlink" Target="https://www.arca.gob.ar/casasparticulares/aportes-contribuciones-ART/documentos/2026/Casas-particulares-aportes-y-contribuciones-08-26.pdf" TargetMode="External"/><Relationship Id="rId6" Type="http://schemas.openxmlformats.org/officeDocument/2006/relationships/hyperlink" Target="https://www.arca.gob.ar/casasparticulares/aportes-contribuciones-ART/conceptos.asp" TargetMode="External"/><Relationship Id="rId7" Type="http://schemas.openxmlformats.org/officeDocument/2006/relationships/hyperlink" Target="https://www.arca.gob.ar/casasparticulares/ayuda/empleador/obra-social.asp" TargetMode="External"/><Relationship Id="rId8" Type="http://schemas.openxmlformats.org/officeDocument/2006/relationships/hyperlink" Target="https://www.arca.gob.ar/casasparticulares/ayuda/empleador/jubilacion.asp" TargetMode="External"/><Relationship Id="rId9" Type="http://schemas.openxmlformats.org/officeDocument/2006/relationships/hyperlink" Target="https://servicios.infoleg.gob.ar/infolegInternet/anexos/210000-214999/210489/texac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7C00"/>
  </sheetPr>
  <dimension ref="A1:B20"/>
  <sheetFormatPr defaultRowHeight="15" outlineLevelRow="0" outlineLevelCol="0" x14ac:dyDescent="55"/>
  <cols>
    <col min="1" max="1" width="4" customWidth="1"/>
    <col min="2" max="2" width="104" customWidth="1"/>
  </cols>
  <sheetData>
    <row r="1" ht="28" customHeight="1" spans="1:2" x14ac:dyDescent="0.25">
      <c r="A1" s="1" t="s">
        <v>0</v>
      </c>
      <c r="B1" s="1"/>
    </row>
    <row r="3" ht="34" customHeight="1" spans="1:2" x14ac:dyDescent="0.25">
      <c r="A3" s="2" t="s">
        <v>1</v>
      </c>
      <c r="B3" s="3" t="s">
        <v>2</v>
      </c>
    </row>
    <row r="4" ht="34" customHeight="1" spans="1:2" x14ac:dyDescent="0.25">
      <c r="A4" s="2" t="s">
        <v>3</v>
      </c>
      <c r="B4" s="3" t="s">
        <v>4</v>
      </c>
    </row>
    <row r="5" ht="34" customHeight="1" spans="1:2" x14ac:dyDescent="0.25">
      <c r="A5" s="2" t="s">
        <v>5</v>
      </c>
      <c r="B5" s="3" t="s">
        <v>6</v>
      </c>
    </row>
    <row r="6" ht="34" customHeight="1" spans="1:2" x14ac:dyDescent="0.25">
      <c r="A6" s="2" t="s">
        <v>7</v>
      </c>
      <c r="B6" s="3" t="s">
        <v>8</v>
      </c>
    </row>
    <row r="7" ht="34" customHeight="1" spans="1:2" x14ac:dyDescent="0.25">
      <c r="A7" s="2" t="s">
        <v>9</v>
      </c>
      <c r="B7" s="3" t="s">
        <v>10</v>
      </c>
    </row>
    <row r="9" spans="1:2" x14ac:dyDescent="0.25">
      <c r="A9" s="4" t="s">
        <v>11</v>
      </c>
      <c r="B9" s="4"/>
    </row>
    <row r="10" ht="36" customHeight="1" spans="2:2" x14ac:dyDescent="0.25">
      <c r="B10" s="5" t="s">
        <v>12</v>
      </c>
    </row>
    <row r="11" ht="36" customHeight="1" spans="2:2" x14ac:dyDescent="0.25">
      <c r="B11" s="5" t="s">
        <v>13</v>
      </c>
    </row>
    <row r="12" ht="36" customHeight="1" spans="2:2" x14ac:dyDescent="0.25">
      <c r="B12" s="5" t="s">
        <v>14</v>
      </c>
    </row>
    <row r="13" ht="36" customHeight="1" spans="2:2" x14ac:dyDescent="0.25">
      <c r="B13" s="5" t="s">
        <v>15</v>
      </c>
    </row>
    <row r="14" ht="36" customHeight="1" spans="2:2" x14ac:dyDescent="0.25">
      <c r="B14" s="5" t="s">
        <v>16</v>
      </c>
    </row>
    <row r="15" ht="36" customHeight="1" spans="2:2" x14ac:dyDescent="0.25">
      <c r="B15" s="5" t="s">
        <v>17</v>
      </c>
    </row>
    <row r="16" ht="36" customHeight="1" spans="2:2" x14ac:dyDescent="0.25">
      <c r="B16" s="5" t="s">
        <v>18</v>
      </c>
    </row>
    <row r="17" ht="36" customHeight="1" spans="2:2" x14ac:dyDescent="0.25">
      <c r="B17" s="5" t="s">
        <v>19</v>
      </c>
    </row>
    <row r="18" ht="36" customHeight="1" spans="2:2" x14ac:dyDescent="0.25">
      <c r="B18" s="5" t="s">
        <v>20</v>
      </c>
    </row>
    <row r="20" ht="44" customHeight="1" spans="1:2" x14ac:dyDescent="0.25">
      <c r="A20" s="6" t="s">
        <v>21</v>
      </c>
      <c r="B20" s="6"/>
    </row>
  </sheetData>
  <mergeCells count="3">
    <mergeCell ref="A1:B1"/>
    <mergeCell ref="A9:B9"/>
    <mergeCell ref="A20:B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D35"/>
  <sheetViews>
    <sheetView workbookViewId="0">
      <pane ySplit="4" topLeftCell="A5" activePane="bottomLeft" state="frozen"/>
      <selection pane="bottomLeft"/>
    </sheetView>
  </sheetViews>
  <sheetFormatPr defaultRowHeight="15" outlineLevelRow="0" outlineLevelCol="0" x14ac:dyDescent="55"/>
  <cols>
    <col min="1" max="1" width="46" customWidth="1"/>
    <col min="2" max="2" width="40" customWidth="1"/>
    <col min="3" max="3" width="4" customWidth="1"/>
    <col min="4" max="5" width="18" hidden="1" customWidth="1"/>
  </cols>
  <sheetData>
    <row r="1" ht="28" customHeight="1" spans="1:2" x14ac:dyDescent="0.25">
      <c r="A1" s="7" t="s">
        <v>22</v>
      </c>
      <c r="B1" s="7"/>
    </row>
    <row r="2" spans="1:2" x14ac:dyDescent="0.25">
      <c r="A2" s="8" t="s">
        <v>23</v>
      </c>
      <c r="B2" s="8"/>
    </row>
    <row r="4" spans="1:2" x14ac:dyDescent="0.25">
      <c r="A4" s="4" t="s">
        <v>24</v>
      </c>
      <c r="B4" s="4"/>
    </row>
    <row r="5" spans="1:4" x14ac:dyDescent="0.25">
      <c r="A5" s="9" t="s">
        <v>25</v>
      </c>
      <c r="B5" s="10" t="s">
        <v>26</v>
      </c>
      <c r="D5">
        <f>MATCH(B5,'Escala 2026'!$E$2:$I$2,0)</f>
      </c>
    </row>
    <row r="6" spans="1:4" x14ac:dyDescent="0.25">
      <c r="A6" s="9" t="s">
        <v>27</v>
      </c>
      <c r="B6" s="10" t="s">
        <v>28</v>
      </c>
      <c r="D6">
        <f>CONCATENATE("H|",B6,"|",B7)</f>
      </c>
    </row>
    <row r="7" spans="1:4" x14ac:dyDescent="0.25">
      <c r="A7" s="9" t="s">
        <v>29</v>
      </c>
      <c r="B7" s="10" t="s">
        <v>30</v>
      </c>
      <c r="D7">
        <f>IFERROR(INDEX('Escala 2026'!$E$3:$I$22,MATCH(D6,'Escala 2026'!$A$3:$A$22,0),D5),0)</f>
      </c>
    </row>
    <row r="8" spans="1:4" x14ac:dyDescent="0.25">
      <c r="A8" s="9" t="s">
        <v>31</v>
      </c>
      <c r="B8" s="11">
        <v>20</v>
      </c>
      <c r="D8">
        <f>CONCATENATE("M|",B6,"|",B7)</f>
      </c>
    </row>
    <row r="9" spans="1:4" x14ac:dyDescent="0.25">
      <c r="A9" s="9" t="s">
        <v>32</v>
      </c>
      <c r="B9" s="10" t="s">
        <v>33</v>
      </c>
      <c r="D9">
        <f>IFERROR(INDEX('Escala 2026'!$E$3:$I$22,MATCH(D8,'Escala 2026'!$A$3:$A$22,0),D5),0)</f>
      </c>
    </row>
    <row r="10" spans="1:4" x14ac:dyDescent="0.25">
      <c r="A10" s="9" t="s">
        <v>34</v>
      </c>
      <c r="B10" s="11">
        <v>0</v>
      </c>
      <c r="D10">
        <f>IF(B9="Sí",1.31,1)</f>
      </c>
    </row>
    <row r="11" spans="1:4" x14ac:dyDescent="0.25">
      <c r="A11" s="9" t="s">
        <v>35</v>
      </c>
      <c r="B11" s="11">
        <v>0</v>
      </c>
      <c r="D11">
        <f>MIN(MAX(B8,0),48)</f>
      </c>
    </row>
    <row r="12" spans="1:4" x14ac:dyDescent="0.25">
      <c r="A12" s="9" t="s">
        <v>36</v>
      </c>
      <c r="B12" s="10" t="s">
        <v>37</v>
      </c>
      <c r="D12">
        <f>IF(MAX(B8,0)&gt;=16,"16 horas semanales o más",IF(MAX(B8,0)&gt;=12,"Desde 12 a menos de 16 horas semanales","Menos de 12 horas semanales"))</f>
      </c>
    </row>
    <row r="13" spans="1:4" x14ac:dyDescent="0.25">
      <c r="A13" s="9" t="s">
        <v>38</v>
      </c>
      <c r="B13" s="12">
        <f>IF(D7=0,"Esa combinación no existe en la escala oficial: los caseros son siempre sin retiro.","OK")</f>
      </c>
      <c r="D13">
        <f>CONCATENATE(B12,"|",D12)</f>
      </c>
    </row>
    <row r="14" spans="1:4" x14ac:dyDescent="0.25">
      <c r="A14" s="4" t="s">
        <v>39</v>
      </c>
      <c r="B14" s="4"/>
      <c r="D14">
        <f>CONCATENATE(B12,"|","16 horas semanales o más")</f>
      </c>
    </row>
    <row r="15" spans="1:2" x14ac:dyDescent="0.25">
      <c r="A15" s="13" t="s">
        <v>40</v>
      </c>
      <c r="B15" s="14">
        <f>IF(D7=0,0,ROUND(D7*D10,2))</f>
      </c>
    </row>
    <row r="16" spans="1:2" x14ac:dyDescent="0.25">
      <c r="A16" s="13" t="s">
        <v>41</v>
      </c>
      <c r="B16" s="14">
        <f>ROUND(D9*D10,2)</f>
      </c>
    </row>
    <row r="17" spans="1:2" x14ac:dyDescent="0.25">
      <c r="A17" s="13" t="s">
        <v>42</v>
      </c>
      <c r="B17" s="15">
        <f>ROUND(D11*52/12,2)</f>
      </c>
    </row>
    <row r="18" spans="1:2" x14ac:dyDescent="0.25">
      <c r="A18" s="13" t="s">
        <v>43</v>
      </c>
      <c r="B18" s="14">
        <f>ROUND(B15*B17,2)</f>
      </c>
    </row>
    <row r="19" spans="1:2" x14ac:dyDescent="0.25">
      <c r="A19" s="13" t="s">
        <v>44</v>
      </c>
      <c r="B19" s="14">
        <f>IF(D11&gt;=48,MAX(B18,B16),B18)</f>
      </c>
    </row>
    <row r="20" spans="1:2" x14ac:dyDescent="0.25">
      <c r="A20" s="13" t="s">
        <v>45</v>
      </c>
      <c r="B20" s="14">
        <f>ROUND(MAX(B10,0)*B15*1.5,2)</f>
      </c>
    </row>
    <row r="21" spans="1:2" x14ac:dyDescent="0.25">
      <c r="A21" s="13" t="s">
        <v>46</v>
      </c>
      <c r="B21" s="14">
        <f>ROUND(MAX(B11,0)*B15*2,2)</f>
      </c>
    </row>
    <row r="22" spans="1:2" x14ac:dyDescent="0.25">
      <c r="A22" s="16" t="s">
        <v>47</v>
      </c>
      <c r="B22" s="17">
        <f>ROUND(B19+B20+B21,2)</f>
      </c>
    </row>
    <row r="23" spans="1:2" x14ac:dyDescent="0.25">
      <c r="A23" s="13" t="s">
        <v>48</v>
      </c>
      <c r="B23" s="14">
        <f>ROUND(B22/2,2)</f>
      </c>
    </row>
    <row r="24" ht="6" customHeight="1" x14ac:dyDescent="0.25"/>
    <row r="25" spans="1:2" x14ac:dyDescent="0.25">
      <c r="A25" s="4" t="s">
        <v>49</v>
      </c>
      <c r="B25" s="4"/>
    </row>
    <row r="26" spans="1:2" x14ac:dyDescent="0.25">
      <c r="A26" s="13" t="s">
        <v>50</v>
      </c>
      <c r="B26" s="18">
        <f>D12</f>
      </c>
    </row>
    <row r="27" spans="1:2" x14ac:dyDescent="0.25">
      <c r="A27" s="13" t="s">
        <v>51</v>
      </c>
      <c r="B27" s="14">
        <f>IFERROR(INDEX('Aportes ARCA'!$D$3:$D$11,MATCH(D13,'Aportes ARCA'!$A$3:$A$11,0)),0)</f>
      </c>
    </row>
    <row r="28" spans="1:2" x14ac:dyDescent="0.25">
      <c r="A28" s="13" t="s">
        <v>52</v>
      </c>
      <c r="B28" s="14">
        <f>IFERROR(INDEX('Aportes ARCA'!$G$3:$G$11,MATCH(D13,'Aportes ARCA'!$A$3:$A$11,0)),0)</f>
      </c>
    </row>
    <row r="29" spans="1:2" x14ac:dyDescent="0.25">
      <c r="A29" s="13" t="s">
        <v>53</v>
      </c>
      <c r="B29" s="14">
        <f>MAX(0,ROUND(IFERROR(INDEX('Aportes ARCA'!$E$3:$E$11,MATCH(D14,'Aportes ARCA'!$A$3:$A$11,0)),0)-IFERROR(INDEX('Aportes ARCA'!$E$3:$E$11,MATCH(D13,'Aportes ARCA'!$A$3:$A$11,0)),0),2))</f>
      </c>
    </row>
    <row r="30" spans="1:2" x14ac:dyDescent="0.25">
      <c r="A30" s="13" t="s">
        <v>54</v>
      </c>
      <c r="B30" s="14">
        <f>MAX(0,ROUND(IFERROR(INDEX('Aportes ARCA'!$F$3:$F$11,MATCH(D14,'Aportes ARCA'!$A$3:$A$11,0)),0)-IFERROR(INDEX('Aportes ARCA'!$F$3:$F$11,MATCH(D13,'Aportes ARCA'!$A$3:$A$11,0)),0),2))</f>
      </c>
    </row>
    <row r="31" spans="1:2" x14ac:dyDescent="0.25">
      <c r="A31" s="16" t="s">
        <v>55</v>
      </c>
      <c r="B31" s="17">
        <f>ROUND(B22+B27,2)</f>
      </c>
    </row>
    <row r="33" spans="1:2" x14ac:dyDescent="0.25">
      <c r="A33" s="6" t="s">
        <v>56</v>
      </c>
      <c r="B33" s="6"/>
    </row>
    <row r="34" spans="1:2" x14ac:dyDescent="0.25">
      <c r="A34" s="6" t="s">
        <v>57</v>
      </c>
      <c r="B34" s="6"/>
    </row>
    <row r="35" ht="40" customHeight="1" spans="1:2" x14ac:dyDescent="0.25">
      <c r="A35" s="6" t="s">
        <v>58</v>
      </c>
      <c r="B35" s="6"/>
    </row>
  </sheetData>
  <mergeCells count="8">
    <mergeCell ref="A1:B1"/>
    <mergeCell ref="A2:B2"/>
    <mergeCell ref="A4:B4"/>
    <mergeCell ref="A14:B14"/>
    <mergeCell ref="A25:B25"/>
    <mergeCell ref="A33:B33"/>
    <mergeCell ref="A34:B34"/>
    <mergeCell ref="A35:B35"/>
  </mergeCells>
  <dataValidations count="7">
    <dataValidation type="decimal" showErrorMessage="1" error="Entre 0 y 200 horas." sqref="B10:B11">
      <formula1>0</formula1>
      <formula2>200</formula2>
    </dataValidation>
    <dataValidation type="list" showErrorMessage="1" error="Elegí una condición de la lista." sqref="B12">
      <formula1>"Mayor de 18 años,De 16 o 17 años,Jubilado/a"</formula1>
    </dataValidation>
    <dataValidation type="list" showErrorMessage="1" error="Elegí un mes de la lista." sqref="B5">
      <formula1>"agosto de 2026,septiembre de 2026,octubre de 2026,noviembre de 2026,diciembre de 2026"</formula1>
    </dataValidation>
    <dataValidation type="list" showErrorMessage="1" error="Elegí una categoría de la lista." sqref="B6">
      <formula1>"Supervisor/a,Personal para tareas específicas,Caseros,Asistencia y cuidado de personas,Personal para tareas generales"</formula1>
    </dataValidation>
    <dataValidation type="list" showErrorMessage="1" error="Elegí Con retiro o Sin retiro." sqref="B7">
      <formula1>"Con retiro,Sin retiro"</formula1>
    </dataValidation>
    <dataValidation type="decimal" showErrorMessage="1" error="Ingresá las horas semanales (entre 0 y 48). Jornada completa = 48." sqref="B8">
      <formula1>0</formula1>
      <formula2>48</formula2>
    </dataValidation>
    <dataValidation type="list" showErrorMessage="1" error="Elegí Sí o No." sqref="B9">
      <formula1>"Sí,No"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38F"/>
  </sheetPr>
  <dimension ref="A1:D27"/>
  <sheetViews>
    <sheetView workbookViewId="0">
      <pane ySplit="3" topLeftCell="A4" activePane="bottomLeft" state="frozen"/>
      <selection pane="bottomLeft"/>
    </sheetView>
  </sheetViews>
  <sheetFormatPr defaultRowHeight="15" outlineLevelRow="0" outlineLevelCol="0" x14ac:dyDescent="55"/>
  <cols>
    <col min="1" max="1" width="42" customWidth="1"/>
    <col min="2" max="3" width="22" customWidth="1"/>
    <col min="4" max="4" width="40" customWidth="1"/>
  </cols>
  <sheetData>
    <row r="1" ht="28" customHeight="1" spans="1:4" x14ac:dyDescent="0.25">
      <c r="A1" s="19" t="s">
        <v>59</v>
      </c>
      <c r="B1" s="19"/>
      <c r="C1" s="19"/>
      <c r="D1" s="19"/>
    </row>
    <row r="3" spans="1:4" x14ac:dyDescent="0.25">
      <c r="A3" s="20" t="s">
        <v>60</v>
      </c>
      <c r="B3" s="20" t="s">
        <v>61</v>
      </c>
      <c r="C3" s="20" t="s">
        <v>62</v>
      </c>
      <c r="D3" s="20" t="s">
        <v>63</v>
      </c>
    </row>
    <row r="4" spans="1:4" x14ac:dyDescent="0.25">
      <c r="A4" s="9" t="s">
        <v>64</v>
      </c>
      <c r="B4" s="21"/>
      <c r="C4" s="21"/>
      <c r="D4" s="22"/>
    </row>
    <row r="5" spans="1:4" x14ac:dyDescent="0.25">
      <c r="A5" s="9" t="s">
        <v>65</v>
      </c>
      <c r="B5" s="21"/>
      <c r="C5" s="21"/>
      <c r="D5" s="22"/>
    </row>
    <row r="6" spans="1:4" x14ac:dyDescent="0.25">
      <c r="A6" s="9" t="s">
        <v>66</v>
      </c>
      <c r="B6" s="21"/>
      <c r="C6" s="21"/>
      <c r="D6" s="22"/>
    </row>
    <row r="7" spans="1:4" x14ac:dyDescent="0.25">
      <c r="A7" s="9" t="s">
        <v>67</v>
      </c>
      <c r="B7" s="21"/>
      <c r="C7" s="21"/>
      <c r="D7" s="22"/>
    </row>
    <row r="8" spans="1:4" x14ac:dyDescent="0.25">
      <c r="A8" s="9" t="s">
        <v>68</v>
      </c>
      <c r="B8" s="21"/>
      <c r="C8" s="21"/>
      <c r="D8" s="22"/>
    </row>
    <row r="9" spans="1:4" x14ac:dyDescent="0.25">
      <c r="A9" s="9" t="s">
        <v>69</v>
      </c>
      <c r="B9" s="21"/>
      <c r="C9" s="21"/>
      <c r="D9" s="22"/>
    </row>
    <row r="10" spans="1:4" x14ac:dyDescent="0.25">
      <c r="A10" s="9" t="s">
        <v>70</v>
      </c>
      <c r="B10" s="21"/>
      <c r="C10" s="21"/>
      <c r="D10" s="22"/>
    </row>
    <row r="11" spans="1:4" x14ac:dyDescent="0.25">
      <c r="A11" s="9" t="s">
        <v>71</v>
      </c>
      <c r="B11" s="21"/>
      <c r="C11" s="21"/>
      <c r="D11" s="22"/>
    </row>
    <row r="12" spans="1:4" x14ac:dyDescent="0.25">
      <c r="A12" s="9" t="s">
        <v>72</v>
      </c>
      <c r="B12" s="21"/>
      <c r="C12" s="21"/>
      <c r="D12" s="22"/>
    </row>
    <row r="13" spans="1:4" x14ac:dyDescent="0.25">
      <c r="A13" s="9" t="s">
        <v>73</v>
      </c>
      <c r="B13" s="21"/>
      <c r="C13" s="21"/>
      <c r="D13" s="22"/>
    </row>
    <row r="14" spans="1:4" x14ac:dyDescent="0.25">
      <c r="A14" s="9" t="s">
        <v>74</v>
      </c>
      <c r="B14" s="21"/>
      <c r="C14" s="21"/>
      <c r="D14" s="22"/>
    </row>
    <row r="15" spans="1:4" x14ac:dyDescent="0.25">
      <c r="A15" s="9" t="s">
        <v>75</v>
      </c>
      <c r="B15" s="21"/>
      <c r="C15" s="21"/>
      <c r="D15" s="22"/>
    </row>
    <row r="16" spans="1:2" x14ac:dyDescent="0.25">
      <c r="A16" s="4" t="s">
        <v>76</v>
      </c>
      <c r="B16" s="4"/>
    </row>
    <row r="17" spans="1:2" x14ac:dyDescent="0.25">
      <c r="A17" s="13" t="s">
        <v>77</v>
      </c>
      <c r="B17" s="14">
        <f>ROUND(MAX(B4:B9)/2,2)</f>
      </c>
    </row>
    <row r="18" spans="1:2" x14ac:dyDescent="0.25">
      <c r="A18" s="13" t="s">
        <v>78</v>
      </c>
      <c r="B18" s="14">
        <f>ROUND(MAX(B10:B15)/2,2)</f>
      </c>
    </row>
    <row r="19" spans="1:2" x14ac:dyDescent="0.25">
      <c r="A19" s="13" t="s">
        <v>79</v>
      </c>
      <c r="B19" s="14">
        <f>SUM(B4:B15)</f>
      </c>
    </row>
    <row r="20" spans="1:2" x14ac:dyDescent="0.25">
      <c r="A20" s="13" t="s">
        <v>80</v>
      </c>
      <c r="B20" s="14">
        <f>SUM(C4:C15)</f>
      </c>
    </row>
    <row r="22" spans="1:2" x14ac:dyDescent="0.25">
      <c r="A22" s="4" t="s">
        <v>81</v>
      </c>
      <c r="B22" s="4"/>
    </row>
    <row r="23" spans="1:2" x14ac:dyDescent="0.25">
      <c r="A23" s="9" t="s">
        <v>82</v>
      </c>
      <c r="B23" s="23">
        <v>1</v>
      </c>
    </row>
    <row r="24" spans="1:2" x14ac:dyDescent="0.25">
      <c r="A24" s="13" t="s">
        <v>83</v>
      </c>
      <c r="B24" s="24">
        <f>IF(B23&lt;=5,14,IF(B23&lt;=10,21,IF(B23&lt;=20,28,35)))</f>
      </c>
    </row>
    <row r="26" ht="30" customHeight="1" spans="1:4" x14ac:dyDescent="0.25">
      <c r="A26" s="6" t="s">
        <v>84</v>
      </c>
      <c r="B26" s="6"/>
      <c r="C26" s="6"/>
      <c r="D26" s="6"/>
    </row>
    <row r="27" ht="30" customHeight="1" spans="1:4" x14ac:dyDescent="0.25">
      <c r="A27" s="6" t="s">
        <v>85</v>
      </c>
      <c r="B27" s="6"/>
      <c r="C27" s="6"/>
      <c r="D27" s="6"/>
    </row>
  </sheetData>
  <mergeCells count="5">
    <mergeCell ref="A1:D1"/>
    <mergeCell ref="A16:B16"/>
    <mergeCell ref="A22:B22"/>
    <mergeCell ref="A26:D26"/>
    <mergeCell ref="A27:D27"/>
  </mergeCells>
  <dataValidations count="1">
    <dataValidation type="decimal" showErrorMessage="1" error="Entre 0 y 60 años." sqref="B23">
      <formula1>0</formula1>
      <formula2>60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55A64"/>
    <pageSetUpPr fitToPage="1"/>
  </sheetPr>
  <dimension ref="A1:B22"/>
  <sheetFormatPr defaultRowHeight="15" outlineLevelRow="0" outlineLevelCol="0" x14ac:dyDescent="55"/>
  <cols>
    <col min="1" max="1" width="40" customWidth="1"/>
    <col min="2" max="2" width="44" customWidth="1"/>
  </cols>
  <sheetData>
    <row r="1" ht="28" customHeight="1" spans="1:2" x14ac:dyDescent="0.25">
      <c r="A1" s="25" t="s">
        <v>86</v>
      </c>
      <c r="B1" s="25"/>
    </row>
    <row r="2" spans="1:2" x14ac:dyDescent="0.25">
      <c r="A2" s="6" t="s">
        <v>87</v>
      </c>
      <c r="B2" s="6"/>
    </row>
    <row r="4" spans="1:2" x14ac:dyDescent="0.25">
      <c r="A4" s="9" t="s">
        <v>88</v>
      </c>
      <c r="B4" s="10" t="s">
        <v>89</v>
      </c>
    </row>
    <row r="5" spans="1:2" x14ac:dyDescent="0.25">
      <c r="A5" s="9" t="s">
        <v>90</v>
      </c>
      <c r="B5" s="10" t="s">
        <v>89</v>
      </c>
    </row>
    <row r="6" spans="1:2" x14ac:dyDescent="0.25">
      <c r="A6" s="9" t="s">
        <v>91</v>
      </c>
      <c r="B6" s="10" t="s">
        <v>89</v>
      </c>
    </row>
    <row r="7" spans="1:2" x14ac:dyDescent="0.25">
      <c r="A7" s="9" t="s">
        <v>92</v>
      </c>
      <c r="B7" s="10" t="s">
        <v>89</v>
      </c>
    </row>
    <row r="8" spans="1:2" x14ac:dyDescent="0.25">
      <c r="A8" s="9" t="s">
        <v>93</v>
      </c>
      <c r="B8" s="13">
        <f>'Liquidador'!B5</f>
      </c>
    </row>
    <row r="9" spans="1:2" x14ac:dyDescent="0.25">
      <c r="A9" s="9" t="s">
        <v>27</v>
      </c>
      <c r="B9" s="13">
        <f>'Liquidador'!B6</f>
      </c>
    </row>
    <row r="10" spans="1:2" x14ac:dyDescent="0.25">
      <c r="A10" s="9" t="s">
        <v>29</v>
      </c>
      <c r="B10" s="13">
        <f>'Liquidador'!B7</f>
      </c>
    </row>
    <row r="11" spans="1:2" x14ac:dyDescent="0.25">
      <c r="A11" s="9" t="s">
        <v>94</v>
      </c>
      <c r="B11" s="26">
        <f>'Liquidador'!B8</f>
      </c>
    </row>
    <row r="12" spans="1:2" x14ac:dyDescent="0.25">
      <c r="A12" s="9" t="s">
        <v>95</v>
      </c>
      <c r="B12" s="14">
        <f>'Liquidador'!B19</f>
      </c>
    </row>
    <row r="13" spans="1:2" x14ac:dyDescent="0.25">
      <c r="A13" s="9" t="s">
        <v>45</v>
      </c>
      <c r="B13" s="14">
        <f>'Liquidador'!B20</f>
      </c>
    </row>
    <row r="14" spans="1:2" x14ac:dyDescent="0.25">
      <c r="A14" s="9" t="s">
        <v>46</v>
      </c>
      <c r="B14" s="14">
        <f>'Liquidador'!B21</f>
      </c>
    </row>
    <row r="15" spans="1:2" x14ac:dyDescent="0.25">
      <c r="A15" s="9" t="s">
        <v>96</v>
      </c>
      <c r="B15" s="17">
        <f>'Liquidador'!B22</f>
      </c>
    </row>
    <row r="16" spans="1:2" x14ac:dyDescent="0.25">
      <c r="A16" s="9" t="s">
        <v>97</v>
      </c>
      <c r="B16" s="10" t="s">
        <v>89</v>
      </c>
    </row>
    <row r="19" spans="1:1" x14ac:dyDescent="0.25">
      <c r="A19" s="27" t="s">
        <v>98</v>
      </c>
    </row>
    <row r="22" spans="1:2" x14ac:dyDescent="0.25">
      <c r="A22" s="28" t="s">
        <v>99</v>
      </c>
      <c r="B22" s="28" t="s">
        <v>100</v>
      </c>
    </row>
  </sheetData>
  <mergeCells count="2">
    <mergeCell ref="A1:B1"/>
    <mergeCell ref="A2:B2"/>
  </mergeCells>
  <pageMargins left="0.7" right="0.7" top="0.75" bottom="0.75" header="0.3" footer="0.3"/>
  <pageSetup paperSize="9"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I25"/>
  <sheetViews>
    <sheetView workbookViewId="0">
      <pane xSplit="4" ySplit="2" topLeftCell="E3" activePane="bottomRight" state="frozen"/>
      <selection pane="bottomRight"/>
    </sheetView>
  </sheetViews>
  <sheetFormatPr defaultRowHeight="15" outlineLevelRow="0" outlineLevelCol="0" x14ac:dyDescent="55"/>
  <cols>
    <col min="1" max="1" width="44" customWidth="1"/>
    <col min="2" max="2" width="34" customWidth="1"/>
    <col min="3" max="3" width="13" customWidth="1"/>
    <col min="4" max="4" width="10" customWidth="1"/>
    <col min="5" max="9" width="16" customWidth="1"/>
  </cols>
  <sheetData>
    <row r="1" ht="28" customHeight="1" spans="1:9" x14ac:dyDescent="0.25">
      <c r="A1" s="29" t="s">
        <v>101</v>
      </c>
      <c r="B1" s="29"/>
      <c r="C1" s="29"/>
      <c r="D1" s="29"/>
      <c r="E1" s="29"/>
      <c r="F1" s="29"/>
      <c r="G1" s="29"/>
      <c r="H1" s="29"/>
      <c r="I1" s="29"/>
    </row>
    <row r="2" spans="1:9" x14ac:dyDescent="0.25">
      <c r="A2" s="30" t="s">
        <v>102</v>
      </c>
      <c r="B2" s="30" t="s">
        <v>27</v>
      </c>
      <c r="C2" s="30" t="s">
        <v>29</v>
      </c>
      <c r="D2" s="30" t="s">
        <v>103</v>
      </c>
      <c r="E2" s="30" t="s">
        <v>104</v>
      </c>
      <c r="F2" s="30" t="s">
        <v>26</v>
      </c>
      <c r="G2" s="30" t="s">
        <v>105</v>
      </c>
      <c r="H2" s="30" t="s">
        <v>106</v>
      </c>
      <c r="I2" s="30" t="s">
        <v>107</v>
      </c>
    </row>
    <row r="3" spans="1:9" x14ac:dyDescent="0.25">
      <c r="A3" s="31" t="s">
        <v>108</v>
      </c>
      <c r="B3" s="32" t="s">
        <v>109</v>
      </c>
      <c r="C3" s="32" t="s">
        <v>30</v>
      </c>
      <c r="D3" s="32" t="s">
        <v>110</v>
      </c>
      <c r="E3" s="33">
        <v>4523.11</v>
      </c>
      <c r="F3" s="33">
        <v>4645.33</v>
      </c>
      <c r="G3" s="33">
        <v>4805.82</v>
      </c>
      <c r="H3" s="33">
        <v>4928.28</v>
      </c>
      <c r="I3" s="33">
        <v>5007.14</v>
      </c>
    </row>
    <row r="4" spans="1:9" x14ac:dyDescent="0.25">
      <c r="A4" s="34" t="s">
        <v>111</v>
      </c>
      <c r="B4" s="35" t="s">
        <v>109</v>
      </c>
      <c r="C4" s="35" t="s">
        <v>30</v>
      </c>
      <c r="D4" s="35" t="s">
        <v>112</v>
      </c>
      <c r="E4" s="36">
        <v>564246.7</v>
      </c>
      <c r="F4" s="36">
        <v>579493.14</v>
      </c>
      <c r="G4" s="36">
        <v>599514.52</v>
      </c>
      <c r="H4" s="36">
        <v>614791.27</v>
      </c>
      <c r="I4" s="36">
        <v>624627.93</v>
      </c>
    </row>
    <row r="5" spans="1:9" x14ac:dyDescent="0.25">
      <c r="A5" s="31" t="s">
        <v>113</v>
      </c>
      <c r="B5" s="32" t="s">
        <v>109</v>
      </c>
      <c r="C5" s="32" t="s">
        <v>114</v>
      </c>
      <c r="D5" s="32" t="s">
        <v>110</v>
      </c>
      <c r="E5" s="33">
        <v>4920.89</v>
      </c>
      <c r="F5" s="33">
        <v>5049.58</v>
      </c>
      <c r="G5" s="33">
        <v>5215.59</v>
      </c>
      <c r="H5" s="33">
        <v>5344.33</v>
      </c>
      <c r="I5" s="33">
        <v>5429.84</v>
      </c>
    </row>
    <row r="6" spans="1:9" x14ac:dyDescent="0.25">
      <c r="A6" s="34" t="s">
        <v>115</v>
      </c>
      <c r="B6" s="35" t="s">
        <v>109</v>
      </c>
      <c r="C6" s="35" t="s">
        <v>114</v>
      </c>
      <c r="D6" s="35" t="s">
        <v>112</v>
      </c>
      <c r="E6" s="36">
        <v>624313.9</v>
      </c>
      <c r="F6" s="36">
        <v>640641.55</v>
      </c>
      <c r="G6" s="36">
        <v>661702.46</v>
      </c>
      <c r="H6" s="36">
        <v>678036.4</v>
      </c>
      <c r="I6" s="36">
        <v>688884.98</v>
      </c>
    </row>
    <row r="7" spans="1:9" x14ac:dyDescent="0.25">
      <c r="A7" s="31" t="s">
        <v>116</v>
      </c>
      <c r="B7" s="32" t="s">
        <v>117</v>
      </c>
      <c r="C7" s="32" t="s">
        <v>30</v>
      </c>
      <c r="D7" s="32" t="s">
        <v>110</v>
      </c>
      <c r="E7" s="33">
        <v>4303.5</v>
      </c>
      <c r="F7" s="33">
        <v>4422.54</v>
      </c>
      <c r="G7" s="33">
        <v>4580.8</v>
      </c>
      <c r="H7" s="33">
        <v>4700.21</v>
      </c>
      <c r="I7" s="33">
        <v>4775.41</v>
      </c>
    </row>
    <row r="8" spans="1:9" x14ac:dyDescent="0.25">
      <c r="A8" s="34" t="s">
        <v>118</v>
      </c>
      <c r="B8" s="35" t="s">
        <v>117</v>
      </c>
      <c r="C8" s="35" t="s">
        <v>30</v>
      </c>
      <c r="D8" s="35" t="s">
        <v>112</v>
      </c>
      <c r="E8" s="36">
        <v>526829.56</v>
      </c>
      <c r="F8" s="36">
        <v>541402.49</v>
      </c>
      <c r="G8" s="36">
        <v>560776.33</v>
      </c>
      <c r="H8" s="36">
        <v>575394.53</v>
      </c>
      <c r="I8" s="36">
        <v>584600.84</v>
      </c>
    </row>
    <row r="9" spans="1:9" x14ac:dyDescent="0.25">
      <c r="A9" s="31" t="s">
        <v>119</v>
      </c>
      <c r="B9" s="32" t="s">
        <v>117</v>
      </c>
      <c r="C9" s="32" t="s">
        <v>114</v>
      </c>
      <c r="D9" s="32" t="s">
        <v>110</v>
      </c>
      <c r="E9" s="33">
        <v>4684.53</v>
      </c>
      <c r="F9" s="33">
        <v>4809.8</v>
      </c>
      <c r="G9" s="33">
        <v>4973.38</v>
      </c>
      <c r="H9" s="33">
        <v>5098.84</v>
      </c>
      <c r="I9" s="33">
        <v>5180.42</v>
      </c>
    </row>
    <row r="10" spans="1:9" x14ac:dyDescent="0.25">
      <c r="A10" s="34" t="s">
        <v>120</v>
      </c>
      <c r="B10" s="35" t="s">
        <v>117</v>
      </c>
      <c r="C10" s="35" t="s">
        <v>114</v>
      </c>
      <c r="D10" s="35" t="s">
        <v>112</v>
      </c>
      <c r="E10" s="36">
        <v>582283.26</v>
      </c>
      <c r="F10" s="36">
        <v>597854.36</v>
      </c>
      <c r="G10" s="36">
        <v>618187.89</v>
      </c>
      <c r="H10" s="36">
        <v>633782.08</v>
      </c>
      <c r="I10" s="36">
        <v>643922.59</v>
      </c>
    </row>
    <row r="11" spans="1:9" x14ac:dyDescent="0.25">
      <c r="A11" s="31" t="s">
        <v>121</v>
      </c>
      <c r="B11" s="32" t="s">
        <v>122</v>
      </c>
      <c r="C11" s="32" t="s">
        <v>30</v>
      </c>
      <c r="D11" s="32" t="s">
        <v>110</v>
      </c>
      <c r="E11" s="33"/>
      <c r="F11" s="33"/>
      <c r="G11" s="33"/>
      <c r="H11" s="33"/>
      <c r="I11" s="33"/>
    </row>
    <row r="12" spans="1:9" x14ac:dyDescent="0.25">
      <c r="A12" s="34" t="s">
        <v>123</v>
      </c>
      <c r="B12" s="35" t="s">
        <v>122</v>
      </c>
      <c r="C12" s="35" t="s">
        <v>30</v>
      </c>
      <c r="D12" s="35" t="s">
        <v>112</v>
      </c>
      <c r="E12" s="36"/>
      <c r="F12" s="36"/>
      <c r="G12" s="36"/>
      <c r="H12" s="36"/>
      <c r="I12" s="36"/>
    </row>
    <row r="13" spans="1:9" x14ac:dyDescent="0.25">
      <c r="A13" s="31" t="s">
        <v>124</v>
      </c>
      <c r="B13" s="32" t="s">
        <v>122</v>
      </c>
      <c r="C13" s="32" t="s">
        <v>114</v>
      </c>
      <c r="D13" s="32" t="s">
        <v>110</v>
      </c>
      <c r="E13" s="33">
        <v>4072.38</v>
      </c>
      <c r="F13" s="33">
        <v>4185.94</v>
      </c>
      <c r="G13" s="33">
        <v>4337.53</v>
      </c>
      <c r="H13" s="33">
        <v>4451.49</v>
      </c>
      <c r="I13" s="33">
        <v>4522.71</v>
      </c>
    </row>
    <row r="14" spans="1:9" x14ac:dyDescent="0.25">
      <c r="A14" s="34" t="s">
        <v>125</v>
      </c>
      <c r="B14" s="35" t="s">
        <v>122</v>
      </c>
      <c r="C14" s="35" t="s">
        <v>114</v>
      </c>
      <c r="D14" s="35" t="s">
        <v>112</v>
      </c>
      <c r="E14" s="36">
        <v>514903.51</v>
      </c>
      <c r="F14" s="36">
        <v>529261.78</v>
      </c>
      <c r="G14" s="36">
        <v>548429.23</v>
      </c>
      <c r="H14" s="36">
        <v>562837.52</v>
      </c>
      <c r="I14" s="36">
        <v>571842.92</v>
      </c>
    </row>
    <row r="15" spans="1:9" x14ac:dyDescent="0.25">
      <c r="A15" s="31" t="s">
        <v>126</v>
      </c>
      <c r="B15" s="32" t="s">
        <v>127</v>
      </c>
      <c r="C15" s="32" t="s">
        <v>30</v>
      </c>
      <c r="D15" s="32" t="s">
        <v>110</v>
      </c>
      <c r="E15" s="33">
        <v>4072.38</v>
      </c>
      <c r="F15" s="33">
        <v>4185.94</v>
      </c>
      <c r="G15" s="33">
        <v>4337.53</v>
      </c>
      <c r="H15" s="33">
        <v>4451.49</v>
      </c>
      <c r="I15" s="33">
        <v>4522.71</v>
      </c>
    </row>
    <row r="16" spans="1:9" x14ac:dyDescent="0.25">
      <c r="A16" s="34" t="s">
        <v>128</v>
      </c>
      <c r="B16" s="35" t="s">
        <v>127</v>
      </c>
      <c r="C16" s="35" t="s">
        <v>30</v>
      </c>
      <c r="D16" s="35" t="s">
        <v>112</v>
      </c>
      <c r="E16" s="36">
        <v>514903.51</v>
      </c>
      <c r="F16" s="36">
        <v>529261.78</v>
      </c>
      <c r="G16" s="36">
        <v>548429.23</v>
      </c>
      <c r="H16" s="36">
        <v>562837.52</v>
      </c>
      <c r="I16" s="36">
        <v>571842.92</v>
      </c>
    </row>
    <row r="17" spans="1:9" x14ac:dyDescent="0.25">
      <c r="A17" s="31" t="s">
        <v>129</v>
      </c>
      <c r="B17" s="32" t="s">
        <v>127</v>
      </c>
      <c r="C17" s="32" t="s">
        <v>114</v>
      </c>
      <c r="D17" s="32" t="s">
        <v>110</v>
      </c>
      <c r="E17" s="33">
        <v>4520.15</v>
      </c>
      <c r="F17" s="33">
        <v>4641.9</v>
      </c>
      <c r="G17" s="33">
        <v>4801.52</v>
      </c>
      <c r="H17" s="33">
        <v>4923.5</v>
      </c>
      <c r="I17" s="33">
        <v>5002.28</v>
      </c>
    </row>
    <row r="18" spans="1:9" x14ac:dyDescent="0.25">
      <c r="A18" s="34" t="s">
        <v>130</v>
      </c>
      <c r="B18" s="35" t="s">
        <v>127</v>
      </c>
      <c r="C18" s="35" t="s">
        <v>114</v>
      </c>
      <c r="D18" s="35" t="s">
        <v>112</v>
      </c>
      <c r="E18" s="36">
        <v>569593.41</v>
      </c>
      <c r="F18" s="36">
        <v>584936.09</v>
      </c>
      <c r="G18" s="36">
        <v>605050</v>
      </c>
      <c r="H18" s="36">
        <v>620420.85</v>
      </c>
      <c r="I18" s="36">
        <v>630347.58</v>
      </c>
    </row>
    <row r="19" spans="1:9" x14ac:dyDescent="0.25">
      <c r="A19" s="31" t="s">
        <v>131</v>
      </c>
      <c r="B19" s="32" t="s">
        <v>28</v>
      </c>
      <c r="C19" s="32" t="s">
        <v>30</v>
      </c>
      <c r="D19" s="32" t="s">
        <v>110</v>
      </c>
      <c r="E19" s="33">
        <v>3804.66</v>
      </c>
      <c r="F19" s="33">
        <v>3914.64</v>
      </c>
      <c r="G19" s="33">
        <v>4064.08</v>
      </c>
      <c r="H19" s="33">
        <v>4174.62</v>
      </c>
      <c r="I19" s="33">
        <v>4241.42</v>
      </c>
    </row>
    <row r="20" spans="1:9" x14ac:dyDescent="0.25">
      <c r="A20" s="34" t="s">
        <v>132</v>
      </c>
      <c r="B20" s="35" t="s">
        <v>28</v>
      </c>
      <c r="C20" s="35" t="s">
        <v>30</v>
      </c>
      <c r="D20" s="35" t="s">
        <v>112</v>
      </c>
      <c r="E20" s="36">
        <v>466756.24</v>
      </c>
      <c r="F20" s="36">
        <v>480247.85</v>
      </c>
      <c r="G20" s="36">
        <v>498582.06</v>
      </c>
      <c r="H20" s="36">
        <v>512142.96</v>
      </c>
      <c r="I20" s="36">
        <v>520337.24</v>
      </c>
    </row>
    <row r="21" spans="1:9" x14ac:dyDescent="0.25">
      <c r="A21" s="31" t="s">
        <v>133</v>
      </c>
      <c r="B21" s="32" t="s">
        <v>28</v>
      </c>
      <c r="C21" s="32" t="s">
        <v>114</v>
      </c>
      <c r="D21" s="32" t="s">
        <v>110</v>
      </c>
      <c r="E21" s="33">
        <v>4072.38</v>
      </c>
      <c r="F21" s="33">
        <v>4185.94</v>
      </c>
      <c r="G21" s="33">
        <v>4337.53</v>
      </c>
      <c r="H21" s="33">
        <v>4451.49</v>
      </c>
      <c r="I21" s="33">
        <v>4522.71</v>
      </c>
    </row>
    <row r="22" spans="1:9" x14ac:dyDescent="0.25">
      <c r="A22" s="34" t="s">
        <v>134</v>
      </c>
      <c r="B22" s="35" t="s">
        <v>28</v>
      </c>
      <c r="C22" s="35" t="s">
        <v>114</v>
      </c>
      <c r="D22" s="35" t="s">
        <v>112</v>
      </c>
      <c r="E22" s="36">
        <v>514903.51</v>
      </c>
      <c r="F22" s="36">
        <v>529261.78</v>
      </c>
      <c r="G22" s="36">
        <v>548429.23</v>
      </c>
      <c r="H22" s="36">
        <v>562837.52</v>
      </c>
      <c r="I22" s="36">
        <v>571842.92</v>
      </c>
    </row>
    <row r="24" spans="1:9" x14ac:dyDescent="0.25">
      <c r="A24" s="6" t="s">
        <v>135</v>
      </c>
      <c r="B24" s="6"/>
      <c r="C24" s="6"/>
      <c r="D24" s="6"/>
      <c r="E24" s="6"/>
      <c r="F24" s="6"/>
      <c r="G24" s="6"/>
      <c r="H24" s="6"/>
      <c r="I24" s="6"/>
    </row>
    <row r="25" spans="1:9" x14ac:dyDescent="0.25">
      <c r="A25" s="6" t="s">
        <v>136</v>
      </c>
      <c r="B25" s="6"/>
      <c r="C25" s="6"/>
      <c r="D25" s="6"/>
      <c r="E25" s="6"/>
      <c r="F25" s="6"/>
      <c r="G25" s="6"/>
      <c r="H25" s="6"/>
      <c r="I25" s="6"/>
    </row>
  </sheetData>
  <mergeCells count="3">
    <mergeCell ref="A1:I1"/>
    <mergeCell ref="A24:I24"/>
    <mergeCell ref="A25:I2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1B9A"/>
  </sheetPr>
  <dimension ref="A1:G15"/>
  <sheetFormatPr defaultRowHeight="15" outlineLevelRow="0" outlineLevelCol="0" x14ac:dyDescent="55"/>
  <cols>
    <col min="1" max="1" width="70" customWidth="1"/>
    <col min="2" max="3" width="38" customWidth="1"/>
    <col min="4" max="7" width="16" customWidth="1"/>
  </cols>
  <sheetData>
    <row r="1" ht="28" customHeight="1" spans="1:7" x14ac:dyDescent="0.25">
      <c r="A1" s="37" t="s">
        <v>137</v>
      </c>
      <c r="B1" s="37"/>
      <c r="C1" s="37"/>
      <c r="D1" s="37"/>
      <c r="E1" s="37"/>
      <c r="F1" s="37"/>
      <c r="G1" s="37"/>
    </row>
    <row r="2" spans="1:7" x14ac:dyDescent="0.25">
      <c r="A2" s="38" t="s">
        <v>102</v>
      </c>
      <c r="B2" s="38" t="s">
        <v>138</v>
      </c>
      <c r="C2" s="38" t="s">
        <v>94</v>
      </c>
      <c r="D2" s="38" t="s">
        <v>139</v>
      </c>
      <c r="E2" s="38" t="s">
        <v>140</v>
      </c>
      <c r="F2" s="38" t="s">
        <v>141</v>
      </c>
      <c r="G2" s="38" t="s">
        <v>142</v>
      </c>
    </row>
    <row r="3" spans="1:7" x14ac:dyDescent="0.25">
      <c r="A3" s="31" t="s">
        <v>143</v>
      </c>
      <c r="B3" s="32" t="s">
        <v>144</v>
      </c>
      <c r="C3" s="32" t="s">
        <v>145</v>
      </c>
      <c r="D3" s="33">
        <v>10352.01</v>
      </c>
      <c r="E3" s="33">
        <v>2084.85</v>
      </c>
      <c r="F3" s="33">
        <v>729.9</v>
      </c>
      <c r="G3" s="33">
        <v>7537.26</v>
      </c>
    </row>
    <row r="4" spans="1:7" x14ac:dyDescent="0.25">
      <c r="A4" s="34" t="s">
        <v>146</v>
      </c>
      <c r="B4" s="35" t="s">
        <v>144</v>
      </c>
      <c r="C4" s="35" t="s">
        <v>147</v>
      </c>
      <c r="D4" s="36">
        <v>16279.36</v>
      </c>
      <c r="E4" s="36">
        <v>3863.3</v>
      </c>
      <c r="F4" s="36">
        <v>1459.48</v>
      </c>
      <c r="G4" s="36">
        <v>10956.58</v>
      </c>
    </row>
    <row r="5" spans="1:7" x14ac:dyDescent="0.25">
      <c r="A5" s="31" t="s">
        <v>148</v>
      </c>
      <c r="B5" s="32" t="s">
        <v>144</v>
      </c>
      <c r="C5" s="32" t="s">
        <v>149</v>
      </c>
      <c r="D5" s="33">
        <v>43733</v>
      </c>
      <c r="E5" s="33">
        <v>25694.55</v>
      </c>
      <c r="F5" s="33">
        <v>2128.79</v>
      </c>
      <c r="G5" s="33">
        <v>15909.66</v>
      </c>
    </row>
    <row r="6" spans="1:7" x14ac:dyDescent="0.25">
      <c r="A6" s="34" t="s">
        <v>150</v>
      </c>
      <c r="B6" s="35" t="s">
        <v>151</v>
      </c>
      <c r="C6" s="35" t="s">
        <v>145</v>
      </c>
      <c r="D6" s="36">
        <v>9622.11</v>
      </c>
      <c r="E6" s="36">
        <v>2084.85</v>
      </c>
      <c r="F6" s="36"/>
      <c r="G6" s="36">
        <v>7537.26</v>
      </c>
    </row>
    <row r="7" spans="1:7" x14ac:dyDescent="0.25">
      <c r="A7" s="31" t="s">
        <v>152</v>
      </c>
      <c r="B7" s="32" t="s">
        <v>151</v>
      </c>
      <c r="C7" s="32" t="s">
        <v>147</v>
      </c>
      <c r="D7" s="33">
        <v>14819.88</v>
      </c>
      <c r="E7" s="33">
        <v>3863.3</v>
      </c>
      <c r="F7" s="33"/>
      <c r="G7" s="33">
        <v>10956.58</v>
      </c>
    </row>
    <row r="8" spans="1:7" x14ac:dyDescent="0.25">
      <c r="A8" s="34" t="s">
        <v>153</v>
      </c>
      <c r="B8" s="35" t="s">
        <v>151</v>
      </c>
      <c r="C8" s="35" t="s">
        <v>149</v>
      </c>
      <c r="D8" s="36">
        <v>41604.21</v>
      </c>
      <c r="E8" s="36">
        <v>25694.55</v>
      </c>
      <c r="F8" s="36"/>
      <c r="G8" s="36">
        <v>15909.66</v>
      </c>
    </row>
    <row r="9" spans="1:7" x14ac:dyDescent="0.25">
      <c r="A9" s="31" t="s">
        <v>154</v>
      </c>
      <c r="B9" s="32" t="s">
        <v>155</v>
      </c>
      <c r="C9" s="32" t="s">
        <v>145</v>
      </c>
      <c r="D9" s="33">
        <v>8267.16</v>
      </c>
      <c r="E9" s="33"/>
      <c r="F9" s="33">
        <v>729.9</v>
      </c>
      <c r="G9" s="33">
        <v>7537.26</v>
      </c>
    </row>
    <row r="10" spans="1:7" x14ac:dyDescent="0.25">
      <c r="A10" s="34" t="s">
        <v>156</v>
      </c>
      <c r="B10" s="35" t="s">
        <v>155</v>
      </c>
      <c r="C10" s="35" t="s">
        <v>147</v>
      </c>
      <c r="D10" s="36">
        <v>12416.06</v>
      </c>
      <c r="E10" s="36"/>
      <c r="F10" s="36">
        <v>1459.48</v>
      </c>
      <c r="G10" s="36">
        <v>10956.58</v>
      </c>
    </row>
    <row r="11" spans="1:7" x14ac:dyDescent="0.25">
      <c r="A11" s="31" t="s">
        <v>157</v>
      </c>
      <c r="B11" s="32" t="s">
        <v>155</v>
      </c>
      <c r="C11" s="32" t="s">
        <v>149</v>
      </c>
      <c r="D11" s="33">
        <v>18038.45</v>
      </c>
      <c r="E11" s="33"/>
      <c r="F11" s="33">
        <v>2128.79</v>
      </c>
      <c r="G11" s="33">
        <v>15909.66</v>
      </c>
    </row>
    <row r="13" spans="1:7" x14ac:dyDescent="0.25">
      <c r="A13" s="6" t="s">
        <v>158</v>
      </c>
      <c r="B13" s="6"/>
      <c r="C13" s="6"/>
      <c r="D13" s="6"/>
      <c r="E13" s="6"/>
      <c r="F13" s="6"/>
      <c r="G13" s="6"/>
    </row>
    <row r="14" spans="1:7" x14ac:dyDescent="0.25">
      <c r="A14" s="6" t="s">
        <v>159</v>
      </c>
      <c r="B14" s="6"/>
      <c r="C14" s="6"/>
      <c r="D14" s="6"/>
      <c r="E14" s="6"/>
      <c r="F14" s="6"/>
      <c r="G14" s="6"/>
    </row>
    <row r="15" spans="1:7" x14ac:dyDescent="0.25">
      <c r="A15" s="6" t="s">
        <v>160</v>
      </c>
      <c r="B15" s="6"/>
      <c r="C15" s="6"/>
      <c r="D15" s="6"/>
      <c r="E15" s="6"/>
      <c r="F15" s="6"/>
      <c r="G15" s="6"/>
    </row>
  </sheetData>
  <mergeCells count="4">
    <mergeCell ref="A1:G1"/>
    <mergeCell ref="A13:G13"/>
    <mergeCell ref="A14:G14"/>
    <mergeCell ref="A15:G15"/>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B15"/>
  <sheetFormatPr defaultRowHeight="15" outlineLevelRow="0" outlineLevelCol="0" x14ac:dyDescent="55"/>
  <cols>
    <col min="1" max="1" width="62" customWidth="1"/>
    <col min="2" max="2" width="76" customWidth="1"/>
  </cols>
  <sheetData>
    <row r="1" ht="28" customHeight="1" spans="1:2" x14ac:dyDescent="0.25">
      <c r="A1" s="39" t="s">
        <v>161</v>
      </c>
      <c r="B1" s="39"/>
    </row>
    <row r="2" ht="30" customHeight="1" spans="1:2" x14ac:dyDescent="0.25">
      <c r="A2" s="40" t="s">
        <v>162</v>
      </c>
      <c r="B2" s="40"/>
    </row>
    <row r="4" spans="1:2" x14ac:dyDescent="0.25">
      <c r="A4" s="41" t="s">
        <v>163</v>
      </c>
      <c r="B4" s="41" t="s">
        <v>164</v>
      </c>
    </row>
    <row r="5" ht="32" customHeight="1" spans="1:2" x14ac:dyDescent="0.25">
      <c r="A5" s="42" t="s">
        <v>165</v>
      </c>
      <c r="B5" s="43" t="s">
        <v>166</v>
      </c>
    </row>
    <row r="6" ht="32" customHeight="1" spans="1:2" x14ac:dyDescent="0.25">
      <c r="A6" s="44" t="s">
        <v>167</v>
      </c>
      <c r="B6" s="45" t="s">
        <v>166</v>
      </c>
    </row>
    <row r="7" ht="32" customHeight="1" spans="1:2" x14ac:dyDescent="0.25">
      <c r="A7" s="42" t="s">
        <v>168</v>
      </c>
      <c r="B7" s="43" t="s">
        <v>169</v>
      </c>
    </row>
    <row r="8" ht="32" customHeight="1" spans="1:2" x14ac:dyDescent="0.25">
      <c r="A8" s="44" t="s">
        <v>170</v>
      </c>
      <c r="B8" s="45" t="s">
        <v>171</v>
      </c>
    </row>
    <row r="9" ht="32" customHeight="1" spans="1:2" x14ac:dyDescent="0.25">
      <c r="A9" s="42" t="s">
        <v>172</v>
      </c>
      <c r="B9" s="43" t="s">
        <v>173</v>
      </c>
    </row>
    <row r="10" ht="32" customHeight="1" spans="1:2" x14ac:dyDescent="0.25">
      <c r="A10" s="44" t="s">
        <v>174</v>
      </c>
      <c r="B10" s="45" t="s">
        <v>175</v>
      </c>
    </row>
    <row r="11" ht="32" customHeight="1" spans="1:2" x14ac:dyDescent="0.25">
      <c r="A11" s="42" t="s">
        <v>176</v>
      </c>
      <c r="B11" s="43" t="s">
        <v>177</v>
      </c>
    </row>
    <row r="12" ht="32" customHeight="1" spans="1:2" x14ac:dyDescent="0.25">
      <c r="A12" s="44" t="s">
        <v>178</v>
      </c>
      <c r="B12" s="45" t="s">
        <v>179</v>
      </c>
    </row>
    <row r="13" ht="32" customHeight="1" spans="1:2" x14ac:dyDescent="0.25">
      <c r="A13" s="42" t="s">
        <v>170</v>
      </c>
      <c r="B13" s="43" t="s">
        <v>171</v>
      </c>
    </row>
    <row r="15" spans="1:2" x14ac:dyDescent="0.25">
      <c r="A15" s="6" t="s">
        <v>180</v>
      </c>
      <c r="B15" s="6"/>
    </row>
  </sheetData>
  <mergeCells count="3">
    <mergeCell ref="A1:B1"/>
    <mergeCell ref="A2:B2"/>
    <mergeCell ref="A15:B15"/>
  </mergeCells>
  <hyperlinks>
    <hyperlink ref="B5" r:id="rId1"/>
    <hyperlink ref="B6" r:id="rId2"/>
    <hyperlink ref="B7" r:id="rId3"/>
    <hyperlink ref="B8" r:id="rId4"/>
    <hyperlink ref="B9" r:id="rId5"/>
    <hyperlink ref="B10" r:id="rId6"/>
    <hyperlink ref="B11" r:id="rId7"/>
    <hyperlink ref="B12" r:id="rId8"/>
    <hyperlink ref="B13"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Instrucciones</vt:lpstr>
      <vt:lpstr>Liquidador</vt:lpstr>
      <vt:lpstr>Pagos del año</vt:lpstr>
      <vt:lpstr>Recibo</vt:lpstr>
      <vt:lpstr>Escala 2026</vt:lpstr>
      <vt:lpstr>Aportes ARCA</vt:lpstr>
      <vt:lpstr>Fuentes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 (calcular.ar)</dc:creator>
  <dc:title>Planilla de sueldo de Casas Particulares 2026</dc:title>
  <dc:subject>Sueldo, aguinaldo, vacaciones y aportes de personal de casas particulares (Ley 26.844)</dc:subject>
  <dc:description/>
  <cp:keywords>empleada doméstica, casas particulares, sueldo, aguinaldo, ARCA, planilla</cp:keywords>
  <cp:category/>
  <cp:lastModifiedBy>Unknown</cp:lastModifiedBy>
  <dcterms:created xsi:type="dcterms:W3CDTF">2026-09-27T21:05:22Z</dcterms:created>
  <dcterms:modified xsi:type="dcterms:W3CDTF">2026-09-27T21:05:22Z</dcterms:modified>
</cp:coreProperties>
</file>