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Mi monotributo" state="visible" r:id="rId5"/>
    <sheet sheetId="3" name="Categorías 2026" state="visible" r:id="rId6"/>
    <sheet sheetId="4" name="Fuentes" state="visible" r:id="rId7"/>
  </sheets>
  <calcPr calcId="171027"/>
</workbook>
</file>

<file path=xl/sharedStrings.xml><?xml version="1.0" encoding="utf-8"?>
<sst xmlns="http://schemas.openxmlformats.org/spreadsheetml/2006/main" count="101" uniqueCount="100">
  <si>
    <t>Cómo usar esta planilla</t>
  </si>
  <si>
    <t>1</t>
  </si>
  <si>
    <t>Andá a la hoja «Mi monotributo». Elegí tu actividad, tu categoría actual y si además trabajás en relación de dependencia.</t>
  </si>
  <si>
    <t>2</t>
  </si>
  <si>
    <t>Cargá lo que facturaste cada mes en la tabla amarilla. Viene armada con los 12 meses que se evalúan en la próxima recategorización (febrero de 2027); si querés mirar otro período, cambiá los nombres de los meses.</t>
  </si>
  <si>
    <t>3</t>
  </si>
  <si>
    <t>Si tenés local, completá superficie, energía y alquileres. No son opcionales para ARCA: la categoría la define el MAYOR de los parámetros, no solo la facturación.</t>
  </si>
  <si>
    <t>4</t>
  </si>
  <si>
    <t>Las celdas verdes te dicen qué categoría te corresponde, qué parámetro la define, cuánto margen te queda antes de saltar a la siguiente y cuánto vas a pagar por mes.</t>
  </si>
  <si>
    <t>5</t>
  </si>
  <si>
    <t>La hoja «Categorías 2026» es la tabla oficial de ARCA. «Fuentes» tiene los links y la fecha en que se verificó.</t>
  </si>
  <si>
    <t>LO QUE TENÉS QUE SABER</t>
  </si>
  <si>
    <t>•  La recategorización es dos veces por año, en febrero y en agosto, y el trámite se puede hacer hasta el día 5. En cada una se evalúan los últimos 12 meses de actividad.</t>
  </si>
  <si>
    <t>•  Ley 24.977, Anexo, art. 9: estás bien categorizado cuando te encuadrás en la categoría que corresponde al MAYOR valor de tus parámetros —ingresos brutos, superficie, energía o alquileres—. Por eso la planilla calcula la categoría por cada uno y se queda con la más alta.</t>
  </si>
  <si>
    <t>•  Si cualquiera de los parámetros supera el máximo de la categoría K, quedás excluido del régimen. En venta de cosas muebles, también si el precio unitario de venta supera el máximo que fija ARCA.</t>
  </si>
  <si>
    <t>•  Si además trabajás en relación de dependencia, tu empleo ya aporta jubilación y obra social: pagás solo el impuesto integrado.</t>
  </si>
  <si>
    <t>•  Las categorías se actualizan dos veces por año por inflación. Esta planilla tiene la tabla vigente desde el 1 de agosto de 2026; la próxima actualización es en febrero 2027 y te llega por mail sin costo.</t>
  </si>
  <si>
    <t>Da los mismos números que la calculadora gratis de calcular.ar/monotributo: misma tabla oficial, misma regla. Antes de publicar cada versión, una verificación automática recalcula este archivo y lo compara contra la calculadora. Si alguna vez difieren, escribinos.</t>
  </si>
  <si>
    <t>Mi monotributo — facturación, categoría y cuota</t>
  </si>
  <si>
    <t>Tabla de ARCA vigente desde el 1 de agosto de 2026 · Regla del art. 9 del Anexo de la Ley 24.977</t>
  </si>
  <si>
    <t>TUS DATOS</t>
  </si>
  <si>
    <t>Actividad principal</t>
  </si>
  <si>
    <t>Servicios</t>
  </si>
  <si>
    <t>Tu categoría actual</t>
  </si>
  <si>
    <t>C</t>
  </si>
  <si>
    <t>¿Trabajás además en relación de dependencia?</t>
  </si>
  <si>
    <t>No</t>
  </si>
  <si>
    <t>FACTURACIÓN DE LOS ÚLTIMOS 12 MESES</t>
  </si>
  <si>
    <t>Mes</t>
  </si>
  <si>
    <t>Facturado</t>
  </si>
  <si>
    <t>febrero 2026</t>
  </si>
  <si>
    <t>marzo 2026</t>
  </si>
  <si>
    <t>abril 2026</t>
  </si>
  <si>
    <t>mayo 2026</t>
  </si>
  <si>
    <t>junio 2026</t>
  </si>
  <si>
    <t>julio 2026</t>
  </si>
  <si>
    <t>agosto 2026</t>
  </si>
  <si>
    <t>septiembre 2026</t>
  </si>
  <si>
    <t>octubre 2026</t>
  </si>
  <si>
    <t>noviembre 2026</t>
  </si>
  <si>
    <t>diciembre 2026</t>
  </si>
  <si>
    <t>enero 2027</t>
  </si>
  <si>
    <t>SI TENÉS LOCAL O VENDÉS COSAS (si no, dejalo en 0)</t>
  </si>
  <si>
    <t>Superficie afectada a la actividad (m²)</t>
  </si>
  <si>
    <t>Energía eléctrica consumida en los últimos 12 meses (kW)</t>
  </si>
  <si>
    <t>Alquileres devengados en los últimos 12 meses</t>
  </si>
  <si>
    <t>Precio unitario de venta más alto (solo venta de cosas)</t>
  </si>
  <si>
    <t>RESULTADO</t>
  </si>
  <si>
    <t>Facturación de los últimos 12 meses</t>
  </si>
  <si>
    <t>Promedio mensual</t>
  </si>
  <si>
    <t>Categoría según facturación</t>
  </si>
  <si>
    <t>Categoría según superficie</t>
  </si>
  <si>
    <t>Categoría según energía</t>
  </si>
  <si>
    <t>Categoría según alquileres</t>
  </si>
  <si>
    <t>CATEGORÍA QUE TE CORRESPONDE</t>
  </si>
  <si>
    <t>Qué parámetro la define</t>
  </si>
  <si>
    <t>Tope de facturación de esa categoría</t>
  </si>
  <si>
    <t>Margen para seguir facturando sin cambiar de categoría</t>
  </si>
  <si>
    <t>CUOTA MENSUAL QUE TE CORRESPONDE</t>
  </si>
  <si>
    <t>Cuota de tu categoría actual</t>
  </si>
  <si>
    <t>¿Qué pasa en la recategorización?</t>
  </si>
  <si>
    <t>Diferencia de cuota por mes</t>
  </si>
  <si>
    <t>Precio unitario de venta</t>
  </si>
  <si>
    <t>* Recategorización: los últimos 12 meses de actividad, en febrero y agosto (hasta el día 5). Fuente: https://www.afip.gob.ar/monotributo/ayuda/recategorizacion.asp</t>
  </si>
  <si>
    <t>* Si desarrollás la actividad en tu casa, cuentan solo la superficie y la energía afectadas a la actividad, y la parte proporcional del alquiler (Ley 24.977, Anexo, art. 9).</t>
  </si>
  <si>
    <t>Categorías del Monotributo — vigentes desde el 1 de agosto de 2026 (ARCA)</t>
  </si>
  <si>
    <t>Cat.</t>
  </si>
  <si>
    <t>Ingresos brutos anuales</t>
  </si>
  <si>
    <t>Superficie (m²)</t>
  </si>
  <si>
    <t>Energía anual (kW)</t>
  </si>
  <si>
    <t>Alquileres anuales</t>
  </si>
  <si>
    <t>Precio unitario máx.</t>
  </si>
  <si>
    <t>Impuesto · servicios</t>
  </si>
  <si>
    <t>Impuesto · venta</t>
  </si>
  <si>
    <t>Jubilación (SIPA)</t>
  </si>
  <si>
    <t>Obra social</t>
  </si>
  <si>
    <t>Total · servicios</t>
  </si>
  <si>
    <t>Total · venta</t>
  </si>
  <si>
    <t>A</t>
  </si>
  <si>
    <t>B</t>
  </si>
  <si>
    <t>D</t>
  </si>
  <si>
    <t>E</t>
  </si>
  <si>
    <t>F</t>
  </si>
  <si>
    <t>G</t>
  </si>
  <si>
    <t>H</t>
  </si>
  <si>
    <t>I</t>
  </si>
  <si>
    <t>J</t>
  </si>
  <si>
    <t>K</t>
  </si>
  <si>
    <t>Tabla oficial de ARCA (https://www.afip.gob.ar/monotributo/categorias.asp), verificada el 29 de julio de 2026. La columna «Cat.» la usa la hoja «Mi monotributo»: no la borres.</t>
  </si>
  <si>
    <t>Fuentes oficiales</t>
  </si>
  <si>
    <t>Todos los datos de esta planilla se verificaron el 29 de julio de 2026 contra los documentos oficiales de abajo. Ningún blog, ningún resumen de terceros.</t>
  </si>
  <si>
    <t>Documento</t>
  </si>
  <si>
    <t>Link</t>
  </si>
  <si>
    <t>ARCA — Categorías del Monotributo (montos y parámetros vigentes)</t>
  </si>
  <si>
    <t>https://www.afip.gob.ar/monotributo/categorias.asp</t>
  </si>
  <si>
    <t>ARCA — Recategorización</t>
  </si>
  <si>
    <t>https://www.afip.gob.ar/monotributo/ayuda/recategorizacion.asp</t>
  </si>
  <si>
    <t>Ley 24.977 — Régimen Simplificado (texto actualizado, art. 9 del Anexo: la categoría la define el mayor de los parámetros)</t>
  </si>
  <si>
    <t>https://servicios.infoleg.gob.ar/infolegInternet/anexos/50000-54999/51609/texact.htm</t>
  </si>
  <si>
    <t>Planilla de calcular.ar. Las actualizaciones del año están incluidas en el precio: cuando ARCA actualiza las categorías (febrero y agosto), regeneramos la planilla y el mismo enlace de descarga te baja la versión al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</si>
</sst>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9" x14ac:knownFonts="1">
    <font>
      <color theme="1"/>
      <family val="2"/>
      <scheme val="minor"/>
      <sz val="11"/>
      <name val="Calibri"/>
    </font>
    <font>
      <b/>
      <color rgb="FFFFFFFF"/>
      <sz val="13"/>
    </font>
    <font>
      <b/>
      <color rgb="FFFFFFFF"/>
    </font>
    <font>
      <b/>
      <color rgb="FFFFFFFF"/>
      <sz val="11"/>
    </font>
    <font>
      <i/>
      <color rgb="FF777777"/>
      <sz val="9"/>
    </font>
    <font>
      <i/>
      <color rgb="FF555555"/>
      <sz val="10"/>
    </font>
    <font>
      <b/>
    </font>
    <font/>
    <font>
      <u/>
      <color rgb="FF1565C0"/>
    </font>
  </fonts>
  <fills count="14">
    <fill>
      <patternFill patternType="none"/>
    </fill>
    <fill>
      <patternFill patternType="gray125"/>
    </fill>
    <fill>
      <patternFill patternType="solid">
        <fgColor rgb="FFF57C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E8F5E9"/>
      </patternFill>
    </fill>
    <fill>
      <patternFill patternType="solid">
        <fgColor rgb="FFC8E6C9"/>
      </patternFill>
    </fill>
    <fill>
      <patternFill patternType="solid">
        <fgColor rgb="FF1565C0"/>
      </patternFill>
    </fill>
    <fill>
      <patternFill patternType="solid">
        <fgColor rgb="FF1976D2"/>
      </patternFill>
    </fill>
    <fill>
      <patternFill patternType="solid">
        <fgColor rgb="FFFFFFFF"/>
      </patternFill>
    </fill>
    <fill>
      <patternFill patternType="solid">
        <fgColor rgb="FFF3F8FF"/>
      </patternFill>
    </fill>
    <fill>
      <patternFill patternType="solid">
        <fgColor rgb="FF37474F"/>
      </patternFill>
    </fill>
    <fill>
      <patternFill patternType="solid">
        <fgColor rgb="FF546E7A"/>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36">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3" borderId="0" xfId="0" applyFont="1" applyFill="1" applyAlignment="1">
      <alignment horizontal="left" indent="1"/>
    </xf>
    <xf numFmtId="0" fontId="0" fillId="0" borderId="0" xfId="0" applyAlignment="1">
      <alignment vertical="top" wrapText="1" indent="1"/>
    </xf>
    <xf numFmtId="0" fontId="4" fillId="0" borderId="0" xfId="0" applyFont="1" applyAlignment="1">
      <alignment vertical="top" wrapText="1"/>
    </xf>
    <xf numFmtId="0" fontId="1" fillId="3" borderId="0" xfId="0" applyFont="1" applyFill="1" applyAlignment="1">
      <alignment horizontal="center" vertical="center"/>
    </xf>
    <xf numFmtId="0" fontId="5" fillId="4" borderId="0" xfId="0" applyFont="1" applyFill="1" applyAlignment="1">
      <alignment horizontal="center"/>
    </xf>
    <xf numFmtId="0" fontId="0" fillId="4" borderId="1" xfId="0" applyFill="1" applyBorder="1" applyAlignment="1">
      <alignment horizontal="left" indent="1"/>
    </xf>
    <xf numFmtId="0" fontId="6" fillId="5" borderId="1" xfId="0" applyFont="1" applyFill="1" applyBorder="1" applyAlignment="1">
      <alignment horizontal="left" indent="1"/>
    </xf>
    <xf numFmtId="0" fontId="7" fillId="5" borderId="1" xfId="0" applyFont="1" applyFill="1" applyBorder="1" applyAlignment="1">
      <alignment horizontal="left" indent="1"/>
    </xf>
    <xf numFmtId="164" fontId="0" fillId="5" borderId="1" xfId="0" applyNumberFormat="1" applyFill="1" applyBorder="1"/>
    <xf numFmtId="3" fontId="6" fillId="5" borderId="1" xfId="0" applyNumberFormat="1" applyFont="1" applyFill="1" applyBorder="1" applyAlignment="1">
      <alignment horizontal="right"/>
    </xf>
    <xf numFmtId="164" fontId="6" fillId="5" borderId="1" xfId="0" applyNumberFormat="1" applyFont="1" applyFill="1" applyBorder="1" applyAlignment="1">
      <alignment horizontal="right"/>
    </xf>
    <xf numFmtId="0" fontId="0" fillId="6" borderId="1" xfId="0" applyFill="1" applyBorder="1" applyAlignment="1">
      <alignment horizontal="left" indent="1"/>
    </xf>
    <xf numFmtId="164" fontId="0" fillId="6" borderId="1" xfId="0" applyNumberFormat="1" applyFill="1" applyBorder="1" applyAlignment="1">
      <alignment horizontal="right"/>
    </xf>
    <xf numFmtId="49" fontId="0" fillId="6" borderId="1" xfId="0" applyNumberFormat="1" applyFill="1" applyBorder="1" applyAlignment="1">
      <alignment horizontal="right"/>
    </xf>
    <xf numFmtId="0" fontId="6" fillId="7" borderId="1" xfId="0" applyFont="1" applyFill="1" applyBorder="1" applyAlignment="1">
      <alignment horizontal="left" indent="1"/>
    </xf>
    <xf numFmtId="49" fontId="6" fillId="7" borderId="1" xfId="0" applyNumberFormat="1" applyFont="1" applyFill="1" applyBorder="1" applyAlignment="1">
      <alignment horizontal="right"/>
    </xf>
    <xf numFmtId="164" fontId="6" fillId="7" borderId="1" xfId="0" applyNumberFormat="1" applyFont="1" applyFill="1" applyBorder="1" applyAlignment="1">
      <alignment horizontal="right"/>
    </xf>
    <xf numFmtId="0" fontId="1" fillId="8" borderId="0" xfId="0" applyFont="1" applyFill="1" applyAlignment="1">
      <alignment horizontal="center" vertical="center"/>
    </xf>
    <xf numFmtId="0" fontId="2" fillId="9" borderId="1" xfId="0" applyFont="1" applyFill="1" applyBorder="1" applyAlignment="1">
      <alignment horizontal="center" wrapText="1"/>
    </xf>
    <xf numFmtId="0" fontId="6" fillId="10" borderId="1" xfId="0" applyFont="1" applyFill="1" applyBorder="1" applyAlignment="1">
      <alignment horizontal="center"/>
    </xf>
    <xf numFmtId="164" fontId="0" fillId="10" borderId="1" xfId="0" applyNumberFormat="1" applyFill="1" applyBorder="1" applyAlignment="1">
      <alignment horizontal="right"/>
    </xf>
    <xf numFmtId="3" fontId="0" fillId="10" borderId="1" xfId="0" applyNumberFormat="1" applyFill="1" applyBorder="1" applyAlignment="1">
      <alignment horizontal="right"/>
    </xf>
    <xf numFmtId="0" fontId="6" fillId="11" borderId="1" xfId="0" applyFont="1" applyFill="1" applyBorder="1" applyAlignment="1">
      <alignment horizontal="center"/>
    </xf>
    <xf numFmtId="164" fontId="0" fillId="11" borderId="1" xfId="0" applyNumberFormat="1" applyFill="1" applyBorder="1" applyAlignment="1">
      <alignment horizontal="right"/>
    </xf>
    <xf numFmtId="3" fontId="0" fillId="11" borderId="1" xfId="0" applyNumberFormat="1" applyFill="1" applyBorder="1" applyAlignment="1">
      <alignment horizontal="right"/>
    </xf>
    <xf numFmtId="0" fontId="1" fillId="12" borderId="0" xfId="0" applyFont="1" applyFill="1" applyAlignment="1">
      <alignment horizontal="center" vertical="center"/>
    </xf>
    <xf numFmtId="0" fontId="5" fillId="0" borderId="0" xfId="0" applyFont="1" applyAlignment="1">
      <alignment vertical="top" wrapText="1"/>
    </xf>
    <xf numFmtId="0" fontId="2" fillId="13" borderId="1" xfId="0" applyFont="1" applyFill="1" applyBorder="1"/>
    <xf numFmtId="0" fontId="0" fillId="10" borderId="1" xfId="0" applyFill="1" applyBorder="1" applyAlignment="1">
      <alignment vertical="top" wrapText="1"/>
    </xf>
    <xf numFmtId="0" fontId="8" fillId="10" borderId="1" xfId="0" applyFont="1" applyFill="1" applyBorder="1" applyAlignment="1">
      <alignment vertical="top" wrapText="1"/>
    </xf>
    <xf numFmtId="0" fontId="0" fillId="4" borderId="1" xfId="0" applyFill="1" applyBorder="1" applyAlignment="1">
      <alignment vertical="top" wrapText="1"/>
    </xf>
    <xf numFmtId="0" fontId="8"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afip.gob.ar/monotributo/categorias.asp" TargetMode="External"/><Relationship Id="rId2" Type="http://schemas.openxmlformats.org/officeDocument/2006/relationships/hyperlink" Target="https://www.afip.gob.ar/monotributo/ayuda/recategorizacion.asp" TargetMode="External"/><Relationship Id="rId3" Type="http://schemas.openxmlformats.org/officeDocument/2006/relationships/hyperlink" Target="https://servicios.infoleg.gob.ar/infolegInternet/anexos/50000-54999/51609/texac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7C00"/>
  </sheetPr>
  <dimension ref="A1:B16"/>
  <sheetFormatPr defaultRowHeight="15" outlineLevelRow="0" outlineLevelCol="0" x14ac:dyDescent="55"/>
  <cols>
    <col min="1" max="1" width="4" customWidth="1"/>
    <col min="2" max="2" width="104" customWidth="1"/>
  </cols>
  <sheetData>
    <row r="1" ht="28" customHeight="1" spans="1:2" x14ac:dyDescent="0.25">
      <c r="A1" s="1" t="s">
        <v>0</v>
      </c>
      <c r="B1" s="1"/>
    </row>
    <row r="3" ht="34" customHeight="1" spans="1:2" x14ac:dyDescent="0.25">
      <c r="A3" s="2" t="s">
        <v>1</v>
      </c>
      <c r="B3" s="3" t="s">
        <v>2</v>
      </c>
    </row>
    <row r="4" ht="34" customHeight="1" spans="1:2" x14ac:dyDescent="0.25">
      <c r="A4" s="2" t="s">
        <v>3</v>
      </c>
      <c r="B4" s="3" t="s">
        <v>4</v>
      </c>
    </row>
    <row r="5" ht="34" customHeight="1" spans="1:2" x14ac:dyDescent="0.25">
      <c r="A5" s="2" t="s">
        <v>5</v>
      </c>
      <c r="B5" s="3" t="s">
        <v>6</v>
      </c>
    </row>
    <row r="6" ht="34" customHeight="1" spans="1:2" x14ac:dyDescent="0.25">
      <c r="A6" s="2" t="s">
        <v>7</v>
      </c>
      <c r="B6" s="3" t="s">
        <v>8</v>
      </c>
    </row>
    <row r="7" ht="34" customHeight="1" spans="1:2" x14ac:dyDescent="0.25">
      <c r="A7" s="2" t="s">
        <v>9</v>
      </c>
      <c r="B7" s="3" t="s">
        <v>10</v>
      </c>
    </row>
    <row r="9" spans="1:2" x14ac:dyDescent="0.25">
      <c r="A9" s="4" t="s">
        <v>11</v>
      </c>
      <c r="B9" s="4"/>
    </row>
    <row r="10" ht="36" customHeight="1" spans="2:2" x14ac:dyDescent="0.25">
      <c r="B10" s="5" t="s">
        <v>12</v>
      </c>
    </row>
    <row r="11" ht="36" customHeight="1" spans="2:2" x14ac:dyDescent="0.25">
      <c r="B11" s="5" t="s">
        <v>13</v>
      </c>
    </row>
    <row r="12" ht="36" customHeight="1" spans="2:2" x14ac:dyDescent="0.25">
      <c r="B12" s="5" t="s">
        <v>14</v>
      </c>
    </row>
    <row r="13" ht="36" customHeight="1" spans="2:2" x14ac:dyDescent="0.25">
      <c r="B13" s="5" t="s">
        <v>15</v>
      </c>
    </row>
    <row r="14" ht="36" customHeight="1" spans="2:2" x14ac:dyDescent="0.25">
      <c r="B14" s="5" t="s">
        <v>16</v>
      </c>
    </row>
    <row r="16" ht="32" customHeight="1" spans="1:2" x14ac:dyDescent="0.25">
      <c r="A16" s="6" t="s">
        <v>17</v>
      </c>
      <c r="B16" s="6"/>
    </row>
  </sheetData>
  <mergeCells count="3">
    <mergeCell ref="A1:B1"/>
    <mergeCell ref="A9:B9"/>
    <mergeCell ref="A16:B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D48"/>
  <sheetViews>
    <sheetView workbookViewId="0">
      <pane ySplit="4" topLeftCell="A5" activePane="bottomLeft" state="frozen"/>
      <selection pane="bottomLeft"/>
    </sheetView>
  </sheetViews>
  <sheetFormatPr defaultRowHeight="15" outlineLevelRow="0" outlineLevelCol="0" x14ac:dyDescent="55"/>
  <cols>
    <col min="1" max="1" width="50" customWidth="1"/>
    <col min="2" max="2" width="34" customWidth="1"/>
    <col min="3" max="3" width="4" customWidth="1"/>
    <col min="4" max="5" width="12" hidden="1" customWidth="1"/>
  </cols>
  <sheetData>
    <row r="1" ht="28" customHeight="1" spans="1:2" x14ac:dyDescent="0.25">
      <c r="A1" s="7" t="s">
        <v>18</v>
      </c>
      <c r="B1" s="7"/>
    </row>
    <row r="2" spans="1:2" x14ac:dyDescent="0.25">
      <c r="A2" s="8" t="s">
        <v>19</v>
      </c>
      <c r="B2" s="8"/>
    </row>
    <row r="4" spans="1:2" x14ac:dyDescent="0.25">
      <c r="A4" s="4" t="s">
        <v>20</v>
      </c>
      <c r="B4" s="4"/>
    </row>
    <row r="5" spans="1:2" x14ac:dyDescent="0.25">
      <c r="A5" s="9" t="s">
        <v>21</v>
      </c>
      <c r="B5" s="10" t="s">
        <v>22</v>
      </c>
    </row>
    <row r="6" spans="1:2" x14ac:dyDescent="0.25">
      <c r="A6" s="9" t="s">
        <v>23</v>
      </c>
      <c r="B6" s="10" t="s">
        <v>24</v>
      </c>
    </row>
    <row r="7" spans="1:2" x14ac:dyDescent="0.25">
      <c r="A7" s="9" t="s">
        <v>25</v>
      </c>
      <c r="B7" s="10" t="s">
        <v>26</v>
      </c>
    </row>
    <row r="9" spans="1:2" x14ac:dyDescent="0.25">
      <c r="A9" s="4" t="s">
        <v>27</v>
      </c>
      <c r="B9" s="4"/>
    </row>
    <row r="10" spans="1:2" x14ac:dyDescent="0.25">
      <c r="A10" s="9" t="s">
        <v>28</v>
      </c>
      <c r="B10" s="9" t="s">
        <v>29</v>
      </c>
    </row>
    <row r="11" spans="1:2" x14ac:dyDescent="0.25">
      <c r="A11" s="11" t="s">
        <v>30</v>
      </c>
      <c r="B11" s="12"/>
    </row>
    <row r="12" spans="1:2" x14ac:dyDescent="0.25">
      <c r="A12" s="11" t="s">
        <v>31</v>
      </c>
      <c r="B12" s="12"/>
    </row>
    <row r="13" spans="1:2" x14ac:dyDescent="0.25">
      <c r="A13" s="11" t="s">
        <v>32</v>
      </c>
      <c r="B13" s="12"/>
    </row>
    <row r="14" spans="1:2" x14ac:dyDescent="0.25">
      <c r="A14" s="11" t="s">
        <v>33</v>
      </c>
      <c r="B14" s="12"/>
    </row>
    <row r="15" spans="1:2" x14ac:dyDescent="0.25">
      <c r="A15" s="11" t="s">
        <v>34</v>
      </c>
      <c r="B15" s="12"/>
    </row>
    <row r="16" spans="1:2" x14ac:dyDescent="0.25">
      <c r="A16" s="11" t="s">
        <v>35</v>
      </c>
      <c r="B16" s="12"/>
    </row>
    <row r="17" spans="1:2" x14ac:dyDescent="0.25">
      <c r="A17" s="11" t="s">
        <v>36</v>
      </c>
      <c r="B17" s="12"/>
    </row>
    <row r="18" spans="1:2" x14ac:dyDescent="0.25">
      <c r="A18" s="11" t="s">
        <v>37</v>
      </c>
      <c r="B18" s="12"/>
    </row>
    <row r="19" spans="1:2" x14ac:dyDescent="0.25">
      <c r="A19" s="11" t="s">
        <v>38</v>
      </c>
      <c r="B19" s="12"/>
    </row>
    <row r="20" spans="1:2" x14ac:dyDescent="0.25">
      <c r="A20" s="11" t="s">
        <v>39</v>
      </c>
      <c r="B20" s="12"/>
    </row>
    <row r="21" spans="1:2" x14ac:dyDescent="0.25">
      <c r="A21" s="11" t="s">
        <v>40</v>
      </c>
      <c r="B21" s="12"/>
    </row>
    <row r="22" spans="1:2" x14ac:dyDescent="0.25">
      <c r="A22" s="11" t="s">
        <v>41</v>
      </c>
      <c r="B22" s="12"/>
    </row>
    <row r="24" spans="1:2" x14ac:dyDescent="0.25">
      <c r="A24" s="4" t="s">
        <v>42</v>
      </c>
      <c r="B24" s="4"/>
    </row>
    <row r="25" spans="1:2" x14ac:dyDescent="0.25">
      <c r="A25" s="9" t="s">
        <v>43</v>
      </c>
      <c r="B25" s="13">
        <v>0</v>
      </c>
    </row>
    <row r="26" spans="1:2" x14ac:dyDescent="0.25">
      <c r="A26" s="9" t="s">
        <v>44</v>
      </c>
      <c r="B26" s="13">
        <v>0</v>
      </c>
    </row>
    <row r="27" spans="1:2" x14ac:dyDescent="0.25">
      <c r="A27" s="9" t="s">
        <v>45</v>
      </c>
      <c r="B27" s="14">
        <v>0</v>
      </c>
    </row>
    <row r="28" spans="1:2" x14ac:dyDescent="0.25">
      <c r="A28" s="9" t="s">
        <v>46</v>
      </c>
      <c r="B28" s="14">
        <v>0</v>
      </c>
    </row>
    <row r="30" spans="1:2" x14ac:dyDescent="0.25">
      <c r="A30" s="4" t="s">
        <v>47</v>
      </c>
      <c r="B30" s="4"/>
    </row>
    <row r="31" spans="1:2" x14ac:dyDescent="0.25">
      <c r="A31" s="15" t="s">
        <v>48</v>
      </c>
      <c r="B31" s="16">
        <f>SUM(B11:B22)</f>
      </c>
    </row>
    <row r="32" spans="1:2" x14ac:dyDescent="0.25">
      <c r="A32" s="15" t="s">
        <v>49</v>
      </c>
      <c r="B32" s="16">
        <f>ROUND(B31/12,2)</f>
      </c>
    </row>
    <row r="33" spans="1:4" x14ac:dyDescent="0.25">
      <c r="A33" s="15" t="s">
        <v>50</v>
      </c>
      <c r="B33" s="17">
        <f>IF(D33&gt;11,"Excluido",INDEX('Categorías 2026'!$A$3:$A$13,D33))</f>
      </c>
      <c r="D33">
        <f>IF(B31&gt;INDEX('Categorías 2026'!$B$3:$B$13,11),99,COUNTIF('Categorías 2026'!$B$3:$B$13,"&lt;"&amp;B31)+1)</f>
      </c>
    </row>
    <row r="34" spans="1:4" x14ac:dyDescent="0.25">
      <c r="A34" s="15" t="s">
        <v>51</v>
      </c>
      <c r="B34" s="17">
        <f>IF(D34&gt;11,"Excluido",INDEX('Categorías 2026'!$A$3:$A$13,D34))</f>
      </c>
      <c r="D34">
        <f>IF(MAX(B25,0)&gt;INDEX('Categorías 2026'!$C$3:$C$13,11),99,COUNTIF('Categorías 2026'!$C$3:$C$13,"&lt;"&amp;MAX(B25,0))+1)</f>
      </c>
    </row>
    <row r="35" spans="1:4" x14ac:dyDescent="0.25">
      <c r="A35" s="15" t="s">
        <v>52</v>
      </c>
      <c r="B35" s="17">
        <f>IF(D35&gt;11,"Excluido",INDEX('Categorías 2026'!$A$3:$A$13,D35))</f>
      </c>
      <c r="D35">
        <f>IF(MAX(B26,0)&gt;INDEX('Categorías 2026'!$D$3:$D$13,11),99,COUNTIF('Categorías 2026'!$D$3:$D$13,"&lt;"&amp;MAX(B26,0))+1)</f>
      </c>
    </row>
    <row r="36" spans="1:4" x14ac:dyDescent="0.25">
      <c r="A36" s="15" t="s">
        <v>53</v>
      </c>
      <c r="B36" s="17">
        <f>IF(D36&gt;11,"Excluido",INDEX('Categorías 2026'!$A$3:$A$13,D36))</f>
      </c>
      <c r="D36">
        <f>IF(MAX(B27,0)&gt;INDEX('Categorías 2026'!$E$3:$E$13,11),99,COUNTIF('Categorías 2026'!$E$3:$E$13,"&lt;"&amp;MAX(B27,0))+1)</f>
      </c>
    </row>
    <row r="37" spans="1:4" x14ac:dyDescent="0.25">
      <c r="A37" s="18" t="s">
        <v>54</v>
      </c>
      <c r="B37" s="19">
        <f>IF(D37&gt;11,"Excluido del régimen",INDEX('Categorías 2026'!$A$3:$A$13,D37))</f>
      </c>
      <c r="D37">
        <f>MAX(D33:D36)</f>
      </c>
    </row>
    <row r="38" spans="1:2" x14ac:dyDescent="0.25">
      <c r="A38" s="15" t="s">
        <v>55</v>
      </c>
      <c r="B38" s="17">
        <f>IF(D37&gt;11,IF(D33&gt;11,"La facturación",IF(D34&gt;11,"La superficie",IF(D35&gt;11,"La energía","Los alquileres"))),IF(D37=D33,"La facturación",IF(D37=D34,"La superficie",IF(D37=D35,"La energía","Los alquileres"))))</f>
      </c>
    </row>
    <row r="39" spans="1:2" x14ac:dyDescent="0.25">
      <c r="A39" s="15" t="s">
        <v>56</v>
      </c>
      <c r="B39" s="16">
        <f>IF(D37&gt;11,0,INDEX('Categorías 2026'!$B$3:$B$13,D37))</f>
      </c>
    </row>
    <row r="40" spans="1:2" x14ac:dyDescent="0.25">
      <c r="A40" s="15" t="s">
        <v>57</v>
      </c>
      <c r="B40" s="16">
        <f>IF(D37&gt;11,0,ROUND(B39-B31,2))</f>
      </c>
    </row>
    <row r="41" spans="1:2" x14ac:dyDescent="0.25">
      <c r="A41" s="18" t="s">
        <v>58</v>
      </c>
      <c r="B41" s="20">
        <f>IF(D37&gt;11,0,ROUND(IF(B5="Venta de cosas muebles",INDEX('Categorías 2026'!$H$3:$H$13,D37),INDEX('Categorías 2026'!$G$3:$G$13,D37))+IF(B7="Sí",0,INDEX('Categorías 2026'!$I$3:$I$13,D37)+INDEX('Categorías 2026'!$J$3:$J$13,D37)),2))</f>
      </c>
    </row>
    <row r="42" spans="1:4" x14ac:dyDescent="0.25">
      <c r="A42" s="15" t="s">
        <v>59</v>
      </c>
      <c r="B42" s="16">
        <f>IFERROR(ROUND(IF(B5="Venta de cosas muebles",INDEX('Categorías 2026'!$H$3:$H$13,D42),INDEX('Categorías 2026'!$G$3:$G$13,D42))+IF(B7="Sí",0,INDEX('Categorías 2026'!$I$3:$I$13,D42)+INDEX('Categorías 2026'!$J$3:$J$13,D42)),2),0)</f>
      </c>
      <c r="D42">
        <f>MATCH(B6,'Categorías 2026'!$A$3:$A$13,0)</f>
      </c>
    </row>
    <row r="43" spans="1:2" x14ac:dyDescent="0.25">
      <c r="A43" s="15" t="s">
        <v>60</v>
      </c>
      <c r="B43" s="17">
        <f>IF(D37&gt;11,"Quedás excluido: tenés que pasar al régimen general",IF(D37&gt;D42,"Subís de categoría",IF(D37&lt;D42,"Bajás de categoría","Te mantenés en la misma")))</f>
      </c>
    </row>
    <row r="44" spans="1:2" x14ac:dyDescent="0.25">
      <c r="A44" s="15" t="s">
        <v>61</v>
      </c>
      <c r="B44" s="16">
        <f>IF(D37&gt;11,0,ROUND(B41-B42,2))</f>
      </c>
    </row>
    <row r="45" spans="1:2" x14ac:dyDescent="0.25">
      <c r="A45" s="15" t="s">
        <v>62</v>
      </c>
      <c r="B45" s="17">
        <f>IF(AND(B5="Venta de cosas muebles",B28&gt;INDEX('Categorías 2026'!$F$3:$F$13,1)),"Supera el máximo de ARCA: es causal de exclusión","Dentro del máximo")</f>
      </c>
    </row>
    <row r="47" ht="28" customHeight="1" spans="1:2" x14ac:dyDescent="0.25">
      <c r="A47" s="6" t="s">
        <v>63</v>
      </c>
      <c r="B47" s="6"/>
    </row>
    <row r="48" ht="28" customHeight="1" spans="1:2" x14ac:dyDescent="0.25">
      <c r="A48" s="6" t="s">
        <v>64</v>
      </c>
      <c r="B48" s="6"/>
    </row>
  </sheetData>
  <mergeCells count="8">
    <mergeCell ref="A1:B1"/>
    <mergeCell ref="A2:B2"/>
    <mergeCell ref="A4:B4"/>
    <mergeCell ref="A9:B9"/>
    <mergeCell ref="A24:B24"/>
    <mergeCell ref="A30:B30"/>
    <mergeCell ref="A47:B47"/>
    <mergeCell ref="A48:B48"/>
  </mergeCells>
  <dataValidations count="4">
    <dataValidation type="decimal" operator="greaterThanOrEqual" showErrorMessage="1" error="Ingresá un importe (0 o más)." sqref="B11:B22">
      <formula1>0</formula1>
    </dataValidation>
    <dataValidation type="list" showErrorMessage="1" error="Elegí una actividad de la lista." sqref="B5">
      <formula1>"Servicios,Venta de cosas muebles"</formula1>
    </dataValidation>
    <dataValidation type="list" showErrorMessage="1" error="Elegí una categoría de la A a la K." sqref="B6">
      <formula1>"A,B,C,D,E,F,G,H,I,J,K"</formula1>
    </dataValidation>
    <dataValidation type="list" showErrorMessage="1" error="Elegí Sí o No." sqref="B7">
      <formula1>"Sí,No"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L15"/>
  <sheetViews>
    <sheetView workbookViewId="0">
      <pane xSplit="1" ySplit="2" topLeftCell="B3" activePane="bottomRight" state="frozen"/>
      <selection pane="bottomRight"/>
    </sheetView>
  </sheetViews>
  <sheetFormatPr defaultRowHeight="15" outlineLevelRow="0" outlineLevelCol="0" x14ac:dyDescent="55"/>
  <cols>
    <col min="1" max="1" width="8" customWidth="1"/>
    <col min="2" max="12" width="17" customWidth="1"/>
  </cols>
  <sheetData>
    <row r="1" ht="28" customHeight="1" spans="1:12" x14ac:dyDescent="0.25">
      <c r="A1" s="21" t="s">
        <v>65</v>
      </c>
      <c r="B1" s="21"/>
      <c r="C1" s="21"/>
      <c r="D1" s="21"/>
      <c r="E1" s="21"/>
      <c r="F1" s="21"/>
      <c r="G1" s="21"/>
      <c r="H1" s="21"/>
      <c r="I1" s="21"/>
      <c r="J1" s="21"/>
      <c r="K1" s="21"/>
      <c r="L1" s="21"/>
    </row>
    <row r="2" ht="32" customHeight="1" spans="1:12" x14ac:dyDescent="0.25">
      <c r="A2" s="22" t="s">
        <v>66</v>
      </c>
      <c r="B2" s="22" t="s">
        <v>67</v>
      </c>
      <c r="C2" s="22" t="s">
        <v>68</v>
      </c>
      <c r="D2" s="22" t="s">
        <v>69</v>
      </c>
      <c r="E2" s="22" t="s">
        <v>70</v>
      </c>
      <c r="F2" s="22" t="s">
        <v>71</v>
      </c>
      <c r="G2" s="22" t="s">
        <v>72</v>
      </c>
      <c r="H2" s="22" t="s">
        <v>73</v>
      </c>
      <c r="I2" s="22" t="s">
        <v>74</v>
      </c>
      <c r="J2" s="22" t="s">
        <v>75</v>
      </c>
      <c r="K2" s="22" t="s">
        <v>76</v>
      </c>
      <c r="L2" s="22" t="s">
        <v>77</v>
      </c>
    </row>
    <row r="3" spans="1:12" x14ac:dyDescent="0.25">
      <c r="A3" s="23" t="s">
        <v>78</v>
      </c>
      <c r="B3" s="24">
        <v>12009410.45</v>
      </c>
      <c r="C3" s="25">
        <v>30</v>
      </c>
      <c r="D3" s="25">
        <v>3330</v>
      </c>
      <c r="E3" s="24">
        <v>2792886.15</v>
      </c>
      <c r="F3" s="24">
        <v>716840.77</v>
      </c>
      <c r="G3" s="24">
        <v>5585.77</v>
      </c>
      <c r="H3" s="24">
        <v>5585.77</v>
      </c>
      <c r="I3" s="24">
        <v>18246.86</v>
      </c>
      <c r="J3" s="24">
        <v>25694.55</v>
      </c>
      <c r="K3" s="24">
        <v>49527.18</v>
      </c>
      <c r="L3" s="24">
        <v>49527.18</v>
      </c>
    </row>
    <row r="4" spans="1:12" x14ac:dyDescent="0.25">
      <c r="A4" s="26" t="s">
        <v>79</v>
      </c>
      <c r="B4" s="27">
        <v>17595182.74</v>
      </c>
      <c r="C4" s="28">
        <v>45</v>
      </c>
      <c r="D4" s="28">
        <v>5000</v>
      </c>
      <c r="E4" s="27">
        <v>2792886.15</v>
      </c>
      <c r="F4" s="27">
        <v>716840.77</v>
      </c>
      <c r="G4" s="27">
        <v>10612.98</v>
      </c>
      <c r="H4" s="27">
        <v>10612.98</v>
      </c>
      <c r="I4" s="27">
        <v>20071.55</v>
      </c>
      <c r="J4" s="27">
        <v>25694.55</v>
      </c>
      <c r="K4" s="27">
        <v>56379.08</v>
      </c>
      <c r="L4" s="27">
        <v>56379.08</v>
      </c>
    </row>
    <row r="5" spans="1:12" x14ac:dyDescent="0.25">
      <c r="A5" s="23" t="s">
        <v>24</v>
      </c>
      <c r="B5" s="24">
        <v>24670494.31</v>
      </c>
      <c r="C5" s="25">
        <v>60</v>
      </c>
      <c r="D5" s="25">
        <v>6700</v>
      </c>
      <c r="E5" s="24">
        <v>3816944.41</v>
      </c>
      <c r="F5" s="24">
        <v>716840.77</v>
      </c>
      <c r="G5" s="24">
        <v>18246.86</v>
      </c>
      <c r="H5" s="24">
        <v>16757.32</v>
      </c>
      <c r="I5" s="24">
        <v>22078.71</v>
      </c>
      <c r="J5" s="24">
        <v>25694.55</v>
      </c>
      <c r="K5" s="24">
        <v>66020.12</v>
      </c>
      <c r="L5" s="24">
        <v>64530.58</v>
      </c>
    </row>
    <row r="6" spans="1:12" x14ac:dyDescent="0.25">
      <c r="A6" s="26" t="s">
        <v>80</v>
      </c>
      <c r="B6" s="27">
        <v>30628651.43</v>
      </c>
      <c r="C6" s="28">
        <v>85</v>
      </c>
      <c r="D6" s="28">
        <v>10000</v>
      </c>
      <c r="E6" s="27">
        <v>3816944.41</v>
      </c>
      <c r="F6" s="27">
        <v>716840.77</v>
      </c>
      <c r="G6" s="27">
        <v>29790.79</v>
      </c>
      <c r="H6" s="27">
        <v>27742.67</v>
      </c>
      <c r="I6" s="27">
        <v>24286.58</v>
      </c>
      <c r="J6" s="27">
        <v>30535.56</v>
      </c>
      <c r="K6" s="27">
        <v>84612.93</v>
      </c>
      <c r="L6" s="27">
        <v>82564.81</v>
      </c>
    </row>
    <row r="7" spans="1:12" x14ac:dyDescent="0.25">
      <c r="A7" s="23" t="s">
        <v>81</v>
      </c>
      <c r="B7" s="24">
        <v>36028231.33</v>
      </c>
      <c r="C7" s="25">
        <v>110</v>
      </c>
      <c r="D7" s="25">
        <v>13000</v>
      </c>
      <c r="E7" s="24">
        <v>4841002.66</v>
      </c>
      <c r="F7" s="24">
        <v>716840.77</v>
      </c>
      <c r="G7" s="24">
        <v>55857.73</v>
      </c>
      <c r="H7" s="24">
        <v>44313.79</v>
      </c>
      <c r="I7" s="24">
        <v>26715.24</v>
      </c>
      <c r="J7" s="24">
        <v>37238.48</v>
      </c>
      <c r="K7" s="24">
        <v>119811.45</v>
      </c>
      <c r="L7" s="24">
        <v>108267.51</v>
      </c>
    </row>
    <row r="8" spans="1:12" x14ac:dyDescent="0.25">
      <c r="A8" s="26" t="s">
        <v>82</v>
      </c>
      <c r="B8" s="27">
        <v>45151659.41</v>
      </c>
      <c r="C8" s="28">
        <v>150</v>
      </c>
      <c r="D8" s="28">
        <v>16500</v>
      </c>
      <c r="E8" s="27">
        <v>4841002.66</v>
      </c>
      <c r="F8" s="27">
        <v>716840.77</v>
      </c>
      <c r="G8" s="27">
        <v>78573.2</v>
      </c>
      <c r="H8" s="27">
        <v>57719.64</v>
      </c>
      <c r="I8" s="27">
        <v>29386.76</v>
      </c>
      <c r="J8" s="27">
        <v>42824.25</v>
      </c>
      <c r="K8" s="27">
        <v>150784.21</v>
      </c>
      <c r="L8" s="27">
        <v>129930.65</v>
      </c>
    </row>
    <row r="9" spans="1:12" x14ac:dyDescent="0.25">
      <c r="A9" s="23" t="s">
        <v>83</v>
      </c>
      <c r="B9" s="24">
        <v>53995798.87</v>
      </c>
      <c r="C9" s="25">
        <v>200</v>
      </c>
      <c r="D9" s="25">
        <v>20000</v>
      </c>
      <c r="E9" s="24">
        <v>5771964.69</v>
      </c>
      <c r="F9" s="24">
        <v>716840.77</v>
      </c>
      <c r="G9" s="24">
        <v>142995.76</v>
      </c>
      <c r="H9" s="24">
        <v>71497.87</v>
      </c>
      <c r="I9" s="24">
        <v>41141.46</v>
      </c>
      <c r="J9" s="24">
        <v>46175.72</v>
      </c>
      <c r="K9" s="24">
        <v>230312.94</v>
      </c>
      <c r="L9" s="24">
        <v>158815.05</v>
      </c>
    </row>
    <row r="10" spans="1:12" x14ac:dyDescent="0.25">
      <c r="A10" s="26" t="s">
        <v>84</v>
      </c>
      <c r="B10" s="27">
        <v>81924660.37</v>
      </c>
      <c r="C10" s="28">
        <v>200</v>
      </c>
      <c r="D10" s="28">
        <v>20000</v>
      </c>
      <c r="E10" s="27">
        <v>8378658.45</v>
      </c>
      <c r="F10" s="27">
        <v>716840.77</v>
      </c>
      <c r="G10" s="27">
        <v>409623.31</v>
      </c>
      <c r="H10" s="27">
        <v>204811.64</v>
      </c>
      <c r="I10" s="27">
        <v>57598.04</v>
      </c>
      <c r="J10" s="27">
        <v>55485.33</v>
      </c>
      <c r="K10" s="27">
        <v>522706.68</v>
      </c>
      <c r="L10" s="27">
        <v>317895.01</v>
      </c>
    </row>
    <row r="11" spans="1:12" x14ac:dyDescent="0.25">
      <c r="A11" s="23" t="s">
        <v>85</v>
      </c>
      <c r="B11" s="24">
        <v>91699761.9</v>
      </c>
      <c r="C11" s="25">
        <v>200</v>
      </c>
      <c r="D11" s="25">
        <v>20000</v>
      </c>
      <c r="E11" s="24">
        <v>8378658.45</v>
      </c>
      <c r="F11" s="24">
        <v>716840.77</v>
      </c>
      <c r="G11" s="24">
        <v>814591.79</v>
      </c>
      <c r="H11" s="24">
        <v>325836.71</v>
      </c>
      <c r="I11" s="24">
        <v>80637.26</v>
      </c>
      <c r="J11" s="24">
        <v>68518.81</v>
      </c>
      <c r="K11" s="24">
        <v>963747.86</v>
      </c>
      <c r="L11" s="24">
        <v>474992.78</v>
      </c>
    </row>
    <row r="12" spans="1:12" x14ac:dyDescent="0.25">
      <c r="A12" s="26" t="s">
        <v>86</v>
      </c>
      <c r="B12" s="27">
        <v>105012519.2</v>
      </c>
      <c r="C12" s="28">
        <v>200</v>
      </c>
      <c r="D12" s="28">
        <v>20000</v>
      </c>
      <c r="E12" s="27">
        <v>8378658.45</v>
      </c>
      <c r="F12" s="27">
        <v>716840.77</v>
      </c>
      <c r="G12" s="27">
        <v>977510.14</v>
      </c>
      <c r="H12" s="27">
        <v>391004.07</v>
      </c>
      <c r="I12" s="27">
        <v>112892.16</v>
      </c>
      <c r="J12" s="27">
        <v>76897.46</v>
      </c>
      <c r="K12" s="27">
        <v>1167299.76</v>
      </c>
      <c r="L12" s="27">
        <v>580793.69</v>
      </c>
    </row>
    <row r="13" spans="1:12" x14ac:dyDescent="0.25">
      <c r="A13" s="23" t="s">
        <v>87</v>
      </c>
      <c r="B13" s="24">
        <v>126610838.75</v>
      </c>
      <c r="C13" s="25">
        <v>200</v>
      </c>
      <c r="D13" s="25">
        <v>20000</v>
      </c>
      <c r="E13" s="24">
        <v>8378658.45</v>
      </c>
      <c r="F13" s="24">
        <v>716840.77</v>
      </c>
      <c r="G13" s="24">
        <v>1368514.2</v>
      </c>
      <c r="H13" s="24">
        <v>456171.4</v>
      </c>
      <c r="I13" s="24">
        <v>158049.02</v>
      </c>
      <c r="J13" s="24">
        <v>87882.82</v>
      </c>
      <c r="K13" s="24">
        <v>1614446.04</v>
      </c>
      <c r="L13" s="24">
        <v>702103.24</v>
      </c>
    </row>
    <row r="15" spans="1:12" x14ac:dyDescent="0.25">
      <c r="A15" s="6" t="s">
        <v>88</v>
      </c>
      <c r="B15" s="6"/>
      <c r="C15" s="6"/>
      <c r="D15" s="6"/>
      <c r="E15" s="6"/>
      <c r="F15" s="6"/>
      <c r="G15" s="6"/>
      <c r="H15" s="6"/>
      <c r="I15" s="6"/>
      <c r="J15" s="6"/>
      <c r="K15" s="6"/>
      <c r="L15" s="6"/>
    </row>
  </sheetData>
  <mergeCells count="2">
    <mergeCell ref="A1:L1"/>
    <mergeCell ref="A15:L15"/>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B9"/>
  <sheetFormatPr defaultRowHeight="15" outlineLevelRow="0" outlineLevelCol="0" x14ac:dyDescent="55"/>
  <cols>
    <col min="1" max="1" width="62" customWidth="1"/>
    <col min="2" max="2" width="76" customWidth="1"/>
  </cols>
  <sheetData>
    <row r="1" ht="28" customHeight="1" spans="1:2" x14ac:dyDescent="0.25">
      <c r="A1" s="29" t="s">
        <v>89</v>
      </c>
      <c r="B1" s="29"/>
    </row>
    <row r="2" ht="30" customHeight="1" spans="1:2" x14ac:dyDescent="0.25">
      <c r="A2" s="30" t="s">
        <v>90</v>
      </c>
      <c r="B2" s="30"/>
    </row>
    <row r="4" spans="1:2" x14ac:dyDescent="0.25">
      <c r="A4" s="31" t="s">
        <v>91</v>
      </c>
      <c r="B4" s="31" t="s">
        <v>92</v>
      </c>
    </row>
    <row r="5" ht="32" customHeight="1" spans="1:2" x14ac:dyDescent="0.25">
      <c r="A5" s="32" t="s">
        <v>93</v>
      </c>
      <c r="B5" s="33" t="s">
        <v>94</v>
      </c>
    </row>
    <row r="6" ht="32" customHeight="1" spans="1:2" x14ac:dyDescent="0.25">
      <c r="A6" s="34" t="s">
        <v>95</v>
      </c>
      <c r="B6" s="35" t="s">
        <v>96</v>
      </c>
    </row>
    <row r="7" ht="32" customHeight="1" spans="1:2" x14ac:dyDescent="0.25">
      <c r="A7" s="32" t="s">
        <v>97</v>
      </c>
      <c r="B7" s="33" t="s">
        <v>98</v>
      </c>
    </row>
    <row r="9" spans="1:2" x14ac:dyDescent="0.25">
      <c r="A9" s="6" t="s">
        <v>99</v>
      </c>
      <c r="B9" s="6"/>
    </row>
  </sheetData>
  <mergeCells count="3">
    <mergeCell ref="A1:B1"/>
    <mergeCell ref="A2:B2"/>
    <mergeCell ref="A9:B9"/>
  </mergeCells>
  <hyperlinks>
    <hyperlink ref="B5" r:id="rId1"/>
    <hyperlink ref="B6" r:id="rId2"/>
    <hyperlink ref="B7"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Instrucciones</vt:lpstr>
      <vt:lpstr>Mi monotributo</vt:lpstr>
      <vt:lpstr>Categorías 2026</vt:lpstr>
      <vt:lpstr>Fuentes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 (calcular.ar)</dc:creator>
  <dc:title>Planilla de control de Monotributo 2026</dc:title>
  <dc:subject>Facturación de 12 meses, categoría, margen y cuota del Monotributo</dc:subject>
  <dc:description/>
  <cp:keywords>monotributo, recategorización, categoría, facturación, ARCA, planilla</cp:keywords>
  <cp:category/>
  <cp:lastModifiedBy>Unknown</cp:lastModifiedBy>
  <dcterms:created xsi:type="dcterms:W3CDTF">2026-10-22T00:11:49Z</dcterms:created>
  <dcterms:modified xsi:type="dcterms:W3CDTF">2026-10-22T00:11:49Z</dcterms:modified>
</cp:coreProperties>
</file>