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quidador" state="visible" r:id="rId5"/>
    <sheet sheetId="3" name="Nómina" state="visible" r:id="rId6"/>
    <sheet sheetId="4" name="Recibo" state="visible" r:id="rId7"/>
    <sheet sheetId="5" name="SAC (Aguinaldo)" state="visible" r:id="rId8"/>
    <sheet sheetId="6" name="Escala 2026" state="visible" r:id="rId9"/>
    <sheet sheetId="7" name="Fuentes" state="visible" r:id="rId10"/>
  </sheets>
  <definedNames>
    <definedName name="_xlnm.Print_Area" localSheetId="3">'Recibo'!$A1:$E30</definedName>
  </definedNames>
  <calcPr calcId="171027"/>
</workbook>
</file>

<file path=xl/sharedStrings.xml><?xml version="1.0" encoding="utf-8"?>
<sst xmlns="http://schemas.openxmlformats.org/spreadsheetml/2006/main" count="242" uniqueCount="214">
  <si>
    <t>Planilla de sueldos Camioneros 2026 — cómo usarla</t>
  </si>
  <si>
    <t>1</t>
  </si>
  <si>
    <t>En «Liquidador» elegí categoría, mes, años de antigüedad y zona. Si el chofer viajó, cargá los kilómetros, las comidas, los viáticos especiales y las pernoctadas del mes.</t>
  </si>
  <si>
    <t>2</t>
  </si>
  <si>
    <t>Solo se completan las celdas amarillas. Las verdes se calculan solas: básico, horas extra por km, antigüedad, aportes, neto y lo que cobra en total.</t>
  </si>
  <si>
    <t>3</t>
  </si>
  <si>
    <t>«Nómina» liquida a toda la flota en una sola hoja: un trabajador por fila, con el mismo mes del Liquidador. Abajo tenés los totales del mes.</t>
  </si>
  <si>
    <t>4</t>
  </si>
  <si>
    <t>«Recibo» toma lo del Liquidador y queda listo para imprimir en A4. Los datos de la empresa y del trabajador se escriben acá y no salen de tu computadora.</t>
  </si>
  <si>
    <t>5</t>
  </si>
  <si>
    <t>«SAC (Aguinaldo)» calcula el medio aguinaldo con el mejor mes del semestre, proporcional si trabajó menos tiempo.</t>
  </si>
  <si>
    <t>6</t>
  </si>
  <si>
    <t>«Escala 2026» tiene los básicos firmados mes por mes y «Fuentes» el PDF oficial de cada uno. Si alguien te discute un número, ahí está el documento.</t>
  </si>
  <si>
    <t>LO QUE TENÉS QUE SABER DEL CCT 40/89</t>
  </si>
  <si>
    <t>•  Escala nacional única: el básico es el mismo en todo el país. Los básicos de esta planilla son los de las planillas firmadas que publica FADEEAC, de marzo 2026 a febrero 2027 (Disposiciones DNRyRT 455/2026 y 1277/2026, y revisión de julio).</t>
  </si>
  <si>
    <t>•  Antigüedad (ítem 6.1.5): 1% por año sobre los conceptos remunerativos. Sin kilómetros ni adicionales, es el 1% del básico por año.</t>
  </si>
  <si>
    <t>•  Kilómetros: el ítem 4.2.3 (horas extraordinarias por kilometraje) es remunerativo y lleva aportes; el ítem 4.2.4 (viático por km) no. Los dos valen lo mismo por km. El viático 4.2.4 no puede ser menor a 350 km por día de viaje, y el 4.2.3 se paga al 100% más los sábados después de las 13, domingos y feriados: esos km cargalos dobles.</t>
  </si>
  <si>
    <t>•  Comida (4.1.12), viático especial (4.1.13), pernoctada (4.1.14) y viático por km (4.2.4) no son remunerativos (ítem 4.2.11 del convenio y art. 106 de la LCT): no llevan aportes ni entran en el aguinaldo.</t>
  </si>
  <si>
    <t>•  Zona: quien reside al sur del Río Colorado cobra los viáticos y el 4.2.3 con coeficiente 1,2, y al sur del Río Santa Cruz con 1,4. El básico no cambia.</t>
  </si>
  <si>
    <t>•  Los valores de viáticos son los de la planilla de octubre 2026. Si liquidás otro mes, reemplazalos en el Liquidador por los de esa planilla (son celdas amarillas).</t>
  </si>
  <si>
    <t>•  Aportes del trabajador: 11% jubilación, 3% PAMI (Ley 19.032) y 3% obra social, sobre lo remunerativo.</t>
  </si>
  <si>
    <t>•  La escala llega hasta febrero 2027, la última planilla firmada publicada por FADEEAC. Cuando salga la siguiente, la cargamos y la versión nueva te llega al mismo enlace de descarga: no vence.</t>
  </si>
  <si>
    <t>Es una referencia de cálculo con las fuentes a la vista, no un recibo oficial. No incluye contribuciones patronales, ART, cuota sindical ni aportes solidarios del convenio, Ganancias ni embargos. Los adicionales por rama (combustibles, sustancias peligrosas, larga distancia y otros) se cargan en «Otros adicionales».</t>
  </si>
  <si>
    <t>Con kilómetros y viáticos en cero, esta planilla da exactamente los mismos números que la calculadora gratis de calcular.ar/convenios/camioneros: misma escala, misma cuenta. Si alguna vez difieren, escribinos y lo corregimos.</t>
  </si>
  <si>
    <t>Liquidación de sueldo — Camioneros (CCT 40/89)</t>
  </si>
  <si>
    <t>Básicos de las planillas firmadas FADEEAC · verificados el 10/10/2026 · calcular.ar</t>
  </si>
  <si>
    <t>DATOS DEL TRABAJADOR</t>
  </si>
  <si>
    <t>Categoría</t>
  </si>
  <si>
    <t>Chofer de Primera</t>
  </si>
  <si>
    <t>Mes a liquidar</t>
  </si>
  <si>
    <t>Febrero 2027</t>
  </si>
  <si>
    <t>Años de antigüedad</t>
  </si>
  <si>
    <t>Ítem 6.1.5: 1% por año sobre lo remunerativo</t>
  </si>
  <si>
    <t>Zona de residencia</t>
  </si>
  <si>
    <t>General</t>
  </si>
  <si>
    <t>Coeficiente 1,20 / 1,40 sobre viáticos y 4.2.3</t>
  </si>
  <si>
    <t>VIAJES Y ADICIONALES DEL MES (en cero si no viajó)</t>
  </si>
  <si>
    <t>Km recorridos — horas extra por km</t>
  </si>
  <si>
    <t>Ítem 4.2.3 · remunerativo</t>
  </si>
  <si>
    <t>Km recorridos — viático por km</t>
  </si>
  <si>
    <t>Ítem 4.2.4 · no remunerativo · mínimo 350 km por día de viaje</t>
  </si>
  <si>
    <t>Comidas</t>
  </si>
  <si>
    <t>Ítem 4.1.12 · no remunerativo</t>
  </si>
  <si>
    <t>Viáticos especiales</t>
  </si>
  <si>
    <t>Ítem 4.1.13 · no remunerativo</t>
  </si>
  <si>
    <t>Pernoctadas</t>
  </si>
  <si>
    <t>Ítem 4.1.14 · no remunerativo</t>
  </si>
  <si>
    <t>Otros adicionales remunerativos ($)</t>
  </si>
  <si>
    <t>Adicionales por rama, horas extra, etc.</t>
  </si>
  <si>
    <t>Otros no remunerativos ($)</t>
  </si>
  <si>
    <t>Permanencia (4.2.5), cruce de frontera (4.2.17), etc.</t>
  </si>
  <si>
    <t>LIQUIDACIÓN DEL MES</t>
  </si>
  <si>
    <t>Sueldo básico</t>
  </si>
  <si>
    <t>Horas extra por km (4.2.3)</t>
  </si>
  <si>
    <t>Otros adicionales remunerativos</t>
  </si>
  <si>
    <t>Antigüedad</t>
  </si>
  <si>
    <t>TOTAL REMUNERATIVO (bruto)</t>
  </si>
  <si>
    <t>Base de aportes y del aguinaldo</t>
  </si>
  <si>
    <t>Jubilación (11%)</t>
  </si>
  <si>
    <t>PAMI — Ley 19.032 (3%)</t>
  </si>
  <si>
    <t>Obra social (3%)</t>
  </si>
  <si>
    <t>NETO DE HABERES</t>
  </si>
  <si>
    <t>Viáticos no remunerativos</t>
  </si>
  <si>
    <t>No llevan aportes (ítem 4.2.11 y art. 106 LCT)</t>
  </si>
  <si>
    <t>TOTAL A COBRAR</t>
  </si>
  <si>
    <t>VALORES DE VIÁTICOS (planilla octubre 2026)</t>
  </si>
  <si>
    <t>Valor por km (4.2.3 y 4.2.4)</t>
  </si>
  <si>
    <t>Comida (4.1.12)</t>
  </si>
  <si>
    <t>Viático especial (4.1.13)</t>
  </si>
  <si>
    <t>Pernoctada (4.1.14)</t>
  </si>
  <si>
    <t>* El sueldo del convenio es un piso: si pagan más, cargá la diferencia en «Otros adicionales remunerativos».</t>
  </si>
  <si>
    <t>* El neto no descuenta cuota sindical, aportes solidarios, Ganancias ni embargos. No incluye contribuciones patronales ni ART.</t>
  </si>
  <si>
    <t>* Las celdas amarillas se completan; las verdes las calcula la planilla. La columna D está oculta a propósito: no la borres.</t>
  </si>
  <si>
    <t>Nómina del mes — toda la flota en una hoja</t>
  </si>
  <si>
    <t>Mes liquidado</t>
  </si>
  <si>
    <t>El mes y los valores de viáticos salen del Liquidador. Un trabajador por fila; las filas sin categoría no suman.</t>
  </si>
  <si>
    <t>Amarillo: lo cargás vos. Verde: lo calcula la planilla. Con km y viáticos en cero, cada fila da lo mismo que la calculadora gratis.</t>
  </si>
  <si>
    <t>Trabajador</t>
  </si>
  <si>
    <t>Años</t>
  </si>
  <si>
    <t>Zona</t>
  </si>
  <si>
    <t>Km 4.2.3</t>
  </si>
  <si>
    <t>Km 4.2.4</t>
  </si>
  <si>
    <t>Viát. esp.</t>
  </si>
  <si>
    <t>Pernoct.</t>
  </si>
  <si>
    <t>Otros rem. $</t>
  </si>
  <si>
    <t>Otros no rem. $</t>
  </si>
  <si>
    <t>Básico</t>
  </si>
  <si>
    <t>Horas extra km</t>
  </si>
  <si>
    <t>Total remunerativo</t>
  </si>
  <si>
    <t>Aportes 17%</t>
  </si>
  <si>
    <t>Neto de haberes</t>
  </si>
  <si>
    <t>No remunerativo</t>
  </si>
  <si>
    <t>A cobrar</t>
  </si>
  <si>
    <t>coef</t>
  </si>
  <si>
    <t>Trabajador 1</t>
  </si>
  <si>
    <t>TOTALES DEL MES</t>
  </si>
  <si>
    <t>Recibo de haberes — CCT 40/89 Camioneros</t>
  </si>
  <si>
    <t>Se completa solo con el Liquidador. Los datos de la empresa y del trabajador se escriben una vez acá: no salen de tu computadora.</t>
  </si>
  <si>
    <t>Empleador (razón social)</t>
  </si>
  <si>
    <t/>
  </si>
  <si>
    <t>CUIT del empleador</t>
  </si>
  <si>
    <t>Trabajador (apellido y nombre)</t>
  </si>
  <si>
    <t>CUIL del trabajador</t>
  </si>
  <si>
    <t>Fecha de ingreso</t>
  </si>
  <si>
    <t>Período</t>
  </si>
  <si>
    <t>Concepto</t>
  </si>
  <si>
    <t>Cantidad</t>
  </si>
  <si>
    <t>Haberes rem.</t>
  </si>
  <si>
    <t>Descuentos</t>
  </si>
  <si>
    <t>Antigüedad (6.1.5)</t>
  </si>
  <si>
    <t>Viáticos, comidas y pernoctadas (no rem.)</t>
  </si>
  <si>
    <t>Jubilación 11%</t>
  </si>
  <si>
    <t>PAMI Ley 19.032 3%</t>
  </si>
  <si>
    <t>Obra social 3%</t>
  </si>
  <si>
    <t>Totales</t>
  </si>
  <si>
    <t>NETO A COBRAR</t>
  </si>
  <si>
    <t>Lugar y fecha de pago</t>
  </si>
  <si>
    <t>Los aportes del trabajador se depositaron en el período anterior. Recibí el importe neto de este recibo y un duplicado firmado.</t>
  </si>
  <si>
    <t>Firma del trabajador</t>
  </si>
  <si>
    <t>Firma y sello del empleador</t>
  </si>
  <si>
    <t>Aguinaldo (SAC) — Ley 23.041 y arts. 121 a 123 LCT</t>
  </si>
  <si>
    <t>DATOS DEL SEMESTRE</t>
  </si>
  <si>
    <t>Semestre</t>
  </si>
  <si>
    <t>2do semestre 2026</t>
  </si>
  <si>
    <t>Vienen con el bruto del Liquidador: escribí encima lo que pagaste cada mes</t>
  </si>
  <si>
    <t>Días trabajados en el semestre</t>
  </si>
  <si>
    <t>Dejala vacía si trabajó el semestre completo</t>
  </si>
  <si>
    <t>AGUINALDO</t>
  </si>
  <si>
    <t>Mejor remuneración del semestre</t>
  </si>
  <si>
    <t>Días del semestre</t>
  </si>
  <si>
    <t>Días computados</t>
  </si>
  <si>
    <t>SAC bruto</t>
  </si>
  <si>
    <t>PAMI (3%)</t>
  </si>
  <si>
    <t>SAC NETO ESTIMADO</t>
  </si>
  <si>
    <t>* El aguinaldo es el 50% de la MEJOR remuneración mensual del semestre, no el promedio. Si trabajó una parte, es proporcional a los días.</t>
  </si>
  <si>
    <t>* Vencimientos: 30 de junio de 2026 y 18 de diciembre de 2026 (art. 122 LCT). Los viáticos no remunerativos (4.1.12, 4.1.13, 4.1.14, 4.2.4) no entran en la base.</t>
  </si>
  <si>
    <t>Básicos mensuales oficiales — CCT 40/89 (planillas firmadas FADEEAC)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</si>
  <si>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</si>
  <si>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</si>
  <si>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</si>
  <si>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</si>
  <si>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</si>
  <si>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</si>
  <si>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</si>
  <si>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</si>
  <si>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</si>
  <si>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</si>
  <si>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>Enero 2027</t>
  </si>
  <si>
    <t>Chofer de Segunda</t>
  </si>
  <si>
    <t>Chofer de Tercera</t>
  </si>
  <si>
    <t>Encargado</t>
  </si>
  <si>
    <t>Peón</t>
  </si>
  <si>
    <t>Ayudante mayor de 18 años</t>
  </si>
  <si>
    <t>Oficial de Primera (taller)</t>
  </si>
  <si>
    <t>Oficial (taller)</t>
  </si>
  <si>
    <t>Medio Oficial (taller)</t>
  </si>
  <si>
    <t>Marzo 2026: Primer tramo del acuerdo del 13/3/2026. Además, suma no remunerativa de $53.000 por única vez con los haberes de marzo (cláusula PRIMERA).</t>
  </si>
  <si>
    <t>Abril 2026: Se incorporan al básico $49.471 de la suma no remunerativa de marzo (al Chofer de Primera, y en proporción al resto). Además, corre el tramo de abril.</t>
  </si>
  <si>
    <t>Mayo 2026: Tramo de mayo: +1,7% sobre el básico de abril.</t>
  </si>
  <si>
    <t>Junio 2026: Tramo de junio: +1,6% sobre el básico de mayo.</t>
  </si>
  <si>
    <t>Julio 2026: +4,22% sobre junio: acá entra la REVISIÓN de la cláusula TERCERA (no es el +1,5% del tramo original). La escala de julio se republicó firmada en agosto.</t>
  </si>
  <si>
    <t>Agosto 2026: Último tramo del acuerdo: +1,5% sobre el básico de julio (ya revisado). Desde septiembre rige el acuerdo del 18/9/2026.</t>
  </si>
  <si>
    <t>Septiembre 2026: Primer tramo del acuerdo del 18/9/2026: +1,8% sobre el básico de agosto. Además, suma no remunerativa de $18.000 por única vez con los haberes de septiembre (cláusula PRIMERA).</t>
  </si>
  <si>
    <t>Octubre 2026: Tramo de octubre: +1,7% sobre septiembre, y se incorporan al básico $12.252,86 de la suma no remunerativa de septiembre (al Chofer de Primera, y en proporción al resto). En total, +2,82%.</t>
  </si>
  <si>
    <t>Noviembre 2026: Tramo de noviembre: +1,7% sobre el básico de octubre.</t>
  </si>
  <si>
    <t>Diciembre 2026: Tramo de diciembre: +1,6% sobre el básico de noviembre. El acuerdo prevé una revisión en la primera quincena de diciembre contra la inflación de septiembre a noviembre.</t>
  </si>
  <si>
    <t>Enero 2027: Tramo de enero: +1,6% sobre el básico de diciembre. Además, empieza la asignación extraordinaria no remunerativa: 4 cuotas de $300.000 (enero a abril de 2027).</t>
  </si>
  <si>
    <t>Febrero 2027: Último tramo del acuerdo del 18/9/2026: +1,5% sobre el básico de enero. Hay una revisión pactada para la primera quincena de marzo de 2027.</t>
  </si>
  <si>
    <t>La escala llega hasta febrero 2027, la última planilla firmada publicada por FADEEAC. Cuando salga la siguiente, la cargamos y la versión nueva te llega al mismo enlace de descarga: no vence.</t>
  </si>
  <si>
    <t>El Liquidador y la Nómina buscan el básico por el nombre de la categoría y del mes: no los edites.</t>
  </si>
  <si>
    <t>Fuentes oficiales</t>
  </si>
  <si>
    <t>Todos los datos de esta planilla se verificaron el 10/10/2026 contra los documentos oficiales de abajo. Ningún blog, ningún resumen de terceros.</t>
  </si>
  <si>
    <t>Documento</t>
  </si>
  <si>
    <t>Link</t>
  </si>
  <si>
    <t>FADEEAC — planilla salarial firmada de marzo 2026 (CCT 40/89)</t>
  </si>
  <si>
    <t>https://www.fadeeac.org.ar/wp-content/uploads/2026/03/Planilla-MARZO-26.pdf</t>
  </si>
  <si>
    <t>FADEEAC — planilla salarial firmada de abril 2026 (CCT 40/89)</t>
  </si>
  <si>
    <t>https://www.fadeeac.org.ar/wp-content/uploads/2026/03/Planilla-ABRIL-26.pdf</t>
  </si>
  <si>
    <t>FADEEAC — planilla salarial firmada de mayo 2026 (CCT 40/89)</t>
  </si>
  <si>
    <t>https://www.fadeeac.org.ar/wp-content/uploads/2026/03/Planilla-MAYO-26.pdf</t>
  </si>
  <si>
    <t>FADEEAC — planilla salarial firmada de junio 2026 (CCT 40/89)</t>
  </si>
  <si>
    <t>https://www.fadeeac.org.ar/wp-content/uploads/2026/03/Planilla-JUNIO-26.pdf</t>
  </si>
  <si>
    <t>FADEEAC — planilla salarial firmada de julio 2026 (CCT 40/89)</t>
  </si>
  <si>
    <t>https://www.fadeeac.org.ar/wp-content/uploads/2026/08/Planilla-de-escalas-salariales-julio-2026-OK.pdf</t>
  </si>
  <si>
    <t>FADEEAC — planilla salarial firmada de agosto 2026 (CCT 40/89)</t>
  </si>
  <si>
    <t>https://www.fadeeac.org.ar/wp-content/uploads/2026/08/Planillas-de-escalas-salariales-agosto-2026-OK.pdf</t>
  </si>
  <si>
    <t>FADEEAC — planilla salarial firmada de septiembre 2026 (CCT 40/89)</t>
  </si>
  <si>
    <t>https://www.fadeeac.org.ar/wp-content/uploads/2026/10/3-Planillas-salariales-acuerdo-SEPT-2026-a-FEB-2027.pdf</t>
  </si>
  <si>
    <t>FADEEAC — planilla salarial firmada de octubre 2026 (CCT 40/89)</t>
  </si>
  <si>
    <t>FADEEAC — planilla salarial firmada de noviembre 2026 (CCT 40/89)</t>
  </si>
  <si>
    <t>FADEEAC — planilla salarial firmada de diciembre 2026 (CCT 40/89)</t>
  </si>
  <si>
    <t>FADEEAC — planilla salarial firmada de enero 2027 (CCT 40/89)</t>
  </si>
  <si>
    <t>FADEEAC — planilla salarial firmada de febrero 2027 (CCT 40/89)</t>
  </si>
  <si>
    <t>Viáticos y adicionales (hoja 2 de la planilla de octubre 2026) — verificado el 10/10/2026</t>
  </si>
  <si>
    <t>Acuerdo paritario del 13/3/2026: CCT 40/89 (marzo a agosto 2026), PDF firmado</t>
  </si>
  <si>
    <t>https://www.fadeeac.org.ar/wp-content/uploads/2026/03/Acuerdo-Paritario-13-3-26.pdf</t>
  </si>
  <si>
    <t>Disposición DNRyRT 455/2026: homologación del acuerdo del 13/3/2026</t>
  </si>
  <si>
    <t>https://www.fadeeac.org.ar/wp-content/uploads/2026/03/Disp.-455-26-HOMOLOGACION-acuerdo-13-3-26.pdf</t>
  </si>
  <si>
    <t>Revisión de la cláusula TERCERA: recompone julio y agosto 2026 (+4,22% sobre junio)</t>
  </si>
  <si>
    <t>https://www.fadeeac.org.ar/wp-content/uploads/2026/08/REVISION-Acuerdo-Julio-Agosto-2026.pdf</t>
  </si>
  <si>
    <t>Acuerdo paritario del 18/9/2026: CCT 40/89 (septiembre 2026 a febrero 2027), PDF firmado</t>
  </si>
  <si>
    <t>https://www.fadeeac.org.ar/wp-content/uploads/2026/10/1-Acuerdo-paritario-Sep-2026-Feb2027.pdf</t>
  </si>
  <si>
    <t>Disposición DNRyRT 1277/2026: homologación del acuerdo del 18/9/2026</t>
  </si>
  <si>
    <t>https://www.fadeeac.org.ar/wp-content/uploads/2026/10/Disp.-1277-26-Homolog.-paritaria-sep26-Feb27.pdf</t>
  </si>
  <si>
    <t>Acuerdo del 18/9/2026: asignación extraordinaria no remunerativa de $1.200.000 (4 cuotas de $300.000 desde enero 2027)</t>
  </si>
  <si>
    <t>https://www.fadeeac.org.ar/wp-content/uploads/2026/10/2-Acuerdo-Asignacion-Ext.No-Remunerativa.pdf</t>
  </si>
  <si>
    <t>Ley 23.041: Sueldo Anual Complementario</t>
  </si>
  <si>
    <t>https://www.argentina.gob.ar/normativa/nacional/ley-23041-1983-28165</t>
  </si>
  <si>
    <t>Ley de Contrato de Trabajo 20.744, arts. 121-123 (texto actualizado)</t>
  </si>
  <si>
    <t>https://servicios.infoleg.gob.ar/infolegInternet/anexos/25000-29999/25552/texact.htm</t>
  </si>
  <si>
    <t>Homologaciones</t>
  </si>
  <si>
    <t>Disposición DNRyRT 455/2026</t>
  </si>
  <si>
    <t>Disposición DNRyRT 1277/2026</t>
  </si>
  <si>
    <t>Planilla de calcular.ar. Las actualizaciones del año están incluidas en el precio: cuando FADEEAC publica la planilla firmada de un mes nuevo, la cargamos y el mismo enlace de descarga te baja la versión al día.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</si>
</sst>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000"/>
    <numFmt numFmtId="166" formatCode="&quot;$&quot;#,##0"/>
  </numFmts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  <color rgb="FFFFFFFF"/>
      <sz val="11"/>
    </font>
    <font>
      <i/>
      <color rgb="FF777777"/>
      <sz val="9"/>
    </font>
    <font>
      <i/>
      <color rgb="FF555555"/>
      <sz val="10"/>
    </font>
    <font>
      <b/>
    </font>
    <font>
      <color rgb="FF78909C"/>
      <sz val="9"/>
    </font>
    <font>
      <b/>
      <color rgb="FFB45309"/>
      <sz val="9"/>
    </font>
    <font>
      <b/>
      <color rgb="FFFFFFFF"/>
      <sz val="10"/>
    </font>
    <font>
      <b/>
      <sz val="12"/>
    </font>
    <font>
      <u/>
      <color rgb="FF1565C0"/>
    </font>
  </fonts>
  <fills count="18">
    <fill>
      <patternFill patternType="none"/>
    </fill>
    <fill>
      <patternFill patternType="gray125"/>
    </fill>
    <fill>
      <patternFill patternType="solid">
        <fgColor rgb="FFEF6C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2E7D32"/>
      </patternFill>
    </fill>
    <fill>
      <patternFill patternType="solid">
        <fgColor rgb="FF8D6E00"/>
      </patternFill>
    </fill>
    <fill>
      <patternFill patternType="solid">
        <fgColor rgb="FF455A64"/>
      </patternFill>
    </fill>
    <fill>
      <patternFill patternType="solid">
        <fgColor rgb="FF6A1B9A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FFFFFF"/>
      </patternFill>
    </fill>
    <fill>
      <patternFill patternType="solid">
        <fgColor rgb="FFF3F8FF"/>
      </patternFill>
    </fill>
    <fill>
      <patternFill patternType="solid">
        <fgColor rgb="FF37474F"/>
      </patternFill>
    </fill>
    <fill>
      <patternFill patternType="solid">
        <fgColor rgb="FF546E7A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455A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3" borderId="0" xfId="0" applyFont="1" applyFill="1" applyAlignment="1">
      <alignment horizontal="left" indent="1"/>
    </xf>
    <xf numFmtId="0" fontId="0" fillId="0" borderId="0" xfId="0" applyAlignment="1">
      <alignment vertical="top" wrapText="1" indent="1"/>
    </xf>
    <xf numFmtId="0" fontId="4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4" borderId="1" xfId="0" applyFill="1" applyBorder="1" applyAlignment="1">
      <alignment horizontal="left" indent="1"/>
    </xf>
    <xf numFmtId="0" fontId="6" fillId="5" borderId="1" xfId="0" applyFont="1" applyFill="1" applyBorder="1" applyAlignment="1">
      <alignment horizontal="left" indent="1"/>
    </xf>
    <xf numFmtId="1" fontId="6" fillId="5" borderId="1" xfId="0" applyNumberFormat="1" applyFont="1" applyFill="1" applyBorder="1" applyAlignment="1">
      <alignment horizontal="right"/>
    </xf>
    <xf numFmtId="0" fontId="7" fillId="0" borderId="0" xfId="0" applyFont="1" applyAlignment="1">
      <alignment vertical="center" wrapText="1"/>
    </xf>
    <xf numFmtId="3" fontId="6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0" fontId="0" fillId="6" borderId="1" xfId="0" applyFill="1" applyBorder="1" applyAlignment="1">
      <alignment horizontal="left" indent="1"/>
    </xf>
    <xf numFmtId="164" fontId="0" fillId="6" borderId="1" xfId="0" applyNumberFormat="1" applyFill="1" applyBorder="1" applyAlignment="1">
      <alignment horizontal="right"/>
    </xf>
    <xf numFmtId="0" fontId="6" fillId="7" borderId="1" xfId="0" applyFont="1" applyFill="1" applyBorder="1" applyAlignment="1">
      <alignment horizontal="left" indent="1"/>
    </xf>
    <xf numFmtId="164" fontId="6" fillId="7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1" fillId="8" borderId="0" xfId="0" applyFont="1" applyFill="1" applyAlignment="1">
      <alignment horizontal="center" vertical="center"/>
    </xf>
    <xf numFmtId="0" fontId="6" fillId="6" borderId="1" xfId="0" applyFont="1" applyFill="1" applyBorder="1"/>
    <xf numFmtId="0" fontId="9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1" fontId="0" fillId="5" borderId="1" xfId="0" applyNumberFormat="1" applyFill="1" applyBorder="1"/>
    <xf numFmtId="3" fontId="0" fillId="5" borderId="1" xfId="0" applyNumberFormat="1" applyFill="1" applyBorder="1"/>
    <xf numFmtId="166" fontId="0" fillId="5" borderId="1" xfId="0" applyNumberFormat="1" applyFill="1" applyBorder="1"/>
    <xf numFmtId="166" fontId="0" fillId="6" borderId="1" xfId="0" applyNumberFormat="1" applyFill="1" applyBorder="1"/>
    <xf numFmtId="166" fontId="0" fillId="7" borderId="1" xfId="0" applyNumberFormat="1" applyFill="1" applyBorder="1"/>
    <xf numFmtId="2" fontId="0" fillId="6" borderId="1" xfId="0" applyNumberFormat="1" applyFill="1" applyBorder="1"/>
    <xf numFmtId="0" fontId="6" fillId="7" borderId="1" xfId="0" applyFont="1" applyFill="1" applyBorder="1"/>
    <xf numFmtId="166" fontId="6" fillId="7" borderId="1" xfId="0" applyNumberFormat="1" applyFont="1" applyFill="1" applyBorder="1"/>
    <xf numFmtId="0" fontId="1" fillId="10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7" borderId="1" xfId="0" applyFill="1" applyBorder="1"/>
    <xf numFmtId="164" fontId="6" fillId="7" borderId="1" xfId="0" applyNumberFormat="1" applyFont="1" applyFill="1" applyBorder="1"/>
    <xf numFmtId="0" fontId="10" fillId="7" borderId="1" xfId="0" applyFont="1" applyFill="1" applyBorder="1" applyAlignment="1">
      <alignment horizontal="right" indent="1"/>
    </xf>
    <xf numFmtId="164" fontId="10" fillId="7" borderId="1" xfId="0" applyNumberFormat="1" applyFont="1" applyFill="1" applyBorder="1"/>
    <xf numFmtId="0" fontId="0" fillId="0" borderId="2" xfId="0" applyBorder="1" applyAlignment="1">
      <alignment horizontal="center"/>
    </xf>
    <xf numFmtId="0" fontId="1" fillId="11" borderId="0" xfId="0" applyFont="1" applyFill="1" applyAlignment="1">
      <alignment horizontal="center" vertical="center"/>
    </xf>
    <xf numFmtId="164" fontId="6" fillId="5" borderId="1" xfId="0" applyNumberFormat="1" applyFont="1" applyFill="1" applyBorder="1"/>
    <xf numFmtId="1" fontId="0" fillId="6" borderId="1" xfId="0" applyNumberFormat="1" applyFill="1" applyBorder="1" applyAlignment="1">
      <alignment horizontal="right"/>
    </xf>
    <xf numFmtId="0" fontId="1" fillId="12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0" fillId="14" borderId="1" xfId="0" applyFill="1" applyBorder="1"/>
    <xf numFmtId="164" fontId="0" fillId="14" borderId="1" xfId="0" applyNumberFormat="1" applyFill="1" applyBorder="1"/>
    <xf numFmtId="0" fontId="0" fillId="15" borderId="1" xfId="0" applyFill="1" applyBorder="1"/>
    <xf numFmtId="164" fontId="0" fillId="15" borderId="1" xfId="0" applyNumberFormat="1" applyFill="1" applyBorder="1"/>
    <xf numFmtId="0" fontId="1" fillId="16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2" fillId="17" borderId="1" xfId="0" applyFont="1" applyFill="1" applyBorder="1"/>
    <xf numFmtId="0" fontId="0" fillId="14" borderId="1" xfId="0" applyFill="1" applyBorder="1" applyAlignment="1">
      <alignment vertical="top" wrapText="1"/>
    </xf>
    <xf numFmtId="0" fontId="11" fillId="1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deeac.org.ar/wp-content/uploads/2026/03/Planilla-MARZO-26.pdf" TargetMode="External"/><Relationship Id="rId2" Type="http://schemas.openxmlformats.org/officeDocument/2006/relationships/hyperlink" Target="https://www.fadeeac.org.ar/wp-content/uploads/2026/03/Planilla-ABRIL-26.pdf" TargetMode="External"/><Relationship Id="rId3" Type="http://schemas.openxmlformats.org/officeDocument/2006/relationships/hyperlink" Target="https://www.fadeeac.org.ar/wp-content/uploads/2026/03/Planilla-MAYO-26.pdf" TargetMode="External"/><Relationship Id="rId4" Type="http://schemas.openxmlformats.org/officeDocument/2006/relationships/hyperlink" Target="https://www.fadeeac.org.ar/wp-content/uploads/2026/03/Planilla-JUNIO-26.pdf" TargetMode="External"/><Relationship Id="rId5" Type="http://schemas.openxmlformats.org/officeDocument/2006/relationships/hyperlink" Target="https://www.fadeeac.org.ar/wp-content/uploads/2026/08/Planilla-de-escalas-salariales-julio-2026-OK.pdf" TargetMode="External"/><Relationship Id="rId6" Type="http://schemas.openxmlformats.org/officeDocument/2006/relationships/hyperlink" Target="https://www.fadeeac.org.ar/wp-content/uploads/2026/08/Planillas-de-escalas-salariales-agosto-2026-OK.pdf" TargetMode="External"/><Relationship Id="rId7" Type="http://schemas.openxmlformats.org/officeDocument/2006/relationships/hyperlink" Target="https://www.fadeeac.org.ar/wp-content/uploads/2026/10/3-Planillas-salariales-acuerdo-SEPT-2026-a-FEB-2027.pdf" TargetMode="External"/><Relationship Id="rId8" Type="http://schemas.openxmlformats.org/officeDocument/2006/relationships/hyperlink" Target="https://www.fadeeac.org.ar/wp-content/uploads/2026/10/3-Planillas-salariales-acuerdo-SEPT-2026-a-FEB-2027.pdf" TargetMode="External"/><Relationship Id="rId9" Type="http://schemas.openxmlformats.org/officeDocument/2006/relationships/hyperlink" Target="https://www.fadeeac.org.ar/wp-content/uploads/2026/10/3-Planillas-salariales-acuerdo-SEPT-2026-a-FEB-2027.pdf" TargetMode="External"/><Relationship Id="rId10" Type="http://schemas.openxmlformats.org/officeDocument/2006/relationships/hyperlink" Target="https://www.fadeeac.org.ar/wp-content/uploads/2026/10/3-Planillas-salariales-acuerdo-SEPT-2026-a-FEB-2027.pdf" TargetMode="External"/><Relationship Id="rId11" Type="http://schemas.openxmlformats.org/officeDocument/2006/relationships/hyperlink" Target="https://www.fadeeac.org.ar/wp-content/uploads/2026/10/3-Planillas-salariales-acuerdo-SEPT-2026-a-FEB-2027.pdf" TargetMode="External"/><Relationship Id="rId12" Type="http://schemas.openxmlformats.org/officeDocument/2006/relationships/hyperlink" Target="https://www.fadeeac.org.ar/wp-content/uploads/2026/10/3-Planillas-salariales-acuerdo-SEPT-2026-a-FEB-2027.pdf" TargetMode="External"/><Relationship Id="rId13" Type="http://schemas.openxmlformats.org/officeDocument/2006/relationships/hyperlink" Target="https://www.fadeeac.org.ar/wp-content/uploads/2026/10/3-Planillas-salariales-acuerdo-SEPT-2026-a-FEB-2027.pdf" TargetMode="External"/><Relationship Id="rId14" Type="http://schemas.openxmlformats.org/officeDocument/2006/relationships/hyperlink" Target="https://www.fadeeac.org.ar/wp-content/uploads/2026/03/Acuerdo-Paritario-13-3-26.pdf" TargetMode="External"/><Relationship Id="rId15" Type="http://schemas.openxmlformats.org/officeDocument/2006/relationships/hyperlink" Target="https://www.fadeeac.org.ar/wp-content/uploads/2026/03/Disp.-455-26-HOMOLOGACION-acuerdo-13-3-26.pdf" TargetMode="External"/><Relationship Id="rId16" Type="http://schemas.openxmlformats.org/officeDocument/2006/relationships/hyperlink" Target="https://www.fadeeac.org.ar/wp-content/uploads/2026/08/REVISION-Acuerdo-Julio-Agosto-2026.pdf" TargetMode="External"/><Relationship Id="rId17" Type="http://schemas.openxmlformats.org/officeDocument/2006/relationships/hyperlink" Target="https://www.fadeeac.org.ar/wp-content/uploads/2026/10/1-Acuerdo-paritario-Sep-2026-Feb2027.pdf" TargetMode="External"/><Relationship Id="rId18" Type="http://schemas.openxmlformats.org/officeDocument/2006/relationships/hyperlink" Target="https://www.fadeeac.org.ar/wp-content/uploads/2026/10/Disp.-1277-26-Homolog.-paritaria-sep26-Feb27.pdf" TargetMode="External"/><Relationship Id="rId19" Type="http://schemas.openxmlformats.org/officeDocument/2006/relationships/hyperlink" Target="https://www.fadeeac.org.ar/wp-content/uploads/2026/10/2-Acuerdo-Asignacion-Ext.No-Remunerativa.pdf" TargetMode="External"/><Relationship Id="rId20" Type="http://schemas.openxmlformats.org/officeDocument/2006/relationships/hyperlink" Target="https://www.argentina.gob.ar/normativa/nacional/ley-23041-1983-28165" TargetMode="External"/><Relationship Id="rId21" Type="http://schemas.openxmlformats.org/officeDocument/2006/relationships/hyperlink" Target="https://servicios.infoleg.gob.ar/infolegInternet/anexos/25000-29999/25552/texac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6C00"/>
  </sheetPr>
  <dimension ref="A1:B22"/>
  <sheetFormatPr defaultRowHeight="15" outlineLevelRow="0" outlineLevelCol="0" x14ac:dyDescent="55"/>
  <cols>
    <col min="1" max="1" width="4" customWidth="1"/>
    <col min="2" max="2" width="108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 t="s">
        <v>1</v>
      </c>
      <c r="B3" s="3" t="s">
        <v>2</v>
      </c>
    </row>
    <row r="4" ht="34" customHeight="1" spans="1:2" x14ac:dyDescent="0.25">
      <c r="A4" s="2" t="s">
        <v>3</v>
      </c>
      <c r="B4" s="3" t="s">
        <v>4</v>
      </c>
    </row>
    <row r="5" ht="34" customHeight="1" spans="1:2" x14ac:dyDescent="0.25">
      <c r="A5" s="2" t="s">
        <v>5</v>
      </c>
      <c r="B5" s="3" t="s">
        <v>6</v>
      </c>
    </row>
    <row r="6" ht="34" customHeight="1" spans="1:2" x14ac:dyDescent="0.25">
      <c r="A6" s="2" t="s">
        <v>7</v>
      </c>
      <c r="B6" s="3" t="s">
        <v>8</v>
      </c>
    </row>
    <row r="7" ht="34" customHeight="1" spans="1:2" x14ac:dyDescent="0.25">
      <c r="A7" s="2" t="s">
        <v>9</v>
      </c>
      <c r="B7" s="3" t="s">
        <v>10</v>
      </c>
    </row>
    <row r="8" ht="34" customHeight="1" spans="1:2" x14ac:dyDescent="0.25">
      <c r="A8" s="2" t="s">
        <v>11</v>
      </c>
      <c r="B8" s="3" t="s">
        <v>12</v>
      </c>
    </row>
    <row r="10" spans="1:2" x14ac:dyDescent="0.25">
      <c r="A10" s="4" t="s">
        <v>13</v>
      </c>
      <c r="B10" s="4"/>
    </row>
    <row r="11" ht="46" customHeight="1" spans="2:2" x14ac:dyDescent="0.25">
      <c r="B11" s="5" t="s">
        <v>14</v>
      </c>
    </row>
    <row r="12" ht="32" customHeight="1" spans="2:2" x14ac:dyDescent="0.25">
      <c r="B12" s="5" t="s">
        <v>15</v>
      </c>
    </row>
    <row r="13" ht="46" customHeight="1" spans="2:2" x14ac:dyDescent="0.25">
      <c r="B13" s="5" t="s">
        <v>16</v>
      </c>
    </row>
    <row r="14" ht="46" customHeight="1" spans="2:2" x14ac:dyDescent="0.25">
      <c r="B14" s="5" t="s">
        <v>17</v>
      </c>
    </row>
    <row r="15" ht="32" customHeight="1" spans="2:2" x14ac:dyDescent="0.25">
      <c r="B15" s="5" t="s">
        <v>18</v>
      </c>
    </row>
    <row r="16" ht="32" customHeight="1" spans="2:2" x14ac:dyDescent="0.25">
      <c r="B16" s="5" t="s">
        <v>19</v>
      </c>
    </row>
    <row r="17" ht="32" customHeight="1" spans="2:2" x14ac:dyDescent="0.25">
      <c r="B17" s="5" t="s">
        <v>20</v>
      </c>
    </row>
    <row r="18" ht="46" customHeight="1" spans="2:2" x14ac:dyDescent="0.25">
      <c r="B18" s="5" t="s">
        <v>21</v>
      </c>
    </row>
    <row r="20" ht="40" customHeight="1" spans="1:2" x14ac:dyDescent="0.25">
      <c r="A20" s="6" t="s">
        <v>22</v>
      </c>
      <c r="B20" s="6"/>
    </row>
    <row r="22" ht="30" customHeight="1" spans="1:2" x14ac:dyDescent="0.25">
      <c r="A22" s="6" t="s">
        <v>23</v>
      </c>
      <c r="B22" s="6"/>
    </row>
  </sheetData>
  <mergeCells count="4">
    <mergeCell ref="A1:B1"/>
    <mergeCell ref="A10:B10"/>
    <mergeCell ref="A20:B20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2" customWidth="1"/>
    <col min="3" max="3" width="46" customWidth="1"/>
    <col min="4" max="4" width="14" hidden="1" customWidth="1"/>
  </cols>
  <sheetData>
    <row r="1" ht="28" customHeight="1" spans="1:3" x14ac:dyDescent="0.25">
      <c r="A1" s="7" t="s">
        <v>24</v>
      </c>
      <c r="B1" s="7"/>
      <c r="C1" s="7"/>
    </row>
    <row r="2" spans="1:3" x14ac:dyDescent="0.25">
      <c r="A2" s="8" t="s">
        <v>25</v>
      </c>
      <c r="B2" s="8"/>
      <c r="C2" s="8"/>
    </row>
    <row r="4" spans="1:2" x14ac:dyDescent="0.25">
      <c r="A4" s="4" t="s">
        <v>26</v>
      </c>
      <c r="B4" s="4"/>
    </row>
    <row r="5" spans="1:4" x14ac:dyDescent="0.25">
      <c r="A5" s="9" t="s">
        <v>27</v>
      </c>
      <c r="B5" s="10" t="s">
        <v>28</v>
      </c>
      <c r="D5">
        <f>MATCH(B6,'Escala 2026'!$B$2:$M$2,0)</f>
      </c>
    </row>
    <row r="6" spans="1:4" x14ac:dyDescent="0.25">
      <c r="A6" s="9" t="s">
        <v>29</v>
      </c>
      <c r="B6" s="10" t="s">
        <v>30</v>
      </c>
      <c r="D6">
        <f>INDEX('Escala 2026'!$B$3:$M$11,MATCH(B5,'Escala 2026'!$A$3:$A$11,0),D5)</f>
      </c>
    </row>
    <row r="7" spans="1:4" x14ac:dyDescent="0.25">
      <c r="A7" s="9" t="s">
        <v>31</v>
      </c>
      <c r="B7" s="11">
        <v>0</v>
      </c>
      <c r="C7" s="12" t="s">
        <v>32</v>
      </c>
      <c r="D7">
        <f>IF(B8="Sur del Río Santa Cruz",1.4,IF(B8="Sur del Río Colorado",1.2,1))</f>
      </c>
    </row>
    <row r="8" spans="1:3" x14ac:dyDescent="0.25">
      <c r="A8" s="9" t="s">
        <v>33</v>
      </c>
      <c r="B8" s="10" t="s">
        <v>34</v>
      </c>
      <c r="C8" s="12" t="s">
        <v>35</v>
      </c>
    </row>
    <row r="9" ht="6" customHeight="1" x14ac:dyDescent="0.25"/>
    <row r="10" spans="1:2" x14ac:dyDescent="0.25">
      <c r="A10" s="4" t="s">
        <v>36</v>
      </c>
      <c r="B10" s="4"/>
    </row>
    <row r="11" spans="1:3" x14ac:dyDescent="0.25">
      <c r="A11" s="9" t="s">
        <v>37</v>
      </c>
      <c r="B11" s="13">
        <v>0</v>
      </c>
      <c r="C11" s="12" t="s">
        <v>38</v>
      </c>
    </row>
    <row r="12" spans="1:3" x14ac:dyDescent="0.25">
      <c r="A12" s="9" t="s">
        <v>39</v>
      </c>
      <c r="B12" s="13">
        <v>0</v>
      </c>
      <c r="C12" s="12" t="s">
        <v>40</v>
      </c>
    </row>
    <row r="13" spans="1:3" x14ac:dyDescent="0.25">
      <c r="A13" s="9" t="s">
        <v>41</v>
      </c>
      <c r="B13" s="11">
        <v>0</v>
      </c>
      <c r="C13" s="12" t="s">
        <v>42</v>
      </c>
    </row>
    <row r="14" spans="1:3" x14ac:dyDescent="0.25">
      <c r="A14" s="9" t="s">
        <v>43</v>
      </c>
      <c r="B14" s="11">
        <v>0</v>
      </c>
      <c r="C14" s="12" t="s">
        <v>44</v>
      </c>
    </row>
    <row r="15" spans="1:3" x14ac:dyDescent="0.25">
      <c r="A15" s="9" t="s">
        <v>45</v>
      </c>
      <c r="B15" s="11">
        <v>0</v>
      </c>
      <c r="C15" s="12" t="s">
        <v>46</v>
      </c>
    </row>
    <row r="16" spans="1:3" x14ac:dyDescent="0.25">
      <c r="A16" s="9" t="s">
        <v>47</v>
      </c>
      <c r="B16" s="14">
        <v>0</v>
      </c>
      <c r="C16" s="12" t="s">
        <v>48</v>
      </c>
    </row>
    <row r="17" spans="1:3" x14ac:dyDescent="0.25">
      <c r="A17" s="9" t="s">
        <v>49</v>
      </c>
      <c r="B17" s="14">
        <v>0</v>
      </c>
      <c r="C17" s="12" t="s">
        <v>50</v>
      </c>
    </row>
    <row r="18" spans="1:2" x14ac:dyDescent="0.25">
      <c r="A18" s="4" t="s">
        <v>51</v>
      </c>
      <c r="B18" s="4"/>
    </row>
    <row r="19" spans="1:2" x14ac:dyDescent="0.25">
      <c r="A19" s="15" t="s">
        <v>52</v>
      </c>
      <c r="B19" s="16">
        <f>D6</f>
      </c>
    </row>
    <row r="20" spans="1:2" x14ac:dyDescent="0.25">
      <c r="A20" s="15" t="s">
        <v>53</v>
      </c>
      <c r="B20" s="16">
        <f>B11*B32*D7</f>
      </c>
    </row>
    <row r="21" spans="1:2" x14ac:dyDescent="0.25">
      <c r="A21" s="15" t="s">
        <v>54</v>
      </c>
      <c r="B21" s="16">
        <f>B16</f>
      </c>
    </row>
    <row r="22" spans="1:2" x14ac:dyDescent="0.25">
      <c r="A22" s="15" t="s">
        <v>55</v>
      </c>
      <c r="B22" s="16">
        <f>(B19+B20+B21)*0.01*B7</f>
      </c>
    </row>
    <row r="23" spans="1:3" x14ac:dyDescent="0.25">
      <c r="A23" s="17" t="s">
        <v>56</v>
      </c>
      <c r="B23" s="18">
        <f>B19+B20+B21+B22</f>
      </c>
      <c r="C23" s="12" t="s">
        <v>57</v>
      </c>
    </row>
    <row r="24" spans="1:2" x14ac:dyDescent="0.25">
      <c r="A24" s="15" t="s">
        <v>58</v>
      </c>
      <c r="B24" s="16">
        <f>-B23*0.11</f>
      </c>
    </row>
    <row r="25" spans="1:2" x14ac:dyDescent="0.25">
      <c r="A25" s="15" t="s">
        <v>59</v>
      </c>
      <c r="B25" s="16">
        <f>-B23*0.03</f>
      </c>
    </row>
    <row r="26" spans="1:2" x14ac:dyDescent="0.25">
      <c r="A26" s="15" t="s">
        <v>60</v>
      </c>
      <c r="B26" s="16">
        <f>-B23*0.03</f>
      </c>
    </row>
    <row r="27" spans="1:2" x14ac:dyDescent="0.25">
      <c r="A27" s="17" t="s">
        <v>61</v>
      </c>
      <c r="B27" s="18">
        <f>B23+B24+B25+B26</f>
      </c>
    </row>
    <row r="28" spans="1:3" x14ac:dyDescent="0.25">
      <c r="A28" s="15" t="s">
        <v>62</v>
      </c>
      <c r="B28" s="16">
        <f>(B12*B32+B13*B33+B14*B34+B15*B35)*D7+B17</f>
      </c>
      <c r="C28" s="12" t="s">
        <v>63</v>
      </c>
    </row>
    <row r="29" spans="1:2" x14ac:dyDescent="0.25">
      <c r="A29" s="17" t="s">
        <v>64</v>
      </c>
      <c r="B29" s="18">
        <f>B27+B28</f>
      </c>
    </row>
    <row r="30" ht="6" customHeight="1" x14ac:dyDescent="0.25"/>
    <row r="31" spans="1:2" x14ac:dyDescent="0.25">
      <c r="A31" s="4" t="s">
        <v>65</v>
      </c>
      <c r="B31" s="4"/>
    </row>
    <row r="32" spans="1:3" x14ac:dyDescent="0.25">
      <c r="A32" s="9" t="s">
        <v>66</v>
      </c>
      <c r="B32" s="19">
        <v>90.09389</v>
      </c>
      <c r="C32" s="20">
        <f>IF(B6="Octubre 2026","Valores de la planilla firmada de octubre 2026","Ojo: son los valores de octubre 2026. Reemplazalos por los de la planilla de "&amp;B6)</f>
      </c>
    </row>
    <row r="33" spans="1:3" x14ac:dyDescent="0.25">
      <c r="A33" s="9" t="s">
        <v>67</v>
      </c>
      <c r="B33" s="14">
        <v>17231.89</v>
      </c>
      <c r="C33" s="20"/>
    </row>
    <row r="34" spans="1:3" x14ac:dyDescent="0.25">
      <c r="A34" s="9" t="s">
        <v>68</v>
      </c>
      <c r="B34" s="14">
        <v>8646.93</v>
      </c>
      <c r="C34" s="20"/>
    </row>
    <row r="35" spans="1:3" x14ac:dyDescent="0.25">
      <c r="A35" s="9" t="s">
        <v>69</v>
      </c>
      <c r="B35" s="14">
        <v>20070.36</v>
      </c>
      <c r="C35" s="20"/>
    </row>
    <row r="37" spans="1:3" x14ac:dyDescent="0.25">
      <c r="A37" s="6" t="s">
        <v>70</v>
      </c>
      <c r="B37" s="6"/>
      <c r="C37" s="6"/>
    </row>
    <row r="38" spans="1:3" x14ac:dyDescent="0.25">
      <c r="A38" s="6" t="s">
        <v>71</v>
      </c>
      <c r="B38" s="6"/>
      <c r="C38" s="6"/>
    </row>
    <row r="39" spans="1:3" x14ac:dyDescent="0.25">
      <c r="A39" s="6" t="s">
        <v>72</v>
      </c>
      <c r="B39" s="6"/>
      <c r="C39" s="6"/>
    </row>
  </sheetData>
  <mergeCells count="10">
    <mergeCell ref="A1:C1"/>
    <mergeCell ref="A2:C2"/>
    <mergeCell ref="A4:B4"/>
    <mergeCell ref="A10:B10"/>
    <mergeCell ref="A18:B18"/>
    <mergeCell ref="A31:B31"/>
    <mergeCell ref="C32:C35"/>
    <mergeCell ref="A37:C37"/>
    <mergeCell ref="A38:C38"/>
    <mergeCell ref="A39:C39"/>
  </mergeCells>
  <dataValidations count="10">
    <dataValidation type="decimal" allowBlank="1" showErrorMessage="1" error="Kilómetros del mes, de 0 a 100.000." sqref="B11:B12">
      <formula1>0</formula1>
      <formula2>100000</formula2>
    </dataValidation>
    <dataValidation type="whole" allowBlank="1" showErrorMessage="1" error="Cantidad de comidas del mes, de 0 a 100." sqref="B13">
      <formula1>0</formula1>
      <formula2>100</formula2>
    </dataValidation>
    <dataValidation type="whole" allowBlank="1" showErrorMessage="1" error="Cantidad del mes, de 0 a 100." sqref="B14">
      <formula1>0</formula1>
      <formula2>100</formula2>
    </dataValidation>
    <dataValidation type="whole" allowBlank="1" showErrorMessage="1" error="Noches del mes, de 0 a 31." sqref="B15">
      <formula1>0</formula1>
      <formula2>31</formula2>
    </dataValidation>
    <dataValidation type="decimal" allowBlank="1" showErrorMessage="1" error="Importe en pesos, 0 o más." sqref="B16:B17">
      <formula1>0</formula1>
      <formula2>1000000000</formula2>
    </dataValidation>
    <dataValidation type="decimal" allowBlank="1" showErrorMessage="1" error="Importe en pesos, 0 o más." sqref="B32:B35">
      <formula1>0</formula1>
      <formula2>10000000</formula2>
    </dataValidation>
    <dataValidation type="list" showErrorMessage="1" error="Elegí una categoría de la lista." sqref="B5">
      <formula1>"Chofer de Primera,Chofer de Segunda,Chofer de Tercera,Encargado,Peón,Ayudante mayor de 18 años,Oficial de Primera (taller),Oficial (taller),Medio Oficial (taller)"</formula1>
    </dataValidation>
    <dataValidation type="list" showErrorMessage="1" error="Elegí un mes de la lista." sqref="B6">
      <formula1>"Marzo 2026,Abril 2026,Mayo 2026,Junio 2026,Julio 2026,Agosto 2026,Septiembre 2026,Octubre 2026,Noviembre 2026,Diciembre 2026,Enero 2027,Febrero 2027"</formula1>
    </dataValidation>
    <dataValidation type="whole" allowBlank="1" showErrorMessage="1" error="Años enteros, de 0 a 60." sqref="B7">
      <formula1>0</formula1>
      <formula2>60</formula2>
    </dataValidation>
    <dataValidation type="list" showErrorMessage="1" error="Elegí una zona de la lista." sqref="B8">
      <formula1>"General,Sur del Río Colorado,Sur del Río Santa Cruz"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  <pageSetUpPr fitToPage="1"/>
  </sheetPr>
  <dimension ref="A1:T36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7" customWidth="1"/>
    <col min="4" max="4" width="20" customWidth="1"/>
    <col min="5" max="6" width="10" customWidth="1"/>
    <col min="10" max="11" width="13" customWidth="1"/>
    <col min="12" max="13" width="14" customWidth="1"/>
    <col min="14" max="14" width="13" customWidth="1"/>
    <col min="15" max="15" width="16" customWidth="1"/>
    <col min="16" max="16" width="14" customWidth="1"/>
    <col min="17" max="19" width="15" customWidth="1"/>
    <col min="20" max="20" width="6" hidden="1" customWidth="1"/>
  </cols>
  <sheetData>
    <row r="1" ht="28" customHeight="1" spans="1:19" x14ac:dyDescent="0.25">
      <c r="A1" s="21" t="s">
        <v>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x14ac:dyDescent="0.25">
      <c r="A2" s="9" t="s">
        <v>74</v>
      </c>
      <c r="B2" s="22">
        <f>'Liquidador'!B6</f>
      </c>
      <c r="C2" s="6" t="s">
        <v>75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5" ht="30" customHeight="1" spans="1:20" x14ac:dyDescent="0.25">
      <c r="A5" s="23" t="s">
        <v>77</v>
      </c>
      <c r="B5" s="23" t="s">
        <v>27</v>
      </c>
      <c r="C5" s="23" t="s">
        <v>78</v>
      </c>
      <c r="D5" s="23" t="s">
        <v>79</v>
      </c>
      <c r="E5" s="23" t="s">
        <v>80</v>
      </c>
      <c r="F5" s="23" t="s">
        <v>81</v>
      </c>
      <c r="G5" s="23" t="s">
        <v>41</v>
      </c>
      <c r="H5" s="23" t="s">
        <v>82</v>
      </c>
      <c r="I5" s="23" t="s">
        <v>83</v>
      </c>
      <c r="J5" s="23" t="s">
        <v>84</v>
      </c>
      <c r="K5" s="23" t="s">
        <v>85</v>
      </c>
      <c r="L5" s="24" t="s">
        <v>86</v>
      </c>
      <c r="M5" s="24" t="s">
        <v>87</v>
      </c>
      <c r="N5" s="24" t="s">
        <v>55</v>
      </c>
      <c r="O5" s="24" t="s">
        <v>88</v>
      </c>
      <c r="P5" s="24" t="s">
        <v>89</v>
      </c>
      <c r="Q5" s="24" t="s">
        <v>90</v>
      </c>
      <c r="R5" s="24" t="s">
        <v>91</v>
      </c>
      <c r="S5" s="24" t="s">
        <v>92</v>
      </c>
      <c r="T5" s="24" t="s">
        <v>93</v>
      </c>
    </row>
    <row r="6" spans="1:20" x14ac:dyDescent="0.25">
      <c r="A6" s="25" t="s">
        <v>94</v>
      </c>
      <c r="B6" s="25" t="s">
        <v>28</v>
      </c>
      <c r="C6" s="26">
        <v>0</v>
      </c>
      <c r="D6" s="25" t="s">
        <v>34</v>
      </c>
      <c r="E6" s="27"/>
      <c r="F6" s="27"/>
      <c r="G6" s="26"/>
      <c r="H6" s="26"/>
      <c r="I6" s="26"/>
      <c r="J6" s="28"/>
      <c r="K6" s="28"/>
      <c r="L6" s="29">
        <f>IF(B6="","",INDEX('Escala 2026'!$B$3:$M$11,MATCH(B6,'Escala 2026'!$A$3:$A$11,0),'Liquidador'!$D$5))</f>
      </c>
      <c r="M6" s="29">
        <f>IF(B6="","",E6*'Liquidador'!$B$32*T6)</f>
      </c>
      <c r="N6" s="29">
        <f>IF(B6="","",(L6+M6+J6)*0.01*C6)</f>
      </c>
      <c r="O6" s="29">
        <f>IF(B6="","",L6+M6+J6+N6)</f>
      </c>
      <c r="P6" s="29">
        <f>IF(B6="","",O6*(0.11+0.03+0.03))</f>
      </c>
      <c r="Q6" s="29">
        <f>IF(B6="","",O6-P6)</f>
      </c>
      <c r="R6" s="29">
        <f>IF(B6="","",(F6*'Liquidador'!$B$32+G6*'Liquidador'!$B$33+H6*'Liquidador'!$B$34+I6*'Liquidador'!$B$35)*T6+K6)</f>
      </c>
      <c r="S6" s="30">
        <f>IF(B6="","",Q6+R6)</f>
      </c>
      <c r="T6" s="31">
        <f>IF(D6="Sur del Río Santa Cruz",1.4,IF(D6="Sur del Río Colorado",1.2,1))</f>
      </c>
    </row>
    <row r="7" spans="1:20" x14ac:dyDescent="0.25">
      <c r="A7" s="25"/>
      <c r="B7" s="25"/>
      <c r="C7" s="26"/>
      <c r="D7" s="25"/>
      <c r="E7" s="27"/>
      <c r="F7" s="27"/>
      <c r="G7" s="26"/>
      <c r="H7" s="26"/>
      <c r="I7" s="26"/>
      <c r="J7" s="28"/>
      <c r="K7" s="28"/>
      <c r="L7" s="29">
        <f>IF(B7="","",INDEX('Escala 2026'!$B$3:$M$11,MATCH(B7,'Escala 2026'!$A$3:$A$11,0),'Liquidador'!$D$5))</f>
      </c>
      <c r="M7" s="29">
        <f>IF(B7="","",E7*'Liquidador'!$B$32*T7)</f>
      </c>
      <c r="N7" s="29">
        <f>IF(B7="","",(L7+M7+J7)*0.01*C7)</f>
      </c>
      <c r="O7" s="29">
        <f>IF(B7="","",L7+M7+J7+N7)</f>
      </c>
      <c r="P7" s="29">
        <f>IF(B7="","",O7*(0.11+0.03+0.03))</f>
      </c>
      <c r="Q7" s="29">
        <f>IF(B7="","",O7-P7)</f>
      </c>
      <c r="R7" s="29">
        <f>IF(B7="","",(F7*'Liquidador'!$B$32+G7*'Liquidador'!$B$33+H7*'Liquidador'!$B$34+I7*'Liquidador'!$B$35)*T7+K7)</f>
      </c>
      <c r="S7" s="30">
        <f>IF(B7="","",Q7+R7)</f>
      </c>
      <c r="T7" s="31">
        <f>IF(D7="Sur del Río Santa Cruz",1.4,IF(D7="Sur del Río Colorado",1.2,1))</f>
      </c>
    </row>
    <row r="8" spans="1:20" x14ac:dyDescent="0.25">
      <c r="A8" s="25"/>
      <c r="B8" s="25"/>
      <c r="C8" s="26"/>
      <c r="D8" s="25"/>
      <c r="E8" s="27"/>
      <c r="F8" s="27"/>
      <c r="G8" s="26"/>
      <c r="H8" s="26"/>
      <c r="I8" s="26"/>
      <c r="J8" s="28"/>
      <c r="K8" s="28"/>
      <c r="L8" s="29">
        <f>IF(B8="","",INDEX('Escala 2026'!$B$3:$M$11,MATCH(B8,'Escala 2026'!$A$3:$A$11,0),'Liquidador'!$D$5))</f>
      </c>
      <c r="M8" s="29">
        <f>IF(B8="","",E8*'Liquidador'!$B$32*T8)</f>
      </c>
      <c r="N8" s="29">
        <f>IF(B8="","",(L8+M8+J8)*0.01*C8)</f>
      </c>
      <c r="O8" s="29">
        <f>IF(B8="","",L8+M8+J8+N8)</f>
      </c>
      <c r="P8" s="29">
        <f>IF(B8="","",O8*(0.11+0.03+0.03))</f>
      </c>
      <c r="Q8" s="29">
        <f>IF(B8="","",O8-P8)</f>
      </c>
      <c r="R8" s="29">
        <f>IF(B8="","",(F8*'Liquidador'!$B$32+G8*'Liquidador'!$B$33+H8*'Liquidador'!$B$34+I8*'Liquidador'!$B$35)*T8+K8)</f>
      </c>
      <c r="S8" s="30">
        <f>IF(B8="","",Q8+R8)</f>
      </c>
      <c r="T8" s="31">
        <f>IF(D8="Sur del Río Santa Cruz",1.4,IF(D8="Sur del Río Colorado",1.2,1))</f>
      </c>
    </row>
    <row r="9" spans="1:20" x14ac:dyDescent="0.25">
      <c r="A9" s="25"/>
      <c r="B9" s="25"/>
      <c r="C9" s="26"/>
      <c r="D9" s="25"/>
      <c r="E9" s="27"/>
      <c r="F9" s="27"/>
      <c r="G9" s="26"/>
      <c r="H9" s="26"/>
      <c r="I9" s="26"/>
      <c r="J9" s="28"/>
      <c r="K9" s="28"/>
      <c r="L9" s="29">
        <f>IF(B9="","",INDEX('Escala 2026'!$B$3:$M$11,MATCH(B9,'Escala 2026'!$A$3:$A$11,0),'Liquidador'!$D$5))</f>
      </c>
      <c r="M9" s="29">
        <f>IF(B9="","",E9*'Liquidador'!$B$32*T9)</f>
      </c>
      <c r="N9" s="29">
        <f>IF(B9="","",(L9+M9+J9)*0.01*C9)</f>
      </c>
      <c r="O9" s="29">
        <f>IF(B9="","",L9+M9+J9+N9)</f>
      </c>
      <c r="P9" s="29">
        <f>IF(B9="","",O9*(0.11+0.03+0.03))</f>
      </c>
      <c r="Q9" s="29">
        <f>IF(B9="","",O9-P9)</f>
      </c>
      <c r="R9" s="29">
        <f>IF(B9="","",(F9*'Liquidador'!$B$32+G9*'Liquidador'!$B$33+H9*'Liquidador'!$B$34+I9*'Liquidador'!$B$35)*T9+K9)</f>
      </c>
      <c r="S9" s="30">
        <f>IF(B9="","",Q9+R9)</f>
      </c>
      <c r="T9" s="31">
        <f>IF(D9="Sur del Río Santa Cruz",1.4,IF(D9="Sur del Río Colorado",1.2,1))</f>
      </c>
    </row>
    <row r="10" spans="1:20" x14ac:dyDescent="0.25">
      <c r="A10" s="25"/>
      <c r="B10" s="25"/>
      <c r="C10" s="26"/>
      <c r="D10" s="25"/>
      <c r="E10" s="27"/>
      <c r="F10" s="27"/>
      <c r="G10" s="26"/>
      <c r="H10" s="26"/>
      <c r="I10" s="26"/>
      <c r="J10" s="28"/>
      <c r="K10" s="28"/>
      <c r="L10" s="29">
        <f>IF(B10="","",INDEX('Escala 2026'!$B$3:$M$11,MATCH(B10,'Escala 2026'!$A$3:$A$11,0),'Liquidador'!$D$5))</f>
      </c>
      <c r="M10" s="29">
        <f>IF(B10="","",E10*'Liquidador'!$B$32*T10)</f>
      </c>
      <c r="N10" s="29">
        <f>IF(B10="","",(L10+M10+J10)*0.01*C10)</f>
      </c>
      <c r="O10" s="29">
        <f>IF(B10="","",L10+M10+J10+N10)</f>
      </c>
      <c r="P10" s="29">
        <f>IF(B10="","",O10*(0.11+0.03+0.03))</f>
      </c>
      <c r="Q10" s="29">
        <f>IF(B10="","",O10-P10)</f>
      </c>
      <c r="R10" s="29">
        <f>IF(B10="","",(F10*'Liquidador'!$B$32+G10*'Liquidador'!$B$33+H10*'Liquidador'!$B$34+I10*'Liquidador'!$B$35)*T10+K10)</f>
      </c>
      <c r="S10" s="30">
        <f>IF(B10="","",Q10+R10)</f>
      </c>
      <c r="T10" s="31">
        <f>IF(D10="Sur del Río Santa Cruz",1.4,IF(D10="Sur del Río Colorado",1.2,1))</f>
      </c>
    </row>
    <row r="11" spans="1:20" x14ac:dyDescent="0.25">
      <c r="A11" s="25"/>
      <c r="B11" s="25"/>
      <c r="C11" s="26"/>
      <c r="D11" s="25"/>
      <c r="E11" s="27"/>
      <c r="F11" s="27"/>
      <c r="G11" s="26"/>
      <c r="H11" s="26"/>
      <c r="I11" s="26"/>
      <c r="J11" s="28"/>
      <c r="K11" s="28"/>
      <c r="L11" s="29">
        <f>IF(B11="","",INDEX('Escala 2026'!$B$3:$M$11,MATCH(B11,'Escala 2026'!$A$3:$A$11,0),'Liquidador'!$D$5))</f>
      </c>
      <c r="M11" s="29">
        <f>IF(B11="","",E11*'Liquidador'!$B$32*T11)</f>
      </c>
      <c r="N11" s="29">
        <f>IF(B11="","",(L11+M11+J11)*0.01*C11)</f>
      </c>
      <c r="O11" s="29">
        <f>IF(B11="","",L11+M11+J11+N11)</f>
      </c>
      <c r="P11" s="29">
        <f>IF(B11="","",O11*(0.11+0.03+0.03))</f>
      </c>
      <c r="Q11" s="29">
        <f>IF(B11="","",O11-P11)</f>
      </c>
      <c r="R11" s="29">
        <f>IF(B11="","",(F11*'Liquidador'!$B$32+G11*'Liquidador'!$B$33+H11*'Liquidador'!$B$34+I11*'Liquidador'!$B$35)*T11+K11)</f>
      </c>
      <c r="S11" s="30">
        <f>IF(B11="","",Q11+R11)</f>
      </c>
      <c r="T11" s="31">
        <f>IF(D11="Sur del Río Santa Cruz",1.4,IF(D11="Sur del Río Colorado",1.2,1))</f>
      </c>
    </row>
    <row r="12" spans="1:20" x14ac:dyDescent="0.25">
      <c r="A12" s="25"/>
      <c r="B12" s="25"/>
      <c r="C12" s="26"/>
      <c r="D12" s="25"/>
      <c r="E12" s="27"/>
      <c r="F12" s="27"/>
      <c r="G12" s="26"/>
      <c r="H12" s="26"/>
      <c r="I12" s="26"/>
      <c r="J12" s="28"/>
      <c r="K12" s="28"/>
      <c r="L12" s="29">
        <f>IF(B12="","",INDEX('Escala 2026'!$B$3:$M$11,MATCH(B12,'Escala 2026'!$A$3:$A$11,0),'Liquidador'!$D$5))</f>
      </c>
      <c r="M12" s="29">
        <f>IF(B12="","",E12*'Liquidador'!$B$32*T12)</f>
      </c>
      <c r="N12" s="29">
        <f>IF(B12="","",(L12+M12+J12)*0.01*C12)</f>
      </c>
      <c r="O12" s="29">
        <f>IF(B12="","",L12+M12+J12+N12)</f>
      </c>
      <c r="P12" s="29">
        <f>IF(B12="","",O12*(0.11+0.03+0.03))</f>
      </c>
      <c r="Q12" s="29">
        <f>IF(B12="","",O12-P12)</f>
      </c>
      <c r="R12" s="29">
        <f>IF(B12="","",(F12*'Liquidador'!$B$32+G12*'Liquidador'!$B$33+H12*'Liquidador'!$B$34+I12*'Liquidador'!$B$35)*T12+K12)</f>
      </c>
      <c r="S12" s="30">
        <f>IF(B12="","",Q12+R12)</f>
      </c>
      <c r="T12" s="31">
        <f>IF(D12="Sur del Río Santa Cruz",1.4,IF(D12="Sur del Río Colorado",1.2,1))</f>
      </c>
    </row>
    <row r="13" spans="1:20" x14ac:dyDescent="0.25">
      <c r="A13" s="25"/>
      <c r="B13" s="25"/>
      <c r="C13" s="26"/>
      <c r="D13" s="25"/>
      <c r="E13" s="27"/>
      <c r="F13" s="27"/>
      <c r="G13" s="26"/>
      <c r="H13" s="26"/>
      <c r="I13" s="26"/>
      <c r="J13" s="28"/>
      <c r="K13" s="28"/>
      <c r="L13" s="29">
        <f>IF(B13="","",INDEX('Escala 2026'!$B$3:$M$11,MATCH(B13,'Escala 2026'!$A$3:$A$11,0),'Liquidador'!$D$5))</f>
      </c>
      <c r="M13" s="29">
        <f>IF(B13="","",E13*'Liquidador'!$B$32*T13)</f>
      </c>
      <c r="N13" s="29">
        <f>IF(B13="","",(L13+M13+J13)*0.01*C13)</f>
      </c>
      <c r="O13" s="29">
        <f>IF(B13="","",L13+M13+J13+N13)</f>
      </c>
      <c r="P13" s="29">
        <f>IF(B13="","",O13*(0.11+0.03+0.03))</f>
      </c>
      <c r="Q13" s="29">
        <f>IF(B13="","",O13-P13)</f>
      </c>
      <c r="R13" s="29">
        <f>IF(B13="","",(F13*'Liquidador'!$B$32+G13*'Liquidador'!$B$33+H13*'Liquidador'!$B$34+I13*'Liquidador'!$B$35)*T13+K13)</f>
      </c>
      <c r="S13" s="30">
        <f>IF(B13="","",Q13+R13)</f>
      </c>
      <c r="T13" s="31">
        <f>IF(D13="Sur del Río Santa Cruz",1.4,IF(D13="Sur del Río Colorado",1.2,1))</f>
      </c>
    </row>
    <row r="14" spans="1:20" x14ac:dyDescent="0.25">
      <c r="A14" s="25"/>
      <c r="B14" s="25"/>
      <c r="C14" s="26"/>
      <c r="D14" s="25"/>
      <c r="E14" s="27"/>
      <c r="F14" s="27"/>
      <c r="G14" s="26"/>
      <c r="H14" s="26"/>
      <c r="I14" s="26"/>
      <c r="J14" s="28"/>
      <c r="K14" s="28"/>
      <c r="L14" s="29">
        <f>IF(B14="","",INDEX('Escala 2026'!$B$3:$M$11,MATCH(B14,'Escala 2026'!$A$3:$A$11,0),'Liquidador'!$D$5))</f>
      </c>
      <c r="M14" s="29">
        <f>IF(B14="","",E14*'Liquidador'!$B$32*T14)</f>
      </c>
      <c r="N14" s="29">
        <f>IF(B14="","",(L14+M14+J14)*0.01*C14)</f>
      </c>
      <c r="O14" s="29">
        <f>IF(B14="","",L14+M14+J14+N14)</f>
      </c>
      <c r="P14" s="29">
        <f>IF(B14="","",O14*(0.11+0.03+0.03))</f>
      </c>
      <c r="Q14" s="29">
        <f>IF(B14="","",O14-P14)</f>
      </c>
      <c r="R14" s="29">
        <f>IF(B14="","",(F14*'Liquidador'!$B$32+G14*'Liquidador'!$B$33+H14*'Liquidador'!$B$34+I14*'Liquidador'!$B$35)*T14+K14)</f>
      </c>
      <c r="S14" s="30">
        <f>IF(B14="","",Q14+R14)</f>
      </c>
      <c r="T14" s="31">
        <f>IF(D14="Sur del Río Santa Cruz",1.4,IF(D14="Sur del Río Colorado",1.2,1))</f>
      </c>
    </row>
    <row r="15" spans="1:20" x14ac:dyDescent="0.25">
      <c r="A15" s="25"/>
      <c r="B15" s="25"/>
      <c r="C15" s="26"/>
      <c r="D15" s="25"/>
      <c r="E15" s="27"/>
      <c r="F15" s="27"/>
      <c r="G15" s="26"/>
      <c r="H15" s="26"/>
      <c r="I15" s="26"/>
      <c r="J15" s="28"/>
      <c r="K15" s="28"/>
      <c r="L15" s="29">
        <f>IF(B15="","",INDEX('Escala 2026'!$B$3:$M$11,MATCH(B15,'Escala 2026'!$A$3:$A$11,0),'Liquidador'!$D$5))</f>
      </c>
      <c r="M15" s="29">
        <f>IF(B15="","",E15*'Liquidador'!$B$32*T15)</f>
      </c>
      <c r="N15" s="29">
        <f>IF(B15="","",(L15+M15+J15)*0.01*C15)</f>
      </c>
      <c r="O15" s="29">
        <f>IF(B15="","",L15+M15+J15+N15)</f>
      </c>
      <c r="P15" s="29">
        <f>IF(B15="","",O15*(0.11+0.03+0.03))</f>
      </c>
      <c r="Q15" s="29">
        <f>IF(B15="","",O15-P15)</f>
      </c>
      <c r="R15" s="29">
        <f>IF(B15="","",(F15*'Liquidador'!$B$32+G15*'Liquidador'!$B$33+H15*'Liquidador'!$B$34+I15*'Liquidador'!$B$35)*T15+K15)</f>
      </c>
      <c r="S15" s="30">
        <f>IF(B15="","",Q15+R15)</f>
      </c>
      <c r="T15" s="31">
        <f>IF(D15="Sur del Río Santa Cruz",1.4,IF(D15="Sur del Río Colorado",1.2,1))</f>
      </c>
    </row>
    <row r="16" spans="1:20" x14ac:dyDescent="0.25">
      <c r="A16" s="25"/>
      <c r="B16" s="25"/>
      <c r="C16" s="26"/>
      <c r="D16" s="25"/>
      <c r="E16" s="27"/>
      <c r="F16" s="27"/>
      <c r="G16" s="26"/>
      <c r="H16" s="26"/>
      <c r="I16" s="26"/>
      <c r="J16" s="28"/>
      <c r="K16" s="28"/>
      <c r="L16" s="29">
        <f>IF(B16="","",INDEX('Escala 2026'!$B$3:$M$11,MATCH(B16,'Escala 2026'!$A$3:$A$11,0),'Liquidador'!$D$5))</f>
      </c>
      <c r="M16" s="29">
        <f>IF(B16="","",E16*'Liquidador'!$B$32*T16)</f>
      </c>
      <c r="N16" s="29">
        <f>IF(B16="","",(L16+M16+J16)*0.01*C16)</f>
      </c>
      <c r="O16" s="29">
        <f>IF(B16="","",L16+M16+J16+N16)</f>
      </c>
      <c r="P16" s="29">
        <f>IF(B16="","",O16*(0.11+0.03+0.03))</f>
      </c>
      <c r="Q16" s="29">
        <f>IF(B16="","",O16-P16)</f>
      </c>
      <c r="R16" s="29">
        <f>IF(B16="","",(F16*'Liquidador'!$B$32+G16*'Liquidador'!$B$33+H16*'Liquidador'!$B$34+I16*'Liquidador'!$B$35)*T16+K16)</f>
      </c>
      <c r="S16" s="30">
        <f>IF(B16="","",Q16+R16)</f>
      </c>
      <c r="T16" s="31">
        <f>IF(D16="Sur del Río Santa Cruz",1.4,IF(D16="Sur del Río Colorado",1.2,1))</f>
      </c>
    </row>
    <row r="17" spans="1:20" x14ac:dyDescent="0.25">
      <c r="A17" s="25"/>
      <c r="B17" s="25"/>
      <c r="C17" s="26"/>
      <c r="D17" s="25"/>
      <c r="E17" s="27"/>
      <c r="F17" s="27"/>
      <c r="G17" s="26"/>
      <c r="H17" s="26"/>
      <c r="I17" s="26"/>
      <c r="J17" s="28"/>
      <c r="K17" s="28"/>
      <c r="L17" s="29">
        <f>IF(B17="","",INDEX('Escala 2026'!$B$3:$M$11,MATCH(B17,'Escala 2026'!$A$3:$A$11,0),'Liquidador'!$D$5))</f>
      </c>
      <c r="M17" s="29">
        <f>IF(B17="","",E17*'Liquidador'!$B$32*T17)</f>
      </c>
      <c r="N17" s="29">
        <f>IF(B17="","",(L17+M17+J17)*0.01*C17)</f>
      </c>
      <c r="O17" s="29">
        <f>IF(B17="","",L17+M17+J17+N17)</f>
      </c>
      <c r="P17" s="29">
        <f>IF(B17="","",O17*(0.11+0.03+0.03))</f>
      </c>
      <c r="Q17" s="29">
        <f>IF(B17="","",O17-P17)</f>
      </c>
      <c r="R17" s="29">
        <f>IF(B17="","",(F17*'Liquidador'!$B$32+G17*'Liquidador'!$B$33+H17*'Liquidador'!$B$34+I17*'Liquidador'!$B$35)*T17+K17)</f>
      </c>
      <c r="S17" s="30">
        <f>IF(B17="","",Q17+R17)</f>
      </c>
      <c r="T17" s="31">
        <f>IF(D17="Sur del Río Santa Cruz",1.4,IF(D17="Sur del Río Colorado",1.2,1))</f>
      </c>
    </row>
    <row r="18" spans="1:20" x14ac:dyDescent="0.25">
      <c r="A18" s="25"/>
      <c r="B18" s="25"/>
      <c r="C18" s="26"/>
      <c r="D18" s="25"/>
      <c r="E18" s="27"/>
      <c r="F18" s="27"/>
      <c r="G18" s="26"/>
      <c r="H18" s="26"/>
      <c r="I18" s="26"/>
      <c r="J18" s="28"/>
      <c r="K18" s="28"/>
      <c r="L18" s="29">
        <f>IF(B18="","",INDEX('Escala 2026'!$B$3:$M$11,MATCH(B18,'Escala 2026'!$A$3:$A$11,0),'Liquidador'!$D$5))</f>
      </c>
      <c r="M18" s="29">
        <f>IF(B18="","",E18*'Liquidador'!$B$32*T18)</f>
      </c>
      <c r="N18" s="29">
        <f>IF(B18="","",(L18+M18+J18)*0.01*C18)</f>
      </c>
      <c r="O18" s="29">
        <f>IF(B18="","",L18+M18+J18+N18)</f>
      </c>
      <c r="P18" s="29">
        <f>IF(B18="","",O18*(0.11+0.03+0.03))</f>
      </c>
      <c r="Q18" s="29">
        <f>IF(B18="","",O18-P18)</f>
      </c>
      <c r="R18" s="29">
        <f>IF(B18="","",(F18*'Liquidador'!$B$32+G18*'Liquidador'!$B$33+H18*'Liquidador'!$B$34+I18*'Liquidador'!$B$35)*T18+K18)</f>
      </c>
      <c r="S18" s="30">
        <f>IF(B18="","",Q18+R18)</f>
      </c>
      <c r="T18" s="31">
        <f>IF(D18="Sur del Río Santa Cruz",1.4,IF(D18="Sur del Río Colorado",1.2,1))</f>
      </c>
    </row>
    <row r="19" spans="1:20" x14ac:dyDescent="0.25">
      <c r="A19" s="25"/>
      <c r="B19" s="25"/>
      <c r="C19" s="26"/>
      <c r="D19" s="25"/>
      <c r="E19" s="27"/>
      <c r="F19" s="27"/>
      <c r="G19" s="26"/>
      <c r="H19" s="26"/>
      <c r="I19" s="26"/>
      <c r="J19" s="28"/>
      <c r="K19" s="28"/>
      <c r="L19" s="29">
        <f>IF(B19="","",INDEX('Escala 2026'!$B$3:$M$11,MATCH(B19,'Escala 2026'!$A$3:$A$11,0),'Liquidador'!$D$5))</f>
      </c>
      <c r="M19" s="29">
        <f>IF(B19="","",E19*'Liquidador'!$B$32*T19)</f>
      </c>
      <c r="N19" s="29">
        <f>IF(B19="","",(L19+M19+J19)*0.01*C19)</f>
      </c>
      <c r="O19" s="29">
        <f>IF(B19="","",L19+M19+J19+N19)</f>
      </c>
      <c r="P19" s="29">
        <f>IF(B19="","",O19*(0.11+0.03+0.03))</f>
      </c>
      <c r="Q19" s="29">
        <f>IF(B19="","",O19-P19)</f>
      </c>
      <c r="R19" s="29">
        <f>IF(B19="","",(F19*'Liquidador'!$B$32+G19*'Liquidador'!$B$33+H19*'Liquidador'!$B$34+I19*'Liquidador'!$B$35)*T19+K19)</f>
      </c>
      <c r="S19" s="30">
        <f>IF(B19="","",Q19+R19)</f>
      </c>
      <c r="T19" s="31">
        <f>IF(D19="Sur del Río Santa Cruz",1.4,IF(D19="Sur del Río Colorado",1.2,1))</f>
      </c>
    </row>
    <row r="20" spans="1:20" x14ac:dyDescent="0.25">
      <c r="A20" s="25"/>
      <c r="B20" s="25"/>
      <c r="C20" s="26"/>
      <c r="D20" s="25"/>
      <c r="E20" s="27"/>
      <c r="F20" s="27"/>
      <c r="G20" s="26"/>
      <c r="H20" s="26"/>
      <c r="I20" s="26"/>
      <c r="J20" s="28"/>
      <c r="K20" s="28"/>
      <c r="L20" s="29">
        <f>IF(B20="","",INDEX('Escala 2026'!$B$3:$M$11,MATCH(B20,'Escala 2026'!$A$3:$A$11,0),'Liquidador'!$D$5))</f>
      </c>
      <c r="M20" s="29">
        <f>IF(B20="","",E20*'Liquidador'!$B$32*T20)</f>
      </c>
      <c r="N20" s="29">
        <f>IF(B20="","",(L20+M20+J20)*0.01*C20)</f>
      </c>
      <c r="O20" s="29">
        <f>IF(B20="","",L20+M20+J20+N20)</f>
      </c>
      <c r="P20" s="29">
        <f>IF(B20="","",O20*(0.11+0.03+0.03))</f>
      </c>
      <c r="Q20" s="29">
        <f>IF(B20="","",O20-P20)</f>
      </c>
      <c r="R20" s="29">
        <f>IF(B20="","",(F20*'Liquidador'!$B$32+G20*'Liquidador'!$B$33+H20*'Liquidador'!$B$34+I20*'Liquidador'!$B$35)*T20+K20)</f>
      </c>
      <c r="S20" s="30">
        <f>IF(B20="","",Q20+R20)</f>
      </c>
      <c r="T20" s="31">
        <f>IF(D20="Sur del Río Santa Cruz",1.4,IF(D20="Sur del Río Colorado",1.2,1))</f>
      </c>
    </row>
    <row r="21" spans="1:20" x14ac:dyDescent="0.25">
      <c r="A21" s="25"/>
      <c r="B21" s="25"/>
      <c r="C21" s="26"/>
      <c r="D21" s="25"/>
      <c r="E21" s="27"/>
      <c r="F21" s="27"/>
      <c r="G21" s="26"/>
      <c r="H21" s="26"/>
      <c r="I21" s="26"/>
      <c r="J21" s="28"/>
      <c r="K21" s="28"/>
      <c r="L21" s="29">
        <f>IF(B21="","",INDEX('Escala 2026'!$B$3:$M$11,MATCH(B21,'Escala 2026'!$A$3:$A$11,0),'Liquidador'!$D$5))</f>
      </c>
      <c r="M21" s="29">
        <f>IF(B21="","",E21*'Liquidador'!$B$32*T21)</f>
      </c>
      <c r="N21" s="29">
        <f>IF(B21="","",(L21+M21+J21)*0.01*C21)</f>
      </c>
      <c r="O21" s="29">
        <f>IF(B21="","",L21+M21+J21+N21)</f>
      </c>
      <c r="P21" s="29">
        <f>IF(B21="","",O21*(0.11+0.03+0.03))</f>
      </c>
      <c r="Q21" s="29">
        <f>IF(B21="","",O21-P21)</f>
      </c>
      <c r="R21" s="29">
        <f>IF(B21="","",(F21*'Liquidador'!$B$32+G21*'Liquidador'!$B$33+H21*'Liquidador'!$B$34+I21*'Liquidador'!$B$35)*T21+K21)</f>
      </c>
      <c r="S21" s="30">
        <f>IF(B21="","",Q21+R21)</f>
      </c>
      <c r="T21" s="31">
        <f>IF(D21="Sur del Río Santa Cruz",1.4,IF(D21="Sur del Río Colorado",1.2,1))</f>
      </c>
    </row>
    <row r="22" spans="1:20" x14ac:dyDescent="0.25">
      <c r="A22" s="25"/>
      <c r="B22" s="25"/>
      <c r="C22" s="26"/>
      <c r="D22" s="25"/>
      <c r="E22" s="27"/>
      <c r="F22" s="27"/>
      <c r="G22" s="26"/>
      <c r="H22" s="26"/>
      <c r="I22" s="26"/>
      <c r="J22" s="28"/>
      <c r="K22" s="28"/>
      <c r="L22" s="29">
        <f>IF(B22="","",INDEX('Escala 2026'!$B$3:$M$11,MATCH(B22,'Escala 2026'!$A$3:$A$11,0),'Liquidador'!$D$5))</f>
      </c>
      <c r="M22" s="29">
        <f>IF(B22="","",E22*'Liquidador'!$B$32*T22)</f>
      </c>
      <c r="N22" s="29">
        <f>IF(B22="","",(L22+M22+J22)*0.01*C22)</f>
      </c>
      <c r="O22" s="29">
        <f>IF(B22="","",L22+M22+J22+N22)</f>
      </c>
      <c r="P22" s="29">
        <f>IF(B22="","",O22*(0.11+0.03+0.03))</f>
      </c>
      <c r="Q22" s="29">
        <f>IF(B22="","",O22-P22)</f>
      </c>
      <c r="R22" s="29">
        <f>IF(B22="","",(F22*'Liquidador'!$B$32+G22*'Liquidador'!$B$33+H22*'Liquidador'!$B$34+I22*'Liquidador'!$B$35)*T22+K22)</f>
      </c>
      <c r="S22" s="30">
        <f>IF(B22="","",Q22+R22)</f>
      </c>
      <c r="T22" s="31">
        <f>IF(D22="Sur del Río Santa Cruz",1.4,IF(D22="Sur del Río Colorado",1.2,1))</f>
      </c>
    </row>
    <row r="23" spans="1:20" x14ac:dyDescent="0.25">
      <c r="A23" s="25"/>
      <c r="B23" s="25"/>
      <c r="C23" s="26"/>
      <c r="D23" s="25"/>
      <c r="E23" s="27"/>
      <c r="F23" s="27"/>
      <c r="G23" s="26"/>
      <c r="H23" s="26"/>
      <c r="I23" s="26"/>
      <c r="J23" s="28"/>
      <c r="K23" s="28"/>
      <c r="L23" s="29">
        <f>IF(B23="","",INDEX('Escala 2026'!$B$3:$M$11,MATCH(B23,'Escala 2026'!$A$3:$A$11,0),'Liquidador'!$D$5))</f>
      </c>
      <c r="M23" s="29">
        <f>IF(B23="","",E23*'Liquidador'!$B$32*T23)</f>
      </c>
      <c r="N23" s="29">
        <f>IF(B23="","",(L23+M23+J23)*0.01*C23)</f>
      </c>
      <c r="O23" s="29">
        <f>IF(B23="","",L23+M23+J23+N23)</f>
      </c>
      <c r="P23" s="29">
        <f>IF(B23="","",O23*(0.11+0.03+0.03))</f>
      </c>
      <c r="Q23" s="29">
        <f>IF(B23="","",O23-P23)</f>
      </c>
      <c r="R23" s="29">
        <f>IF(B23="","",(F23*'Liquidador'!$B$32+G23*'Liquidador'!$B$33+H23*'Liquidador'!$B$34+I23*'Liquidador'!$B$35)*T23+K23)</f>
      </c>
      <c r="S23" s="30">
        <f>IF(B23="","",Q23+R23)</f>
      </c>
      <c r="T23" s="31">
        <f>IF(D23="Sur del Río Santa Cruz",1.4,IF(D23="Sur del Río Colorado",1.2,1))</f>
      </c>
    </row>
    <row r="24" spans="1:20" x14ac:dyDescent="0.25">
      <c r="A24" s="25"/>
      <c r="B24" s="25"/>
      <c r="C24" s="26"/>
      <c r="D24" s="25"/>
      <c r="E24" s="27"/>
      <c r="F24" s="27"/>
      <c r="G24" s="26"/>
      <c r="H24" s="26"/>
      <c r="I24" s="26"/>
      <c r="J24" s="28"/>
      <c r="K24" s="28"/>
      <c r="L24" s="29">
        <f>IF(B24="","",INDEX('Escala 2026'!$B$3:$M$11,MATCH(B24,'Escala 2026'!$A$3:$A$11,0),'Liquidador'!$D$5))</f>
      </c>
      <c r="M24" s="29">
        <f>IF(B24="","",E24*'Liquidador'!$B$32*T24)</f>
      </c>
      <c r="N24" s="29">
        <f>IF(B24="","",(L24+M24+J24)*0.01*C24)</f>
      </c>
      <c r="O24" s="29">
        <f>IF(B24="","",L24+M24+J24+N24)</f>
      </c>
      <c r="P24" s="29">
        <f>IF(B24="","",O24*(0.11+0.03+0.03))</f>
      </c>
      <c r="Q24" s="29">
        <f>IF(B24="","",O24-P24)</f>
      </c>
      <c r="R24" s="29">
        <f>IF(B24="","",(F24*'Liquidador'!$B$32+G24*'Liquidador'!$B$33+H24*'Liquidador'!$B$34+I24*'Liquidador'!$B$35)*T24+K24)</f>
      </c>
      <c r="S24" s="30">
        <f>IF(B24="","",Q24+R24)</f>
      </c>
      <c r="T24" s="31">
        <f>IF(D24="Sur del Río Santa Cruz",1.4,IF(D24="Sur del Río Colorado",1.2,1))</f>
      </c>
    </row>
    <row r="25" spans="1:20" x14ac:dyDescent="0.25">
      <c r="A25" s="25"/>
      <c r="B25" s="25"/>
      <c r="C25" s="26"/>
      <c r="D25" s="25"/>
      <c r="E25" s="27"/>
      <c r="F25" s="27"/>
      <c r="G25" s="26"/>
      <c r="H25" s="26"/>
      <c r="I25" s="26"/>
      <c r="J25" s="28"/>
      <c r="K25" s="28"/>
      <c r="L25" s="29">
        <f>IF(B25="","",INDEX('Escala 2026'!$B$3:$M$11,MATCH(B25,'Escala 2026'!$A$3:$A$11,0),'Liquidador'!$D$5))</f>
      </c>
      <c r="M25" s="29">
        <f>IF(B25="","",E25*'Liquidador'!$B$32*T25)</f>
      </c>
      <c r="N25" s="29">
        <f>IF(B25="","",(L25+M25+J25)*0.01*C25)</f>
      </c>
      <c r="O25" s="29">
        <f>IF(B25="","",L25+M25+J25+N25)</f>
      </c>
      <c r="P25" s="29">
        <f>IF(B25="","",O25*(0.11+0.03+0.03))</f>
      </c>
      <c r="Q25" s="29">
        <f>IF(B25="","",O25-P25)</f>
      </c>
      <c r="R25" s="29">
        <f>IF(B25="","",(F25*'Liquidador'!$B$32+G25*'Liquidador'!$B$33+H25*'Liquidador'!$B$34+I25*'Liquidador'!$B$35)*T25+K25)</f>
      </c>
      <c r="S25" s="30">
        <f>IF(B25="","",Q25+R25)</f>
      </c>
      <c r="T25" s="31">
        <f>IF(D25="Sur del Río Santa Cruz",1.4,IF(D25="Sur del Río Colorado",1.2,1))</f>
      </c>
    </row>
    <row r="26" spans="1:20" x14ac:dyDescent="0.25">
      <c r="A26" s="25"/>
      <c r="B26" s="25"/>
      <c r="C26" s="26"/>
      <c r="D26" s="25"/>
      <c r="E26" s="27"/>
      <c r="F26" s="27"/>
      <c r="G26" s="26"/>
      <c r="H26" s="26"/>
      <c r="I26" s="26"/>
      <c r="J26" s="28"/>
      <c r="K26" s="28"/>
      <c r="L26" s="29">
        <f>IF(B26="","",INDEX('Escala 2026'!$B$3:$M$11,MATCH(B26,'Escala 2026'!$A$3:$A$11,0),'Liquidador'!$D$5))</f>
      </c>
      <c r="M26" s="29">
        <f>IF(B26="","",E26*'Liquidador'!$B$32*T26)</f>
      </c>
      <c r="N26" s="29">
        <f>IF(B26="","",(L26+M26+J26)*0.01*C26)</f>
      </c>
      <c r="O26" s="29">
        <f>IF(B26="","",L26+M26+J26+N26)</f>
      </c>
      <c r="P26" s="29">
        <f>IF(B26="","",O26*(0.11+0.03+0.03))</f>
      </c>
      <c r="Q26" s="29">
        <f>IF(B26="","",O26-P26)</f>
      </c>
      <c r="R26" s="29">
        <f>IF(B26="","",(F26*'Liquidador'!$B$32+G26*'Liquidador'!$B$33+H26*'Liquidador'!$B$34+I26*'Liquidador'!$B$35)*T26+K26)</f>
      </c>
      <c r="S26" s="30">
        <f>IF(B26="","",Q26+R26)</f>
      </c>
      <c r="T26" s="31">
        <f>IF(D26="Sur del Río Santa Cruz",1.4,IF(D26="Sur del Río Colorado",1.2,1))</f>
      </c>
    </row>
    <row r="27" spans="1:20" x14ac:dyDescent="0.25">
      <c r="A27" s="25"/>
      <c r="B27" s="25"/>
      <c r="C27" s="26"/>
      <c r="D27" s="25"/>
      <c r="E27" s="27"/>
      <c r="F27" s="27"/>
      <c r="G27" s="26"/>
      <c r="H27" s="26"/>
      <c r="I27" s="26"/>
      <c r="J27" s="28"/>
      <c r="K27" s="28"/>
      <c r="L27" s="29">
        <f>IF(B27="","",INDEX('Escala 2026'!$B$3:$M$11,MATCH(B27,'Escala 2026'!$A$3:$A$11,0),'Liquidador'!$D$5))</f>
      </c>
      <c r="M27" s="29">
        <f>IF(B27="","",E27*'Liquidador'!$B$32*T27)</f>
      </c>
      <c r="N27" s="29">
        <f>IF(B27="","",(L27+M27+J27)*0.01*C27)</f>
      </c>
      <c r="O27" s="29">
        <f>IF(B27="","",L27+M27+J27+N27)</f>
      </c>
      <c r="P27" s="29">
        <f>IF(B27="","",O27*(0.11+0.03+0.03))</f>
      </c>
      <c r="Q27" s="29">
        <f>IF(B27="","",O27-P27)</f>
      </c>
      <c r="R27" s="29">
        <f>IF(B27="","",(F27*'Liquidador'!$B$32+G27*'Liquidador'!$B$33+H27*'Liquidador'!$B$34+I27*'Liquidador'!$B$35)*T27+K27)</f>
      </c>
      <c r="S27" s="30">
        <f>IF(B27="","",Q27+R27)</f>
      </c>
      <c r="T27" s="31">
        <f>IF(D27="Sur del Río Santa Cruz",1.4,IF(D27="Sur del Río Colorado",1.2,1))</f>
      </c>
    </row>
    <row r="28" spans="1:20" x14ac:dyDescent="0.25">
      <c r="A28" s="25"/>
      <c r="B28" s="25"/>
      <c r="C28" s="26"/>
      <c r="D28" s="25"/>
      <c r="E28" s="27"/>
      <c r="F28" s="27"/>
      <c r="G28" s="26"/>
      <c r="H28" s="26"/>
      <c r="I28" s="26"/>
      <c r="J28" s="28"/>
      <c r="K28" s="28"/>
      <c r="L28" s="29">
        <f>IF(B28="","",INDEX('Escala 2026'!$B$3:$M$11,MATCH(B28,'Escala 2026'!$A$3:$A$11,0),'Liquidador'!$D$5))</f>
      </c>
      <c r="M28" s="29">
        <f>IF(B28="","",E28*'Liquidador'!$B$32*T28)</f>
      </c>
      <c r="N28" s="29">
        <f>IF(B28="","",(L28+M28+J28)*0.01*C28)</f>
      </c>
      <c r="O28" s="29">
        <f>IF(B28="","",L28+M28+J28+N28)</f>
      </c>
      <c r="P28" s="29">
        <f>IF(B28="","",O28*(0.11+0.03+0.03))</f>
      </c>
      <c r="Q28" s="29">
        <f>IF(B28="","",O28-P28)</f>
      </c>
      <c r="R28" s="29">
        <f>IF(B28="","",(F28*'Liquidador'!$B$32+G28*'Liquidador'!$B$33+H28*'Liquidador'!$B$34+I28*'Liquidador'!$B$35)*T28+K28)</f>
      </c>
      <c r="S28" s="30">
        <f>IF(B28="","",Q28+R28)</f>
      </c>
      <c r="T28" s="31">
        <f>IF(D28="Sur del Río Santa Cruz",1.4,IF(D28="Sur del Río Colorado",1.2,1))</f>
      </c>
    </row>
    <row r="29" spans="1:20" x14ac:dyDescent="0.25">
      <c r="A29" s="25"/>
      <c r="B29" s="25"/>
      <c r="C29" s="26"/>
      <c r="D29" s="25"/>
      <c r="E29" s="27"/>
      <c r="F29" s="27"/>
      <c r="G29" s="26"/>
      <c r="H29" s="26"/>
      <c r="I29" s="26"/>
      <c r="J29" s="28"/>
      <c r="K29" s="28"/>
      <c r="L29" s="29">
        <f>IF(B29="","",INDEX('Escala 2026'!$B$3:$M$11,MATCH(B29,'Escala 2026'!$A$3:$A$11,0),'Liquidador'!$D$5))</f>
      </c>
      <c r="M29" s="29">
        <f>IF(B29="","",E29*'Liquidador'!$B$32*T29)</f>
      </c>
      <c r="N29" s="29">
        <f>IF(B29="","",(L29+M29+J29)*0.01*C29)</f>
      </c>
      <c r="O29" s="29">
        <f>IF(B29="","",L29+M29+J29+N29)</f>
      </c>
      <c r="P29" s="29">
        <f>IF(B29="","",O29*(0.11+0.03+0.03))</f>
      </c>
      <c r="Q29" s="29">
        <f>IF(B29="","",O29-P29)</f>
      </c>
      <c r="R29" s="29">
        <f>IF(B29="","",(F29*'Liquidador'!$B$32+G29*'Liquidador'!$B$33+H29*'Liquidador'!$B$34+I29*'Liquidador'!$B$35)*T29+K29)</f>
      </c>
      <c r="S29" s="30">
        <f>IF(B29="","",Q29+R29)</f>
      </c>
      <c r="T29" s="31">
        <f>IF(D29="Sur del Río Santa Cruz",1.4,IF(D29="Sur del Río Colorado",1.2,1))</f>
      </c>
    </row>
    <row r="30" spans="1:20" x14ac:dyDescent="0.25">
      <c r="A30" s="25"/>
      <c r="B30" s="25"/>
      <c r="C30" s="26"/>
      <c r="D30" s="25"/>
      <c r="E30" s="27"/>
      <c r="F30" s="27"/>
      <c r="G30" s="26"/>
      <c r="H30" s="26"/>
      <c r="I30" s="26"/>
      <c r="J30" s="28"/>
      <c r="K30" s="28"/>
      <c r="L30" s="29">
        <f>IF(B30="","",INDEX('Escala 2026'!$B$3:$M$11,MATCH(B30,'Escala 2026'!$A$3:$A$11,0),'Liquidador'!$D$5))</f>
      </c>
      <c r="M30" s="29">
        <f>IF(B30="","",E30*'Liquidador'!$B$32*T30)</f>
      </c>
      <c r="N30" s="29">
        <f>IF(B30="","",(L30+M30+J30)*0.01*C30)</f>
      </c>
      <c r="O30" s="29">
        <f>IF(B30="","",L30+M30+J30+N30)</f>
      </c>
      <c r="P30" s="29">
        <f>IF(B30="","",O30*(0.11+0.03+0.03))</f>
      </c>
      <c r="Q30" s="29">
        <f>IF(B30="","",O30-P30)</f>
      </c>
      <c r="R30" s="29">
        <f>IF(B30="","",(F30*'Liquidador'!$B$32+G30*'Liquidador'!$B$33+H30*'Liquidador'!$B$34+I30*'Liquidador'!$B$35)*T30+K30)</f>
      </c>
      <c r="S30" s="30">
        <f>IF(B30="","",Q30+R30)</f>
      </c>
      <c r="T30" s="31">
        <f>IF(D30="Sur del Río Santa Cruz",1.4,IF(D30="Sur del Río Colorado",1.2,1))</f>
      </c>
    </row>
    <row r="31" spans="1:20" x14ac:dyDescent="0.25">
      <c r="A31" s="25"/>
      <c r="B31" s="25"/>
      <c r="C31" s="26"/>
      <c r="D31" s="25"/>
      <c r="E31" s="27"/>
      <c r="F31" s="27"/>
      <c r="G31" s="26"/>
      <c r="H31" s="26"/>
      <c r="I31" s="26"/>
      <c r="J31" s="28"/>
      <c r="K31" s="28"/>
      <c r="L31" s="29">
        <f>IF(B31="","",INDEX('Escala 2026'!$B$3:$M$11,MATCH(B31,'Escala 2026'!$A$3:$A$11,0),'Liquidador'!$D$5))</f>
      </c>
      <c r="M31" s="29">
        <f>IF(B31="","",E31*'Liquidador'!$B$32*T31)</f>
      </c>
      <c r="N31" s="29">
        <f>IF(B31="","",(L31+M31+J31)*0.01*C31)</f>
      </c>
      <c r="O31" s="29">
        <f>IF(B31="","",L31+M31+J31+N31)</f>
      </c>
      <c r="P31" s="29">
        <f>IF(B31="","",O31*(0.11+0.03+0.03))</f>
      </c>
      <c r="Q31" s="29">
        <f>IF(B31="","",O31-P31)</f>
      </c>
      <c r="R31" s="29">
        <f>IF(B31="","",(F31*'Liquidador'!$B$32+G31*'Liquidador'!$B$33+H31*'Liquidador'!$B$34+I31*'Liquidador'!$B$35)*T31+K31)</f>
      </c>
      <c r="S31" s="30">
        <f>IF(B31="","",Q31+R31)</f>
      </c>
      <c r="T31" s="31">
        <f>IF(D31="Sur del Río Santa Cruz",1.4,IF(D31="Sur del Río Colorado",1.2,1))</f>
      </c>
    </row>
    <row r="32" spans="1:20" x14ac:dyDescent="0.25">
      <c r="A32" s="25"/>
      <c r="B32" s="25"/>
      <c r="C32" s="26"/>
      <c r="D32" s="25"/>
      <c r="E32" s="27"/>
      <c r="F32" s="27"/>
      <c r="G32" s="26"/>
      <c r="H32" s="26"/>
      <c r="I32" s="26"/>
      <c r="J32" s="28"/>
      <c r="K32" s="28"/>
      <c r="L32" s="29">
        <f>IF(B32="","",INDEX('Escala 2026'!$B$3:$M$11,MATCH(B32,'Escala 2026'!$A$3:$A$11,0),'Liquidador'!$D$5))</f>
      </c>
      <c r="M32" s="29">
        <f>IF(B32="","",E32*'Liquidador'!$B$32*T32)</f>
      </c>
      <c r="N32" s="29">
        <f>IF(B32="","",(L32+M32+J32)*0.01*C32)</f>
      </c>
      <c r="O32" s="29">
        <f>IF(B32="","",L32+M32+J32+N32)</f>
      </c>
      <c r="P32" s="29">
        <f>IF(B32="","",O32*(0.11+0.03+0.03))</f>
      </c>
      <c r="Q32" s="29">
        <f>IF(B32="","",O32-P32)</f>
      </c>
      <c r="R32" s="29">
        <f>IF(B32="","",(F32*'Liquidador'!$B$32+G32*'Liquidador'!$B$33+H32*'Liquidador'!$B$34+I32*'Liquidador'!$B$35)*T32+K32)</f>
      </c>
      <c r="S32" s="30">
        <f>IF(B32="","",Q32+R32)</f>
      </c>
      <c r="T32" s="31">
        <f>IF(D32="Sur del Río Santa Cruz",1.4,IF(D32="Sur del Río Colorado",1.2,1))</f>
      </c>
    </row>
    <row r="33" spans="1:20" x14ac:dyDescent="0.25">
      <c r="A33" s="25"/>
      <c r="B33" s="25"/>
      <c r="C33" s="26"/>
      <c r="D33" s="25"/>
      <c r="E33" s="27"/>
      <c r="F33" s="27"/>
      <c r="G33" s="26"/>
      <c r="H33" s="26"/>
      <c r="I33" s="26"/>
      <c r="J33" s="28"/>
      <c r="K33" s="28"/>
      <c r="L33" s="29">
        <f>IF(B33="","",INDEX('Escala 2026'!$B$3:$M$11,MATCH(B33,'Escala 2026'!$A$3:$A$11,0),'Liquidador'!$D$5))</f>
      </c>
      <c r="M33" s="29">
        <f>IF(B33="","",E33*'Liquidador'!$B$32*T33)</f>
      </c>
      <c r="N33" s="29">
        <f>IF(B33="","",(L33+M33+J33)*0.01*C33)</f>
      </c>
      <c r="O33" s="29">
        <f>IF(B33="","",L33+M33+J33+N33)</f>
      </c>
      <c r="P33" s="29">
        <f>IF(B33="","",O33*(0.11+0.03+0.03))</f>
      </c>
      <c r="Q33" s="29">
        <f>IF(B33="","",O33-P33)</f>
      </c>
      <c r="R33" s="29">
        <f>IF(B33="","",(F33*'Liquidador'!$B$32+G33*'Liquidador'!$B$33+H33*'Liquidador'!$B$34+I33*'Liquidador'!$B$35)*T33+K33)</f>
      </c>
      <c r="S33" s="30">
        <f>IF(B33="","",Q33+R33)</f>
      </c>
      <c r="T33" s="31">
        <f>IF(D33="Sur del Río Santa Cruz",1.4,IF(D33="Sur del Río Colorado",1.2,1))</f>
      </c>
    </row>
    <row r="34" spans="1:20" x14ac:dyDescent="0.25">
      <c r="A34" s="25"/>
      <c r="B34" s="25"/>
      <c r="C34" s="26"/>
      <c r="D34" s="25"/>
      <c r="E34" s="27"/>
      <c r="F34" s="27"/>
      <c r="G34" s="26"/>
      <c r="H34" s="26"/>
      <c r="I34" s="26"/>
      <c r="J34" s="28"/>
      <c r="K34" s="28"/>
      <c r="L34" s="29">
        <f>IF(B34="","",INDEX('Escala 2026'!$B$3:$M$11,MATCH(B34,'Escala 2026'!$A$3:$A$11,0),'Liquidador'!$D$5))</f>
      </c>
      <c r="M34" s="29">
        <f>IF(B34="","",E34*'Liquidador'!$B$32*T34)</f>
      </c>
      <c r="N34" s="29">
        <f>IF(B34="","",(L34+M34+J34)*0.01*C34)</f>
      </c>
      <c r="O34" s="29">
        <f>IF(B34="","",L34+M34+J34+N34)</f>
      </c>
      <c r="P34" s="29">
        <f>IF(B34="","",O34*(0.11+0.03+0.03))</f>
      </c>
      <c r="Q34" s="29">
        <f>IF(B34="","",O34-P34)</f>
      </c>
      <c r="R34" s="29">
        <f>IF(B34="","",(F34*'Liquidador'!$B$32+G34*'Liquidador'!$B$33+H34*'Liquidador'!$B$34+I34*'Liquidador'!$B$35)*T34+K34)</f>
      </c>
      <c r="S34" s="30">
        <f>IF(B34="","",Q34+R34)</f>
      </c>
      <c r="T34" s="31">
        <f>IF(D34="Sur del Río Santa Cruz",1.4,IF(D34="Sur del Río Colorado",1.2,1))</f>
      </c>
    </row>
    <row r="35" spans="1:20" x14ac:dyDescent="0.25">
      <c r="A35" s="25"/>
      <c r="B35" s="25"/>
      <c r="C35" s="26"/>
      <c r="D35" s="25"/>
      <c r="E35" s="27"/>
      <c r="F35" s="27"/>
      <c r="G35" s="26"/>
      <c r="H35" s="26"/>
      <c r="I35" s="26"/>
      <c r="J35" s="28"/>
      <c r="K35" s="28"/>
      <c r="L35" s="29">
        <f>IF(B35="","",INDEX('Escala 2026'!$B$3:$M$11,MATCH(B35,'Escala 2026'!$A$3:$A$11,0),'Liquidador'!$D$5))</f>
      </c>
      <c r="M35" s="29">
        <f>IF(B35="","",E35*'Liquidador'!$B$32*T35)</f>
      </c>
      <c r="N35" s="29">
        <f>IF(B35="","",(L35+M35+J35)*0.01*C35)</f>
      </c>
      <c r="O35" s="29">
        <f>IF(B35="","",L35+M35+J35+N35)</f>
      </c>
      <c r="P35" s="29">
        <f>IF(B35="","",O35*(0.11+0.03+0.03))</f>
      </c>
      <c r="Q35" s="29">
        <f>IF(B35="","",O35-P35)</f>
      </c>
      <c r="R35" s="29">
        <f>IF(B35="","",(F35*'Liquidador'!$B$32+G35*'Liquidador'!$B$33+H35*'Liquidador'!$B$34+I35*'Liquidador'!$B$35)*T35+K35)</f>
      </c>
      <c r="S35" s="30">
        <f>IF(B35="","",Q35+R35)</f>
      </c>
      <c r="T35" s="31">
        <f>IF(D35="Sur del Río Santa Cruz",1.4,IF(D35="Sur del Río Colorado",1.2,1))</f>
      </c>
    </row>
    <row r="36" spans="1:19" x14ac:dyDescent="0.25">
      <c r="A36" s="32" t="s">
        <v>95</v>
      </c>
      <c r="L36" s="33">
        <f>SUM(L6:L35)</f>
      </c>
      <c r="M36" s="33">
        <f>SUM(M6:M35)</f>
      </c>
      <c r="N36" s="33">
        <f>SUM(N6:N35)</f>
      </c>
      <c r="O36" s="33">
        <f>SUM(O6:O35)</f>
      </c>
      <c r="P36" s="33">
        <f>SUM(P6:P35)</f>
      </c>
      <c r="Q36" s="33">
        <f>SUM(Q6:Q35)</f>
      </c>
      <c r="R36" s="33">
        <f>SUM(R6:R35)</f>
      </c>
      <c r="S36" s="33">
        <f>SUM(S6:S35)</f>
      </c>
    </row>
  </sheetData>
  <mergeCells count="3">
    <mergeCell ref="A1:S1"/>
    <mergeCell ref="C2:S2"/>
    <mergeCell ref="A3:S3"/>
  </mergeCells>
  <dataValidations count="12">
    <dataValidation type="list" showErrorMessage="1" error="Elegí una categoría de la lista." sqref="B10:B35">
      <formula1>"Chofer de Primera,Chofer de Segunda,Chofer de Tercera,Encargado,Peón,Ayudante mayor de 18 años,Oficial de Primera (taller),Oficial (taller),Medio Oficial (taller)"</formula1>
    </dataValidation>
    <dataValidation type="list" showErrorMessage="1" error="Elegí una categoría de la lista." sqref="B6:B35">
      <formula1>"Chofer de Primera,Chofer de Segunda,Chofer de Tercera,Encargado,Peón,Ayudante mayor de 18 años,Oficial de Primera (taller),Oficial (taller),Medio Oficial (taller)"</formula1>
    </dataValidation>
    <dataValidation type="whole" allowBlank="1" showErrorMessage="1" error="Años enteros, de 0 a 60." sqref="C10:C35">
      <formula1>0</formula1>
      <formula2>60</formula2>
    </dataValidation>
    <dataValidation type="whole" allowBlank="1" showErrorMessage="1" error="Años enteros, de 0 a 60." sqref="C6:C35">
      <formula1>0</formula1>
      <formula2>60</formula2>
    </dataValidation>
    <dataValidation type="list" showErrorMessage="1" error="Elegí una zona de la lista." sqref="D10:D35">
      <formula1>"General,Sur del Río Colorado,Sur del Río Santa Cruz"</formula1>
    </dataValidation>
    <dataValidation type="list" showErrorMessage="1" error="Elegí una zona de la lista." sqref="D6:D35">
      <formula1>"General,Sur del Río Colorado,Sur del Río Santa Cruz"</formula1>
    </dataValidation>
    <dataValidation type="decimal" allowBlank="1" showErrorMessage="1" error="Kilómetros del mes, de 0 a 100.000." sqref="E10:F35">
      <formula1>0</formula1>
      <formula2>100000</formula2>
    </dataValidation>
    <dataValidation type="decimal" allowBlank="1" showErrorMessage="1" error="Kilómetros del mes, de 0 a 100.000." sqref="E6:F35">
      <formula1>0</formula1>
      <formula2>100000</formula2>
    </dataValidation>
    <dataValidation type="whole" allowBlank="1" showErrorMessage="1" error="Cantidad del mes, de 0 a 100." sqref="G10:I35">
      <formula1>0</formula1>
      <formula2>100</formula2>
    </dataValidation>
    <dataValidation type="whole" allowBlank="1" showErrorMessage="1" error="Cantidad del mes, de 0 a 100." sqref="G6:I35">
      <formula1>0</formula1>
      <formula2>100</formula2>
    </dataValidation>
    <dataValidation type="decimal" allowBlank="1" showErrorMessage="1" error="Importe en pesos, 0 o más." sqref="J10:K35">
      <formula1>0</formula1>
      <formula2>1000000000</formula2>
    </dataValidation>
    <dataValidation type="decimal" allowBlank="1" showErrorMessage="1" error="Importe en pesos, 0 o más." sqref="J6:K35">
      <formula1>0</formula1>
      <formula2>1000000000</formula2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  <pageSetUpPr fitToPage="1"/>
  </sheetPr>
  <dimension ref="A1:E30"/>
  <sheetFormatPr defaultRowHeight="15" outlineLevelRow="0" outlineLevelCol="0" x14ac:dyDescent="55"/>
  <cols>
    <col min="1" max="1" width="40" customWidth="1"/>
    <col min="2" max="2" width="12" customWidth="1"/>
    <col min="3" max="5" width="18" customWidth="1"/>
  </cols>
  <sheetData>
    <row r="1" ht="28" customHeight="1" spans="1:5" x14ac:dyDescent="0.25">
      <c r="A1" s="34" t="s">
        <v>96</v>
      </c>
      <c r="B1" s="34"/>
      <c r="C1" s="34"/>
      <c r="D1" s="34"/>
      <c r="E1" s="34"/>
    </row>
    <row r="2" spans="1:5" x14ac:dyDescent="0.25">
      <c r="A2" s="6" t="s">
        <v>97</v>
      </c>
      <c r="B2" s="6"/>
      <c r="C2" s="6"/>
      <c r="D2" s="6"/>
      <c r="E2" s="6"/>
    </row>
    <row r="4" spans="1:5" x14ac:dyDescent="0.25">
      <c r="A4" s="9" t="s">
        <v>98</v>
      </c>
      <c r="B4" s="10" t="s">
        <v>99</v>
      </c>
      <c r="C4" s="10"/>
      <c r="D4" s="10"/>
      <c r="E4" s="10"/>
    </row>
    <row r="5" spans="1:5" x14ac:dyDescent="0.25">
      <c r="A5" s="9" t="s">
        <v>100</v>
      </c>
      <c r="B5" s="10" t="s">
        <v>99</v>
      </c>
      <c r="C5" s="10"/>
      <c r="D5" s="10"/>
      <c r="E5" s="10"/>
    </row>
    <row r="6" spans="1:5" x14ac:dyDescent="0.25">
      <c r="A6" s="9" t="s">
        <v>101</v>
      </c>
      <c r="B6" s="10" t="s">
        <v>99</v>
      </c>
      <c r="C6" s="10"/>
      <c r="D6" s="10"/>
      <c r="E6" s="10"/>
    </row>
    <row r="7" spans="1:5" x14ac:dyDescent="0.25">
      <c r="A7" s="9" t="s">
        <v>102</v>
      </c>
      <c r="B7" s="10" t="s">
        <v>99</v>
      </c>
      <c r="C7" s="10"/>
      <c r="D7" s="10"/>
      <c r="E7" s="10"/>
    </row>
    <row r="8" spans="1:5" x14ac:dyDescent="0.25">
      <c r="A8" s="9" t="s">
        <v>103</v>
      </c>
      <c r="B8" s="10" t="s">
        <v>99</v>
      </c>
      <c r="C8" s="10"/>
      <c r="D8" s="10"/>
      <c r="E8" s="10"/>
    </row>
    <row r="9" spans="1:5" x14ac:dyDescent="0.25">
      <c r="A9" s="9" t="s">
        <v>104</v>
      </c>
      <c r="B9" s="15">
        <f>'Liquidador'!B6</f>
      </c>
      <c r="C9" s="15"/>
      <c r="D9" s="15"/>
      <c r="E9" s="15"/>
    </row>
    <row r="10" spans="1:5" x14ac:dyDescent="0.25">
      <c r="A10" s="9" t="s">
        <v>27</v>
      </c>
      <c r="B10" s="15">
        <f>'Liquidador'!B5</f>
      </c>
      <c r="C10" s="15"/>
      <c r="D10" s="15"/>
      <c r="E10" s="15"/>
    </row>
    <row r="11" spans="1:5" x14ac:dyDescent="0.25">
      <c r="A11" s="9" t="s">
        <v>31</v>
      </c>
      <c r="B11" s="15">
        <f>'Liquidador'!B7</f>
      </c>
      <c r="C11" s="15"/>
      <c r="D11" s="15"/>
      <c r="E11" s="15"/>
    </row>
    <row r="13" spans="1:5" x14ac:dyDescent="0.25">
      <c r="A13" s="35" t="s">
        <v>105</v>
      </c>
      <c r="B13" s="36" t="s">
        <v>106</v>
      </c>
      <c r="C13" s="36" t="s">
        <v>107</v>
      </c>
      <c r="D13" s="36" t="s">
        <v>91</v>
      </c>
      <c r="E13" s="36" t="s">
        <v>108</v>
      </c>
    </row>
    <row r="14" spans="1:5" x14ac:dyDescent="0.25">
      <c r="A14" s="37" t="s">
        <v>52</v>
      </c>
      <c r="B14" s="38"/>
      <c r="C14" s="39">
        <f>'Liquidador'!B19</f>
      </c>
      <c r="D14" s="39"/>
      <c r="E14" s="39"/>
    </row>
    <row r="15" spans="1:5" x14ac:dyDescent="0.25">
      <c r="A15" s="37" t="s">
        <v>53</v>
      </c>
      <c r="B15" s="40">
        <f>'Liquidador'!B11</f>
      </c>
      <c r="C15" s="39">
        <f>'Liquidador'!B20</f>
      </c>
      <c r="D15" s="39"/>
      <c r="E15" s="39"/>
    </row>
    <row r="16" spans="1:5" x14ac:dyDescent="0.25">
      <c r="A16" s="37" t="s">
        <v>54</v>
      </c>
      <c r="B16" s="38"/>
      <c r="C16" s="39">
        <f>'Liquidador'!B21</f>
      </c>
      <c r="D16" s="39"/>
      <c r="E16" s="39"/>
    </row>
    <row r="17" spans="1:5" x14ac:dyDescent="0.25">
      <c r="A17" s="37" t="s">
        <v>109</v>
      </c>
      <c r="B17" s="40">
        <f>'Liquidador'!B7</f>
      </c>
      <c r="C17" s="39">
        <f>'Liquidador'!B22</f>
      </c>
      <c r="D17" s="39"/>
      <c r="E17" s="39"/>
    </row>
    <row r="18" spans="1:5" x14ac:dyDescent="0.25">
      <c r="A18" s="37" t="s">
        <v>110</v>
      </c>
      <c r="B18" s="38"/>
      <c r="C18" s="39"/>
      <c r="D18" s="39">
        <f>'Liquidador'!B28</f>
      </c>
      <c r="E18" s="39"/>
    </row>
    <row r="19" spans="1:5" x14ac:dyDescent="0.25">
      <c r="A19" s="37" t="s">
        <v>111</v>
      </c>
      <c r="B19" s="38"/>
      <c r="C19" s="39"/>
      <c r="D19" s="39"/>
      <c r="E19" s="39">
        <f>-'Liquidador'!B24</f>
      </c>
    </row>
    <row r="20" spans="1:5" x14ac:dyDescent="0.25">
      <c r="A20" s="37" t="s">
        <v>112</v>
      </c>
      <c r="B20" s="38"/>
      <c r="C20" s="39"/>
      <c r="D20" s="39"/>
      <c r="E20" s="39">
        <f>-'Liquidador'!B25</f>
      </c>
    </row>
    <row r="21" spans="1:5" x14ac:dyDescent="0.25">
      <c r="A21" s="37" t="s">
        <v>113</v>
      </c>
      <c r="B21" s="38"/>
      <c r="C21" s="39"/>
      <c r="D21" s="39"/>
      <c r="E21" s="39">
        <f>-'Liquidador'!B26</f>
      </c>
    </row>
    <row r="22" spans="1:5" x14ac:dyDescent="0.25">
      <c r="A22" s="32" t="s">
        <v>114</v>
      </c>
      <c r="B22" s="41"/>
      <c r="C22" s="42">
        <f>SUM(C14:C21)</f>
      </c>
      <c r="D22" s="42">
        <f>SUM(D14:D21)</f>
      </c>
      <c r="E22" s="42">
        <f>SUM(E14:E21)</f>
      </c>
    </row>
    <row r="23" ht="22" customHeight="1" spans="1:5" x14ac:dyDescent="0.25">
      <c r="A23" s="43" t="s">
        <v>115</v>
      </c>
      <c r="B23" s="43"/>
      <c r="C23" s="43"/>
      <c r="D23" s="43"/>
      <c r="E23" s="44">
        <f>C22+D22-E22</f>
      </c>
    </row>
    <row r="25" spans="1:5" x14ac:dyDescent="0.25">
      <c r="A25" s="9" t="s">
        <v>116</v>
      </c>
      <c r="B25" s="10" t="s">
        <v>99</v>
      </c>
      <c r="C25" s="10"/>
      <c r="D25" s="10"/>
      <c r="E25" s="10"/>
    </row>
    <row r="26" spans="1:5" x14ac:dyDescent="0.25">
      <c r="A26" s="6" t="s">
        <v>117</v>
      </c>
      <c r="B26" s="6"/>
      <c r="C26" s="6"/>
      <c r="D26" s="6"/>
      <c r="E26" s="6"/>
    </row>
    <row r="30" spans="1:5" x14ac:dyDescent="0.25">
      <c r="A30" s="45" t="s">
        <v>118</v>
      </c>
      <c r="C30" s="45" t="s">
        <v>119</v>
      </c>
      <c r="D30" s="45"/>
      <c r="E30" s="45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A23:D23"/>
    <mergeCell ref="B25:E25"/>
    <mergeCell ref="A26:E26"/>
    <mergeCell ref="C30:E30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C24"/>
  <sheetFormatPr defaultRowHeight="15" outlineLevelRow="0" outlineLevelCol="0" x14ac:dyDescent="55"/>
  <cols>
    <col min="1" max="1" width="50" customWidth="1"/>
    <col min="2" max="2" width="22" customWidth="1"/>
    <col min="3" max="3" width="44" customWidth="1"/>
  </cols>
  <sheetData>
    <row r="1" ht="28" customHeight="1" spans="1:3" x14ac:dyDescent="0.25">
      <c r="A1" s="46" t="s">
        <v>120</v>
      </c>
      <c r="B1" s="46"/>
      <c r="C1" s="46"/>
    </row>
    <row r="3" spans="1:2" x14ac:dyDescent="0.25">
      <c r="A3" s="4" t="s">
        <v>121</v>
      </c>
      <c r="B3" s="4"/>
    </row>
    <row r="4" spans="1:2" x14ac:dyDescent="0.25">
      <c r="A4" s="9" t="s">
        <v>122</v>
      </c>
      <c r="B4" s="10" t="s">
        <v>123</v>
      </c>
    </row>
    <row r="5" spans="1:3" x14ac:dyDescent="0.25">
      <c r="A5" s="9">
        <f>IF(B4="1er semestre 2026","Enero","Julio")&amp;" — total remunerativo"</f>
      </c>
      <c r="B5" s="47">
        <f>'Liquidador'!B23</f>
      </c>
      <c r="C5" s="12" t="s">
        <v>124</v>
      </c>
    </row>
    <row r="6" spans="1:3" x14ac:dyDescent="0.25">
      <c r="A6" s="9">
        <f>IF(B4="1er semestre 2026","Febrero","Agosto")&amp;" — total remunerativo"</f>
      </c>
      <c r="B6" s="47">
        <f>'Liquidador'!B23</f>
      </c>
      <c r="C6" s="12"/>
    </row>
    <row r="7" spans="1:3" x14ac:dyDescent="0.25">
      <c r="A7" s="9">
        <f>IF(B4="1er semestre 2026","Marzo","Septiembre")&amp;" — total remunerativo"</f>
      </c>
      <c r="B7" s="47">
        <f>'Liquidador'!B23</f>
      </c>
      <c r="C7" s="12"/>
    </row>
    <row r="8" spans="1:2" x14ac:dyDescent="0.25">
      <c r="A8" s="9">
        <f>IF(B4="1er semestre 2026","Abril","Octubre")&amp;" — total remunerativo"</f>
      </c>
      <c r="B8" s="47">
        <f>'Liquidador'!B23</f>
      </c>
    </row>
    <row r="9" spans="1:2" x14ac:dyDescent="0.25">
      <c r="A9" s="9">
        <f>IF(B4="1er semestre 2026","Mayo","Noviembre")&amp;" — total remunerativo"</f>
      </c>
      <c r="B9" s="47">
        <f>'Liquidador'!B23</f>
      </c>
    </row>
    <row r="10" spans="1:2" x14ac:dyDescent="0.25">
      <c r="A10" s="9">
        <f>IF(B4="1er semestre 2026","Junio","Diciembre")&amp;" — total remunerativo"</f>
      </c>
      <c r="B10" s="47">
        <f>'Liquidador'!B23</f>
      </c>
    </row>
    <row r="11" spans="1:3" x14ac:dyDescent="0.25">
      <c r="A11" s="9" t="s">
        <v>125</v>
      </c>
      <c r="B11" s="11" t="s">
        <v>99</v>
      </c>
      <c r="C11" s="12" t="s">
        <v>126</v>
      </c>
    </row>
    <row r="13" spans="1:2" x14ac:dyDescent="0.25">
      <c r="A13" s="4" t="s">
        <v>127</v>
      </c>
      <c r="B13" s="4"/>
    </row>
    <row r="14" spans="1:2" x14ac:dyDescent="0.25">
      <c r="A14" s="15" t="s">
        <v>128</v>
      </c>
      <c r="B14" s="16">
        <f>MAX(B5:B10)</f>
      </c>
    </row>
    <row r="15" spans="1:2" x14ac:dyDescent="0.25">
      <c r="A15" s="15" t="s">
        <v>129</v>
      </c>
      <c r="B15" s="48">
        <f>IF(B4="1er semestre 2026",181,184)</f>
      </c>
    </row>
    <row r="16" spans="1:2" x14ac:dyDescent="0.25">
      <c r="A16" s="15" t="s">
        <v>130</v>
      </c>
      <c r="B16" s="48">
        <f>IF(ISBLANK(B11),B15,MIN(B11,B15))</f>
      </c>
    </row>
    <row r="17" spans="1:2" x14ac:dyDescent="0.25">
      <c r="A17" s="17" t="s">
        <v>131</v>
      </c>
      <c r="B17" s="18">
        <f>B14/2*B16/B15</f>
      </c>
    </row>
    <row r="18" spans="1:2" x14ac:dyDescent="0.25">
      <c r="A18" s="15" t="s">
        <v>58</v>
      </c>
      <c r="B18" s="16">
        <f>-B17*0.11</f>
      </c>
    </row>
    <row r="19" spans="1:2" x14ac:dyDescent="0.25">
      <c r="A19" s="15" t="s">
        <v>132</v>
      </c>
      <c r="B19" s="16">
        <f>-B17*0.03</f>
      </c>
    </row>
    <row r="20" spans="1:2" x14ac:dyDescent="0.25">
      <c r="A20" s="15" t="s">
        <v>60</v>
      </c>
      <c r="B20" s="16">
        <f>-B17*0.03</f>
      </c>
    </row>
    <row r="21" spans="1:2" x14ac:dyDescent="0.25">
      <c r="A21" s="17" t="s">
        <v>133</v>
      </c>
      <c r="B21" s="18">
        <f>SUM(B17:B20)</f>
      </c>
    </row>
    <row r="23" ht="28" customHeight="1" spans="1:3" x14ac:dyDescent="0.25">
      <c r="A23" s="6" t="s">
        <v>134</v>
      </c>
      <c r="B23" s="6"/>
      <c r="C23" s="6"/>
    </row>
    <row r="24" ht="28" customHeight="1" spans="1:3" x14ac:dyDescent="0.25">
      <c r="A24" s="6" t="s">
        <v>135</v>
      </c>
      <c r="B24" s="6"/>
      <c r="C24" s="6"/>
    </row>
  </sheetData>
  <mergeCells count="6">
    <mergeCell ref="A1:C1"/>
    <mergeCell ref="A3:B3"/>
    <mergeCell ref="C5:C7"/>
    <mergeCell ref="A13:B13"/>
    <mergeCell ref="A23:C23"/>
    <mergeCell ref="A24:C24"/>
  </mergeCells>
  <dataValidations count="4">
    <dataValidation type="decimal" allowBlank="1" showErrorMessage="1" error="Importe en pesos, 0 o más." sqref="B10">
      <formula1>0</formula1>
      <formula2>10000000000</formula2>
    </dataValidation>
    <dataValidation type="whole" allowBlank="1" showErrorMessage="1" error="Días, de 0 a 184." sqref="B11">
      <formula1>0</formula1>
      <formula2>184</formula2>
    </dataValidation>
    <dataValidation type="list" showErrorMessage="1" error="Elegí el semestre." sqref="B4">
      <formula1>"1er semestre 2026,2do semestre 2026"</formula1>
    </dataValidation>
    <dataValidation type="decimal" allowBlank="1" showErrorMessage="1" error="Importe en pesos, 0 o más." sqref="B5:B10">
      <formula1>0</formula1>
      <formula2>10000000000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M2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13" width="16" customWidth="1"/>
  </cols>
  <sheetData>
    <row r="1" ht="28" customHeight="1" spans="1:13" x14ac:dyDescent="0.25">
      <c r="A1" s="49" t="s">
        <v>136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x14ac:dyDescent="0.25">
      <c r="A2" s="50" t="s">
        <v>27</v>
      </c>
      <c r="B2" s="50" t="s">
        <v>137</v>
      </c>
      <c r="C2" s="50" t="s">
        <v>138</v>
      </c>
      <c r="D2" s="50" t="s">
        <v>139</v>
      </c>
      <c r="E2" s="50" t="s">
        <v>140</v>
      </c>
      <c r="F2" s="50" t="s">
        <v>141</v>
      </c>
      <c r="G2" s="50" t="s">
        <v>142</v>
      </c>
      <c r="H2" s="50" t="s">
        <v>143</v>
      </c>
      <c r="I2" s="50" t="s">
        <v>144</v>
      </c>
      <c r="J2" s="50" t="s">
        <v>145</v>
      </c>
      <c r="K2" s="50" t="s">
        <v>146</v>
      </c>
      <c r="L2" s="50" t="s">
        <v>147</v>
      </c>
      <c r="M2" s="50" t="s">
        <v>30</v>
      </c>
    </row>
    <row r="3" spans="1:13" x14ac:dyDescent="0.25">
      <c r="A3" s="51" t="s">
        <v>28</v>
      </c>
      <c r="B3" s="52">
        <v>917462.42</v>
      </c>
      <c r="C3" s="52">
        <v>984338.23</v>
      </c>
      <c r="D3" s="52">
        <v>1001071.98</v>
      </c>
      <c r="E3" s="52">
        <v>1017089.13</v>
      </c>
      <c r="F3" s="52">
        <v>1060010.29</v>
      </c>
      <c r="G3" s="52">
        <v>1075910.44</v>
      </c>
      <c r="H3" s="52">
        <v>1095276.83</v>
      </c>
      <c r="I3" s="52">
        <v>1126149.4</v>
      </c>
      <c r="J3" s="52">
        <v>1145293.94</v>
      </c>
      <c r="K3" s="52">
        <v>1163618.64</v>
      </c>
      <c r="L3" s="52">
        <v>1182236.54</v>
      </c>
      <c r="M3" s="52">
        <v>1199970.09</v>
      </c>
    </row>
    <row r="4" spans="1:13" x14ac:dyDescent="0.25">
      <c r="A4" s="53" t="s">
        <v>148</v>
      </c>
      <c r="B4" s="54">
        <v>901112.88</v>
      </c>
      <c r="C4" s="54">
        <v>966796.94</v>
      </c>
      <c r="D4" s="54">
        <v>983232.49</v>
      </c>
      <c r="E4" s="54">
        <v>998964.21</v>
      </c>
      <c r="F4" s="54">
        <v>1041120.5</v>
      </c>
      <c r="G4" s="54">
        <v>1056737.31</v>
      </c>
      <c r="H4" s="54">
        <v>1075758.58</v>
      </c>
      <c r="I4" s="54">
        <v>1106080.99</v>
      </c>
      <c r="J4" s="54">
        <v>1124884.37</v>
      </c>
      <c r="K4" s="54">
        <v>1142882.52</v>
      </c>
      <c r="L4" s="54">
        <v>1161168.64</v>
      </c>
      <c r="M4" s="54">
        <v>1178586.17</v>
      </c>
    </row>
    <row r="5" spans="1:13" x14ac:dyDescent="0.25">
      <c r="A5" s="51" t="s">
        <v>149</v>
      </c>
      <c r="B5" s="52">
        <v>884746.81</v>
      </c>
      <c r="C5" s="52">
        <v>949237.91</v>
      </c>
      <c r="D5" s="52">
        <v>965374.95</v>
      </c>
      <c r="E5" s="52">
        <v>980820.95</v>
      </c>
      <c r="F5" s="52">
        <v>1022211.59</v>
      </c>
      <c r="G5" s="52">
        <v>1037544.76</v>
      </c>
      <c r="H5" s="52">
        <v>1056220.57</v>
      </c>
      <c r="I5" s="52">
        <v>1085992.26</v>
      </c>
      <c r="J5" s="52">
        <v>1104454.13</v>
      </c>
      <c r="K5" s="52">
        <v>1122125.4</v>
      </c>
      <c r="L5" s="52">
        <v>1140079.41</v>
      </c>
      <c r="M5" s="52">
        <v>1157180.6</v>
      </c>
    </row>
    <row r="6" spans="1:13" x14ac:dyDescent="0.25">
      <c r="A6" s="53" t="s">
        <v>150</v>
      </c>
      <c r="B6" s="54">
        <v>862285.2</v>
      </c>
      <c r="C6" s="54">
        <v>925139.02</v>
      </c>
      <c r="D6" s="54">
        <v>940866.38</v>
      </c>
      <c r="E6" s="54">
        <v>955920.24</v>
      </c>
      <c r="F6" s="54">
        <v>996260.07</v>
      </c>
      <c r="G6" s="54">
        <v>1011203.97</v>
      </c>
      <c r="H6" s="54">
        <v>1029405.64</v>
      </c>
      <c r="I6" s="54">
        <v>1058421.5</v>
      </c>
      <c r="J6" s="54">
        <v>1076414.67</v>
      </c>
      <c r="K6" s="54">
        <v>1093637.3</v>
      </c>
      <c r="L6" s="54">
        <v>1111135.5</v>
      </c>
      <c r="M6" s="54">
        <v>1127802.53</v>
      </c>
    </row>
    <row r="7" spans="1:13" x14ac:dyDescent="0.25">
      <c r="A7" s="51" t="s">
        <v>151</v>
      </c>
      <c r="B7" s="52">
        <v>837929.46</v>
      </c>
      <c r="C7" s="52">
        <v>899007.94</v>
      </c>
      <c r="D7" s="52">
        <v>914291.07</v>
      </c>
      <c r="E7" s="52">
        <v>928919.73</v>
      </c>
      <c r="F7" s="52">
        <v>968120.14</v>
      </c>
      <c r="G7" s="52">
        <v>982641.94</v>
      </c>
      <c r="H7" s="52">
        <v>1000329.49</v>
      </c>
      <c r="I7" s="52">
        <v>1028525.78</v>
      </c>
      <c r="J7" s="52">
        <v>1046010.72</v>
      </c>
      <c r="K7" s="52">
        <v>1062746.89</v>
      </c>
      <c r="L7" s="52">
        <v>1079750.84</v>
      </c>
      <c r="M7" s="52">
        <v>1095947.1</v>
      </c>
    </row>
    <row r="8" spans="1:13" x14ac:dyDescent="0.25">
      <c r="A8" s="53" t="s">
        <v>152</v>
      </c>
      <c r="B8" s="54">
        <v>821870.69</v>
      </c>
      <c r="C8" s="54">
        <v>881778.61</v>
      </c>
      <c r="D8" s="54">
        <v>896768.85</v>
      </c>
      <c r="E8" s="54">
        <v>911117.15</v>
      </c>
      <c r="F8" s="54">
        <v>949566.29</v>
      </c>
      <c r="G8" s="54">
        <v>963809.78</v>
      </c>
      <c r="H8" s="54">
        <v>981158.36</v>
      </c>
      <c r="I8" s="54">
        <v>1008814.27</v>
      </c>
      <c r="J8" s="54">
        <v>1025964.11</v>
      </c>
      <c r="K8" s="54">
        <v>1042379.54</v>
      </c>
      <c r="L8" s="54">
        <v>1059057.61</v>
      </c>
      <c r="M8" s="54">
        <v>1074943.47</v>
      </c>
    </row>
    <row r="9" spans="1:13" x14ac:dyDescent="0.25">
      <c r="A9" s="51" t="s">
        <v>153</v>
      </c>
      <c r="B9" s="52">
        <v>1021805.24</v>
      </c>
      <c r="C9" s="52">
        <v>1096286.82</v>
      </c>
      <c r="D9" s="52">
        <v>1114923.7</v>
      </c>
      <c r="E9" s="52">
        <v>1132762.48</v>
      </c>
      <c r="F9" s="52">
        <v>1180565.06</v>
      </c>
      <c r="G9" s="52">
        <v>1198273.54</v>
      </c>
      <c r="H9" s="52">
        <v>1219842.46</v>
      </c>
      <c r="I9" s="52">
        <v>1254226.16</v>
      </c>
      <c r="J9" s="52">
        <v>1275548</v>
      </c>
      <c r="K9" s="52">
        <v>1295956.77</v>
      </c>
      <c r="L9" s="52">
        <v>1316692.08</v>
      </c>
      <c r="M9" s="52">
        <v>1336442.46</v>
      </c>
    </row>
    <row r="10" spans="1:13" x14ac:dyDescent="0.25">
      <c r="A10" s="53" t="s">
        <v>154</v>
      </c>
      <c r="B10" s="54">
        <v>921140.39</v>
      </c>
      <c r="C10" s="54">
        <v>988284.3</v>
      </c>
      <c r="D10" s="54">
        <v>1005085.13</v>
      </c>
      <c r="E10" s="54">
        <v>1021166.49</v>
      </c>
      <c r="F10" s="54">
        <v>1064259.72</v>
      </c>
      <c r="G10" s="54">
        <v>1080223.62</v>
      </c>
      <c r="H10" s="54">
        <v>1099667.65</v>
      </c>
      <c r="I10" s="54">
        <v>1130663.98</v>
      </c>
      <c r="J10" s="54">
        <v>1149885.27</v>
      </c>
      <c r="K10" s="54">
        <v>1168283.43</v>
      </c>
      <c r="L10" s="54">
        <v>1186975.96</v>
      </c>
      <c r="M10" s="54">
        <v>1204780.6</v>
      </c>
    </row>
    <row r="11" spans="1:13" x14ac:dyDescent="0.25">
      <c r="A11" s="51" t="s">
        <v>155</v>
      </c>
      <c r="B11" s="52">
        <v>870164.95</v>
      </c>
      <c r="C11" s="52">
        <v>933593.15</v>
      </c>
      <c r="D11" s="52">
        <v>949464.23</v>
      </c>
      <c r="E11" s="52">
        <v>964655.66</v>
      </c>
      <c r="F11" s="52">
        <v>1005364.13</v>
      </c>
      <c r="G11" s="52">
        <v>1020444.59</v>
      </c>
      <c r="H11" s="52">
        <v>1038812.59</v>
      </c>
      <c r="I11" s="52">
        <v>1068093.6</v>
      </c>
      <c r="J11" s="52">
        <v>1086251.19</v>
      </c>
      <c r="K11" s="52">
        <v>1103631.21</v>
      </c>
      <c r="L11" s="52">
        <v>1121289.31</v>
      </c>
      <c r="M11" s="52">
        <v>1138108.65</v>
      </c>
    </row>
    <row r="13" ht="28" customHeight="1" spans="1:13" x14ac:dyDescent="0.25">
      <c r="A13" s="6" t="s">
        <v>156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28" customHeight="1" spans="1:13" x14ac:dyDescent="0.25">
      <c r="A14" s="6" t="s">
        <v>157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ht="28" customHeight="1" spans="1:13" x14ac:dyDescent="0.25">
      <c r="A15" s="6" t="s">
        <v>158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28" customHeight="1" spans="1:13" x14ac:dyDescent="0.25">
      <c r="A16" s="6" t="s">
        <v>159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ht="28" customHeight="1" spans="1:13" x14ac:dyDescent="0.25">
      <c r="A17" s="6" t="s">
        <v>160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28" customHeight="1" spans="1:13" x14ac:dyDescent="0.25">
      <c r="A18" s="6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ht="28" customHeight="1" spans="1:13" x14ac:dyDescent="0.25">
      <c r="A19" s="6" t="s">
        <v>162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28" customHeight="1" spans="1:13" x14ac:dyDescent="0.25">
      <c r="A20" s="6" t="s">
        <v>163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28" customHeight="1" spans="1:13" x14ac:dyDescent="0.25">
      <c r="A21" s="6" t="s">
        <v>164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28" customHeight="1" spans="1:13" x14ac:dyDescent="0.25">
      <c r="A22" s="6" t="s">
        <v>165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28" customHeight="1" spans="1:13" x14ac:dyDescent="0.25">
      <c r="A23" s="6" t="s">
        <v>166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ht="28" customHeight="1" spans="1:13" x14ac:dyDescent="0.25">
      <c r="A24" s="6" t="s">
        <v>167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6" ht="30" customHeight="1" spans="1:13" x14ac:dyDescent="0.25">
      <c r="A26" s="6" t="s">
        <v>168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 t="s">
        <v>169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</sheetData>
  <mergeCells count="15">
    <mergeCell ref="A1:M1"/>
    <mergeCell ref="A13:M13"/>
    <mergeCell ref="A14:M14"/>
    <mergeCell ref="A15:M15"/>
    <mergeCell ref="A16:M16"/>
    <mergeCell ref="A17:M17"/>
    <mergeCell ref="A18:M18"/>
    <mergeCell ref="A19:M19"/>
    <mergeCell ref="A20:M20"/>
    <mergeCell ref="A21:M21"/>
    <mergeCell ref="A22:M22"/>
    <mergeCell ref="A23:M23"/>
    <mergeCell ref="A24:M24"/>
    <mergeCell ref="A26:M26"/>
    <mergeCell ref="A27:M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B31"/>
  <sheetFormatPr defaultRowHeight="15" outlineLevelRow="0" outlineLevelCol="0" x14ac:dyDescent="55"/>
  <cols>
    <col min="1" max="1" width="62" customWidth="1"/>
    <col min="2" max="2" width="76" customWidth="1"/>
  </cols>
  <sheetData>
    <row r="1" ht="28" customHeight="1" spans="1:2" x14ac:dyDescent="0.25">
      <c r="A1" s="55" t="s">
        <v>170</v>
      </c>
      <c r="B1" s="55"/>
    </row>
    <row r="2" ht="30" customHeight="1" spans="1:2" x14ac:dyDescent="0.25">
      <c r="A2" s="56" t="s">
        <v>171</v>
      </c>
      <c r="B2" s="56"/>
    </row>
    <row r="4" spans="1:2" x14ac:dyDescent="0.25">
      <c r="A4" s="57" t="s">
        <v>172</v>
      </c>
      <c r="B4" s="57" t="s">
        <v>173</v>
      </c>
    </row>
    <row r="5" ht="32" customHeight="1" spans="1:2" x14ac:dyDescent="0.25">
      <c r="A5" s="58" t="s">
        <v>174</v>
      </c>
      <c r="B5" s="59" t="s">
        <v>175</v>
      </c>
    </row>
    <row r="6" ht="32" customHeight="1" spans="1:2" x14ac:dyDescent="0.25">
      <c r="A6" s="60" t="s">
        <v>176</v>
      </c>
      <c r="B6" s="61" t="s">
        <v>177</v>
      </c>
    </row>
    <row r="7" ht="32" customHeight="1" spans="1:2" x14ac:dyDescent="0.25">
      <c r="A7" s="58" t="s">
        <v>178</v>
      </c>
      <c r="B7" s="59" t="s">
        <v>179</v>
      </c>
    </row>
    <row r="8" ht="32" customHeight="1" spans="1:2" x14ac:dyDescent="0.25">
      <c r="A8" s="60" t="s">
        <v>180</v>
      </c>
      <c r="B8" s="61" t="s">
        <v>181</v>
      </c>
    </row>
    <row r="9" ht="32" customHeight="1" spans="1:2" x14ac:dyDescent="0.25">
      <c r="A9" s="58" t="s">
        <v>182</v>
      </c>
      <c r="B9" s="59" t="s">
        <v>183</v>
      </c>
    </row>
    <row r="10" ht="32" customHeight="1" spans="1:2" x14ac:dyDescent="0.25">
      <c r="A10" s="60" t="s">
        <v>184</v>
      </c>
      <c r="B10" s="61" t="s">
        <v>185</v>
      </c>
    </row>
    <row r="11" ht="32" customHeight="1" spans="1:2" x14ac:dyDescent="0.25">
      <c r="A11" s="58" t="s">
        <v>186</v>
      </c>
      <c r="B11" s="59" t="s">
        <v>187</v>
      </c>
    </row>
    <row r="12" ht="32" customHeight="1" spans="1:2" x14ac:dyDescent="0.25">
      <c r="A12" s="60" t="s">
        <v>188</v>
      </c>
      <c r="B12" s="61" t="s">
        <v>187</v>
      </c>
    </row>
    <row r="13" ht="32" customHeight="1" spans="1:2" x14ac:dyDescent="0.25">
      <c r="A13" s="58" t="s">
        <v>189</v>
      </c>
      <c r="B13" s="59" t="s">
        <v>187</v>
      </c>
    </row>
    <row r="14" ht="32" customHeight="1" spans="1:2" x14ac:dyDescent="0.25">
      <c r="A14" s="60" t="s">
        <v>190</v>
      </c>
      <c r="B14" s="61" t="s">
        <v>187</v>
      </c>
    </row>
    <row r="15" ht="32" customHeight="1" spans="1:2" x14ac:dyDescent="0.25">
      <c r="A15" s="58" t="s">
        <v>191</v>
      </c>
      <c r="B15" s="59" t="s">
        <v>187</v>
      </c>
    </row>
    <row r="16" ht="32" customHeight="1" spans="1:2" x14ac:dyDescent="0.25">
      <c r="A16" s="60" t="s">
        <v>192</v>
      </c>
      <c r="B16" s="61" t="s">
        <v>187</v>
      </c>
    </row>
    <row r="17" ht="32" customHeight="1" spans="1:2" x14ac:dyDescent="0.25">
      <c r="A17" s="58" t="s">
        <v>193</v>
      </c>
      <c r="B17" s="59" t="s">
        <v>187</v>
      </c>
    </row>
    <row r="18" ht="32" customHeight="1" spans="1:2" x14ac:dyDescent="0.25">
      <c r="A18" s="60" t="s">
        <v>194</v>
      </c>
      <c r="B18" s="61" t="s">
        <v>195</v>
      </c>
    </row>
    <row r="19" ht="32" customHeight="1" spans="1:2" x14ac:dyDescent="0.25">
      <c r="A19" s="58" t="s">
        <v>196</v>
      </c>
      <c r="B19" s="59" t="s">
        <v>197</v>
      </c>
    </row>
    <row r="20" ht="32" customHeight="1" spans="1:2" x14ac:dyDescent="0.25">
      <c r="A20" s="60" t="s">
        <v>198</v>
      </c>
      <c r="B20" s="61" t="s">
        <v>199</v>
      </c>
    </row>
    <row r="21" ht="32" customHeight="1" spans="1:2" x14ac:dyDescent="0.25">
      <c r="A21" s="58" t="s">
        <v>200</v>
      </c>
      <c r="B21" s="59" t="s">
        <v>201</v>
      </c>
    </row>
    <row r="22" ht="32" customHeight="1" spans="1:2" x14ac:dyDescent="0.25">
      <c r="A22" s="60" t="s">
        <v>202</v>
      </c>
      <c r="B22" s="61" t="s">
        <v>203</v>
      </c>
    </row>
    <row r="23" ht="32" customHeight="1" spans="1:2" x14ac:dyDescent="0.25">
      <c r="A23" s="58" t="s">
        <v>204</v>
      </c>
      <c r="B23" s="59" t="s">
        <v>205</v>
      </c>
    </row>
    <row r="24" ht="32" customHeight="1" spans="1:2" x14ac:dyDescent="0.25">
      <c r="A24" s="60" t="s">
        <v>206</v>
      </c>
      <c r="B24" s="61" t="s">
        <v>207</v>
      </c>
    </row>
    <row r="25" ht="32" customHeight="1" spans="1:2" x14ac:dyDescent="0.25">
      <c r="A25" s="58" t="s">
        <v>208</v>
      </c>
      <c r="B25" s="59" t="s">
        <v>209</v>
      </c>
    </row>
    <row r="27" spans="1:1" x14ac:dyDescent="0.25">
      <c r="A27" s="62" t="s">
        <v>210</v>
      </c>
    </row>
    <row r="28" spans="1:2" x14ac:dyDescent="0.25">
      <c r="A28" s="6" t="s">
        <v>211</v>
      </c>
      <c r="B28" s="6"/>
    </row>
    <row r="29" spans="1:2" x14ac:dyDescent="0.25">
      <c r="A29" s="6" t="s">
        <v>212</v>
      </c>
      <c r="B29" s="6"/>
    </row>
    <row r="31" spans="1:2" x14ac:dyDescent="0.25">
      <c r="A31" s="6" t="s">
        <v>213</v>
      </c>
      <c r="B31" s="6"/>
    </row>
  </sheetData>
  <mergeCells count="5">
    <mergeCell ref="A1:B1"/>
    <mergeCell ref="A2:B2"/>
    <mergeCell ref="A28:B28"/>
    <mergeCell ref="A29:B29"/>
    <mergeCell ref="A31:B31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  <hyperlink ref="B24" r:id="rId20"/>
    <hyperlink ref="B25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Liquidador</vt:lpstr>
      <vt:lpstr>Nómina</vt:lpstr>
      <vt:lpstr>Recibo</vt:lpstr>
      <vt:lpstr>SAC (Aguinaldo)</vt:lpstr>
      <vt:lpstr>Escala 2026</vt:lpstr>
      <vt:lpstr>Fuentes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 (calcular.ar)</dc:creator>
  <dc:title>Planilla de sueldos Camioneros 2026 — CCT 40/89</dc:title>
  <dc:subject>Liquidación de sueldos del transporte de cargas con las planillas firmadas de FADEEAC</dc:subject>
  <dc:description/>
  <cp:keywords>camioneros, cct 40/89, fadeeac, sueldo, viáticos, kilómetros, planilla, liquidación</cp:keywords>
  <cp:category/>
  <cp:lastModifiedBy>Unknown</cp:lastModifiedBy>
  <dcterms:created xsi:type="dcterms:W3CDTF">2026-10-10T08:36:42Z</dcterms:created>
  <dcterms:modified xsi:type="dcterms:W3CDTF">2026-10-10T08:36:42Z</dcterms:modified>
</cp:coreProperties>
</file>