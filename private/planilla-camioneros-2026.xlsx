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<sst xmlns="http://schemas.openxmlformats.org/spreadsheetml/2006/main" count="242" uniqueCount="214">
  <si>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</si>
  <si>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</si>
  <si>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</si>
  <si>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</si>
  <si>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</si>
  <si>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</si>
  <si>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</si>
  <si>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</si>
  <si>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</si>
  <si>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</si>
  <si>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</si>
  <si>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</si>
  <si>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</si>
  <si>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</si>
  <si>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febrero 2027 (Disposiciones DNRyRT 455/2026 y 1277/2026,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</si>
  <si>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</si>
  <si>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</si>
  <si>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</si>
  <si>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</si>
  <si>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octubre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</si>
  <si>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</si>
  <si>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llega hasta febrero 2027, la última planilla firmada publicada por FADEEAC. Cuando salga la siguiente, la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</si>
  <si>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</si>
  <si>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</si>
  <si>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</si>
  <si>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10/10/2026 · calcular.ar</t>
  </si>
  <si>
    <t>DATOS DEL TRABAJADOR</t>
  </si>
  <si>
    <t>Categoría</t>
  </si>
  <si>
    <t>Chofer de Primera</t>
  </si>
  <si>
    <t>Mes a liquidar</t>
  </si>
  <si>
    <t>Febrero 2027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</si>
  <si>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</si>
  <si>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</si>
  <si>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</si>
  <si>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</si>
  <si>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</si>
  <si>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</si>
  <si>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</si>
  <si>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</si>
  <si>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</si>
  <si>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</si>
  <si>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</si>
  <si>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</si>
  <si>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</si>
  <si>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</si>
  <si>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</si>
  <si>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</si>
  <si>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</si>
  <si>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</si>
  <si>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</si>
  <si>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</si>
  <si>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</si>
  <si>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</si>
  <si>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</si>
  <si>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</si>
  <si>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</si>
  <si>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</si>
  <si>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</si>
  <si>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</si>
  <si>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</si>
  <si>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</si>
  <si>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</si>
  <si>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</si>
  <si>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</si>
  <si>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</si>
  <si>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octubre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</si>
  <si>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</si>
  <si>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</si>
  <si>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</si>
  <si>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</si>
  <si>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</si>
  <si>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</si>
  <si>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</si>
  <si>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</si>
  <si>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</si>
  <si>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</si>
  <si>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</si>
  <si>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</si>
  <si>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</si>
  <si>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</si>
  <si>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</si>
  <si>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</si>
  <si>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</si>
  <si>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</si>
  <si>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</si>
  <si>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</si>
  <si>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</si>
  <si>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</si>
  <si>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</si>
  <si>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</si>
  <si>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</si>
  <si>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</si>
  <si>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</si>
  <si>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</si>
  <si>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</si>
  <si>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</si>
  <si>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</si>
  <si>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</si>
  <si>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</si>
  <si>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</si>
  <si>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</si>
  <si>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</si>
  <si>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</si>
  <si>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</si>
  <si>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</si>
  <si>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</si>
  <si>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</si>
  <si>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</si>
  <si>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</si>
  <si>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</si>
  <si>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</si>
  <si>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</si>
  <si>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</si>
  <si>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</si>
  <si>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</si>
  <si>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</si>
  <si>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</si>
  <si>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</si>
  <si>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</si>
  <si>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</si>
  <si>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</si>
  <si>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</si>
  <si>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</si>
  <si>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</si>
  <si>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</si>
  <si>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</si>
  <si>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</si>
  <si>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</si>
  <si>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</si>
  <si>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</si>
  <si>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</si>
  <si>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</si>
  <si>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</si>
  <si>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</si>
  <si>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</si>
  <si>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</si>
  <si>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</si>
  <si>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</si>
  <si>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</si>
  <si>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</si>
  <si>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</si>
  <si>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</si>
  <si>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</si>
  <si>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</si>
  <si>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</si>
  <si>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</si>
  <si>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</si>
  <si>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</si>
  <si>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</si>
  <si>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</si>
  <si>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</si>
  <si>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</si>
  <si>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</si>
  <si>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</si>
  <si>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</si>
  <si>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</si>
  <si>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</si>
  <si>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</si>
  <si>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</si>
  <si>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</si>
  <si>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</si>
  <si>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Desde septiembre rige el acuerdo del 18/9/2026.</t>
  </si>
  <si>
    <t>Septiembre 2026: Primer tramo del acuerdo del 18/9/2026: +1,8% sobre el básico de agosto. Además, suma no remunerativa de $18.000 por única vez con los haberes de septiembre (cláusula PRIMERA).</t>
  </si>
  <si>
    <t>Octubre 2026: Tramo de octubre: +1,7% sobre septiembre, y se incorporan al básico $12.252,86 de la suma no remunerativa de septiembre (al Chofer de Primera, y en proporción al resto). En total, +2,82%.</t>
  </si>
  <si>
    <t>Noviembre 2026: Tramo de noviembre: +1,7% sobre el básico de octubre.</t>
  </si>
  <si>
    <t>Diciembre 2026: Tramo de diciembre: +1,6% sobre el básico de noviembre. El acuerdo prevé una revisión en la primera quincena de diciembre contra la inflación de septiembre a noviembre.</t>
  </si>
  <si>
    <t>Enero 2027: Tramo de enero: +1,6% sobre el básico de diciembre. Además, empieza la asignación extraordinaria no remunerativa: 4 cuotas de $300.000 (enero a abril de 2027).</t>
  </si>
  <si>
    <t>Febrero 2027: Último tramo del acuerdo del 18/9/2026: +1,5% sobre el básico de enero. Hay una revisión pactada para la primera quincena de marzo de 2027.</t>
  </si>
  <si>
    <t>La escala llega hasta febrero 2027, la última planilla firmada publicada por FADEEAC. Cuando salga la siguiente, la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</si>
  <si>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</si>
  <si>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</si>
  <si>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10/10/2026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</si>
  <si>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</si>
  <si>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</si>
  <si>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</si>
  <si>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</si>
  <si>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</si>
  <si>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</si>
  <si>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</si>
  <si>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</si>
  <si>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</si>
  <si>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</si>
  <si>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</si>
  <si>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</si>
  <si>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</si>
  <si>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</si>
  <si>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FADEEAC — planilla salarial firmada de septiembre 2026 (CCT 40/89)</t>
  </si>
  <si>
    <t>https://www.fadeeac.org.ar/wp-content/uploads/2026/10/3-Planillas-salariales-acuerdo-SEPT-2026-a-FEB-2027.pdf</t>
  </si>
  <si>
    <t>FADEEAC — planilla salarial firmada de octubre 2026 (CCT 40/89)</t>
  </si>
  <si>
    <t>FADEEAC — planilla salarial firmada de noviembre 2026 (CCT 40/89)</t>
  </si>
  <si>
    <t>FADEEAC — planilla salarial firmada de diciembre 2026 (CCT 40/89)</t>
  </si>
  <si>
    <t>FADEEAC — planilla salarial firmada de enero 2027 (CCT 40/89)</t>
  </si>
  <si>
    <t>FADEEAC — planilla salarial firmada de febrero 2027 (CCT 40/89)</t>
  </si>
  <si>
    <t>Viáticos y adicionales (hoja 2 de la planilla de octubre 2026) — verificado el 10/10/2026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</si>
  <si>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</si>
  <si>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</si>
  <si>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</si>
  <si>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</si>
  <si>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</si>
  <si>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</si>
  <si>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Acuerdo paritario del 18/9/2026: CCT 40/89 (septiembre 2026 a febrero 2027), PDF firmado</t>
  </si>
  <si>
    <t>https://www.fadeeac.org.ar/wp-content/uploads/2026/10/1-Acuerdo-paritario-Sep-2026-Feb2027.pdf</t>
  </si>
  <si>
    <t>Disposición DNRyRT 1277/2026: homologación del acuerdo del 18/9/2026</t>
  </si>
  <si>
    <t>https://www.fadeeac.org.ar/wp-content/uploads/2026/10/Disp.-1277-26-Homolog.-paritaria-sep26-Feb27.pdf</t>
  </si>
  <si>
    <t>Acuerdo del 18/9/2026: asignación extraordinaria no remunerativa de $1.200.000 (4 cuotas de $300.000 desde enero 2027)</t>
  </si>
  <si>
    <t>https://www.fadeeac.org.ar/wp-content/uploads/2026/10/2-Acuerdo-Asignacion-Ext.No-Remunerativa.pdf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</si>
  <si>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</si>
  <si>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</si>
  <si>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</si>
  <si>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</si>
  <si>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</si>
  <si>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</si>
  <si>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Disposición DNRyRT 1277/2026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</si>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</sst>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10/3-Planillas-salariales-acuerdo-SEPT-2026-a-FEB-2027.pdf" TargetMode="External"/><Relationship Id="rId8" Type="http://schemas.openxmlformats.org/officeDocument/2006/relationships/hyperlink" Target="https://www.fadeeac.org.ar/wp-content/uploads/2026/10/3-Planillas-salariales-acuerdo-SEPT-2026-a-FEB-2027.pdf" TargetMode="External"/><Relationship Id="rId9" Type="http://schemas.openxmlformats.org/officeDocument/2006/relationships/hyperlink" Target="https://www.fadeeac.org.ar/wp-content/uploads/2026/10/3-Planillas-salariales-acuerdo-SEPT-2026-a-FEB-2027.pdf" TargetMode="External"/><Relationship Id="rId10" Type="http://schemas.openxmlformats.org/officeDocument/2006/relationships/hyperlink" Target="https://www.fadeeac.org.ar/wp-content/uploads/2026/10/3-Planillas-salariales-acuerdo-SEPT-2026-a-FEB-2027.pdf" TargetMode="External"/><Relationship Id="rId11" Type="http://schemas.openxmlformats.org/officeDocument/2006/relationships/hyperlink" Target="https://www.fadeeac.org.ar/wp-content/uploads/2026/10/3-Planillas-salariales-acuerdo-SEPT-2026-a-FEB-2027.pdf" TargetMode="External"/><Relationship Id="rId12" Type="http://schemas.openxmlformats.org/officeDocument/2006/relationships/hyperlink" Target="https://www.fadeeac.org.ar/wp-content/uploads/2026/10/3-Planillas-salariales-acuerdo-SEPT-2026-a-FEB-2027.pdf" TargetMode="External"/><Relationship Id="rId13" Type="http://schemas.openxmlformats.org/officeDocument/2006/relationships/hyperlink" Target="https://www.fadeeac.org.ar/wp-content/uploads/2026/10/3-Planillas-salariales-acuerdo-SEPT-2026-a-FEB-2027.pdf" TargetMode="External"/><Relationship Id="rId14" Type="http://schemas.openxmlformats.org/officeDocument/2006/relationships/hyperlink" Target="https://www.fadeeac.org.ar/wp-content/uploads/2026/03/Acuerdo-Paritario-13-3-26.pdf" TargetMode="External"/><Relationship Id="rId15" Type="http://schemas.openxmlformats.org/officeDocument/2006/relationships/hyperlink" Target="https://www.fadeeac.org.ar/wp-content/uploads/2026/03/Disp.-455-26-HOMOLOGACION-acuerdo-13-3-26.pdf" TargetMode="External"/><Relationship Id="rId16" Type="http://schemas.openxmlformats.org/officeDocument/2006/relationships/hyperlink" Target="https://www.fadeeac.org.ar/wp-content/uploads/2026/08/REVISION-Acuerdo-Julio-Agosto-2026.pdf" TargetMode="External"/><Relationship Id="rId17" Type="http://schemas.openxmlformats.org/officeDocument/2006/relationships/hyperlink" Target="https://www.fadeeac.org.ar/wp-content/uploads/2026/10/1-Acuerdo-paritario-Sep-2026-Feb2027.pdf" TargetMode="External"/><Relationship Id="rId18" Type="http://schemas.openxmlformats.org/officeDocument/2006/relationships/hyperlink" Target="https://www.fadeeac.org.ar/wp-content/uploads/2026/10/Disp.-1277-26-Homolog.-paritaria-sep26-Feb27.pdf" TargetMode="External"/><Relationship Id="rId19" Type="http://schemas.openxmlformats.org/officeDocument/2006/relationships/hyperlink" Target="https://www.fadeeac.org.ar/wp-content/uploads/2026/10/2-Acuerdo-Asignacion-Ext.No-Remunerativa.pdf" TargetMode="External"/><Relationship Id="rId20" Type="http://schemas.openxmlformats.org/officeDocument/2006/relationships/hyperlink" Target="https://www.argentina.gob.ar/normativa/nacional/ley-23041-1983-28165" TargetMode="External"/><Relationship Id="rId21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2026'!$B$2:$M$2,0)</f>
      </c>
    </row>
    <row r="6" spans="1:4" x14ac:dyDescent="0.25">
      <c r="A6" s="9" t="s">
        <v>29</v>
      </c>
      <c r="B6" s="10" t="s">
        <v>30</v>
      </c>
      <c r="D6">
        <f>INDEX('Escala 2026'!$B$3:$M$11,MATCH(B5,'Escala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90.09389</v>
      </c>
      <c r="C32" s="20">
        <f>IF(B6="Octubre 2026","Valores de la planilla firmada de octubre 2026","Ojo: son los valores de octubre 2026. Reemplazalos por los de la planilla de "&amp;B6)</f>
      </c>
    </row>
    <row r="33" spans="1:3" x14ac:dyDescent="0.25">
      <c r="A33" s="9" t="s">
        <v>67</v>
      </c>
      <c r="B33" s="14">
        <v>17231.89</v>
      </c>
      <c r="C33" s="20"/>
    </row>
    <row r="34" spans="1:3" x14ac:dyDescent="0.25">
      <c r="A34" s="9" t="s">
        <v>68</v>
      </c>
      <c r="B34" s="14">
        <v>8646.93</v>
      </c>
      <c r="C34" s="20"/>
    </row>
    <row r="35" spans="1:3" x14ac:dyDescent="0.25">
      <c r="A35" s="9" t="s">
        <v>69</v>
      </c>
      <c r="B35" s="14">
        <v>20070.36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2026,Septiembre 2026,Octubre 2026,Noviembre 2026,Diciembre 2026,Enero 2027,Febrero 2027"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2026'!$B$3:$M$11,MATCH(B6,'Escala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2026'!$B$3:$M$11,MATCH(B7,'Escala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2026'!$B$3:$M$11,MATCH(B8,'Escala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2026'!$B$3:$M$11,MATCH(B9,'Escala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2026'!$B$3:$M$11,MATCH(B10,'Escala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2026'!$B$3:$M$11,MATCH(B11,'Escala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2026'!$B$3:$M$11,MATCH(B12,'Escala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2026'!$B$3:$M$11,MATCH(B13,'Escala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2026'!$B$3:$M$11,MATCH(B14,'Escala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2026'!$B$3:$M$11,MATCH(B15,'Escala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2026'!$B$3:$M$11,MATCH(B16,'Escala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2026'!$B$3:$M$11,MATCH(B17,'Escala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2026'!$B$3:$M$11,MATCH(B18,'Escala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2026'!$B$3:$M$11,MATCH(B19,'Escala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2026'!$B$3:$M$11,MATCH(B20,'Escala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2026'!$B$3:$M$11,MATCH(B21,'Escala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2026'!$B$3:$M$11,MATCH(B22,'Escala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2026'!$B$3:$M$11,MATCH(B23,'Escala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2026'!$B$3:$M$11,MATCH(B24,'Escala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2026'!$B$3:$M$11,MATCH(B25,'Escala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2026'!$B$3:$M$11,MATCH(B26,'Escala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2026'!$B$3:$M$11,MATCH(B27,'Escala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2026'!$B$3:$M$11,MATCH(B28,'Escala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2026'!$B$3:$M$11,MATCH(B29,'Escala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2026'!$B$3:$M$11,MATCH(B30,'Escala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2026'!$B$3:$M$11,MATCH(B31,'Escala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2026'!$B$3:$M$11,MATCH(B32,'Escala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2026'!$B$3:$M$11,MATCH(B33,'Escala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2026'!$B$3:$M$11,MATCH(B34,'Escala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2026'!$B$3:$M$11,MATCH(B35,'Escala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M2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13" width="16" customWidth="1"/>
  </cols>
  <sheetData>
    <row r="1" ht="28" customHeight="1" spans="1:13" x14ac:dyDescent="0.25">
      <c r="A1" s="49" t="s">
        <v>136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</row>
    <row r="2" spans="1:13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30</v>
      </c>
    </row>
    <row r="3" spans="1:13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  <c r="H3" s="52">
        <v>1095276.83</v>
      </c>
      <c r="I3" s="52">
        <v>1126149.4</v>
      </c>
      <c r="J3" s="52">
        <v>1145293.94</v>
      </c>
      <c r="K3" s="52">
        <v>1163618.64</v>
      </c>
      <c r="L3" s="52">
        <v>1182236.54</v>
      </c>
      <c r="M3" s="52">
        <v>1199970.09</v>
      </c>
    </row>
    <row r="4" spans="1:13" x14ac:dyDescent="0.25">
      <c r="A4" s="53" t="s">
        <v>148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  <c r="H4" s="54">
        <v>1075758.58</v>
      </c>
      <c r="I4" s="54">
        <v>1106080.99</v>
      </c>
      <c r="J4" s="54">
        <v>1124884.37</v>
      </c>
      <c r="K4" s="54">
        <v>1142882.52</v>
      </c>
      <c r="L4" s="54">
        <v>1161168.64</v>
      </c>
      <c r="M4" s="54">
        <v>1178586.17</v>
      </c>
    </row>
    <row r="5" spans="1:13" x14ac:dyDescent="0.25">
      <c r="A5" s="51" t="s">
        <v>149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  <c r="H5" s="52">
        <v>1056220.57</v>
      </c>
      <c r="I5" s="52">
        <v>1085992.26</v>
      </c>
      <c r="J5" s="52">
        <v>1104454.13</v>
      </c>
      <c r="K5" s="52">
        <v>1122125.4</v>
      </c>
      <c r="L5" s="52">
        <v>1140079.41</v>
      </c>
      <c r="M5" s="52">
        <v>1157180.6</v>
      </c>
    </row>
    <row r="6" spans="1:13" x14ac:dyDescent="0.25">
      <c r="A6" s="53" t="s">
        <v>150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  <c r="H6" s="54">
        <v>1029405.64</v>
      </c>
      <c r="I6" s="54">
        <v>1058421.5</v>
      </c>
      <c r="J6" s="54">
        <v>1076414.67</v>
      </c>
      <c r="K6" s="54">
        <v>1093637.3</v>
      </c>
      <c r="L6" s="54">
        <v>1111135.5</v>
      </c>
      <c r="M6" s="54">
        <v>1127802.53</v>
      </c>
    </row>
    <row r="7" spans="1:13" x14ac:dyDescent="0.25">
      <c r="A7" s="51" t="s">
        <v>151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  <c r="H7" s="52">
        <v>1000329.49</v>
      </c>
      <c r="I7" s="52">
        <v>1028525.78</v>
      </c>
      <c r="J7" s="52">
        <v>1046010.72</v>
      </c>
      <c r="K7" s="52">
        <v>1062746.89</v>
      </c>
      <c r="L7" s="52">
        <v>1079750.84</v>
      </c>
      <c r="M7" s="52">
        <v>1095947.1</v>
      </c>
    </row>
    <row r="8" spans="1:13" x14ac:dyDescent="0.25">
      <c r="A8" s="53" t="s">
        <v>152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  <c r="H8" s="54">
        <v>981158.36</v>
      </c>
      <c r="I8" s="54">
        <v>1008814.27</v>
      </c>
      <c r="J8" s="54">
        <v>1025964.11</v>
      </c>
      <c r="K8" s="54">
        <v>1042379.54</v>
      </c>
      <c r="L8" s="54">
        <v>1059057.61</v>
      </c>
      <c r="M8" s="54">
        <v>1074943.47</v>
      </c>
    </row>
    <row r="9" spans="1:13" x14ac:dyDescent="0.25">
      <c r="A9" s="51" t="s">
        <v>153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  <c r="H9" s="52">
        <v>1219842.46</v>
      </c>
      <c r="I9" s="52">
        <v>1254226.16</v>
      </c>
      <c r="J9" s="52">
        <v>1275548</v>
      </c>
      <c r="K9" s="52">
        <v>1295956.77</v>
      </c>
      <c r="L9" s="52">
        <v>1316692.08</v>
      </c>
      <c r="M9" s="52">
        <v>1336442.46</v>
      </c>
    </row>
    <row r="10" spans="1:13" x14ac:dyDescent="0.25">
      <c r="A10" s="53" t="s">
        <v>154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  <c r="H10" s="54">
        <v>1099667.65</v>
      </c>
      <c r="I10" s="54">
        <v>1130663.98</v>
      </c>
      <c r="J10" s="54">
        <v>1149885.27</v>
      </c>
      <c r="K10" s="54">
        <v>1168283.43</v>
      </c>
      <c r="L10" s="54">
        <v>1186975.96</v>
      </c>
      <c r="M10" s="54">
        <v>1204780.6</v>
      </c>
    </row>
    <row r="11" spans="1:13" x14ac:dyDescent="0.25">
      <c r="A11" s="51" t="s">
        <v>155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  <c r="H11" s="52">
        <v>1038812.59</v>
      </c>
      <c r="I11" s="52">
        <v>1068093.6</v>
      </c>
      <c r="J11" s="52">
        <v>1086251.19</v>
      </c>
      <c r="K11" s="52">
        <v>1103631.21</v>
      </c>
      <c r="L11" s="52">
        <v>1121289.31</v>
      </c>
      <c r="M11" s="52">
        <v>1138108.65</v>
      </c>
    </row>
    <row r="13" ht="28" customHeight="1" spans="1:13" x14ac:dyDescent="0.25">
      <c r="A13" s="6" t="s">
        <v>156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ht="28" customHeight="1" spans="1:13" x14ac:dyDescent="0.25">
      <c r="A14" s="6" t="s">
        <v>157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ht="28" customHeight="1" spans="1:13" x14ac:dyDescent="0.25">
      <c r="A15" s="6" t="s">
        <v>158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ht="28" customHeight="1" spans="1:13" x14ac:dyDescent="0.25">
      <c r="A16" s="6" t="s">
        <v>159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ht="28" customHeight="1" spans="1:13" x14ac:dyDescent="0.25">
      <c r="A17" s="6" t="s">
        <v>160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ht="28" customHeight="1" spans="1:13" x14ac:dyDescent="0.25">
      <c r="A18" s="6" t="s">
        <v>161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ht="28" customHeight="1" spans="1:13" x14ac:dyDescent="0.25">
      <c r="A19" s="6" t="s">
        <v>162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ht="28" customHeight="1" spans="1:13" x14ac:dyDescent="0.25">
      <c r="A20" s="6" t="s">
        <v>163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ht="28" customHeight="1" spans="1:13" x14ac:dyDescent="0.25">
      <c r="A21" s="6" t="s">
        <v>164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ht="28" customHeight="1" spans="1:13" x14ac:dyDescent="0.25">
      <c r="A22" s="6" t="s">
        <v>165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ht="28" customHeight="1" spans="1:13" x14ac:dyDescent="0.25">
      <c r="A23" s="6" t="s">
        <v>166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ht="28" customHeight="1" spans="1:13" x14ac:dyDescent="0.25">
      <c r="A24" s="6" t="s">
        <v>167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6" ht="30" customHeight="1" spans="1:13" x14ac:dyDescent="0.25">
      <c r="A26" s="6" t="s">
        <v>168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x14ac:dyDescent="0.25">
      <c r="A27" s="6" t="s">
        <v>169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</sheetData>
  <mergeCells count="15">
    <mergeCell ref="A1:M1"/>
    <mergeCell ref="A13:M13"/>
    <mergeCell ref="A14:M14"/>
    <mergeCell ref="A15:M15"/>
    <mergeCell ref="A16:M16"/>
    <mergeCell ref="A17:M17"/>
    <mergeCell ref="A18:M18"/>
    <mergeCell ref="A19:M19"/>
    <mergeCell ref="A20:M20"/>
    <mergeCell ref="A21:M21"/>
    <mergeCell ref="A22:M22"/>
    <mergeCell ref="A23:M23"/>
    <mergeCell ref="A24:M24"/>
    <mergeCell ref="A26:M26"/>
    <mergeCell ref="A27:M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3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170</v>
      </c>
      <c r="B1" s="55"/>
    </row>
    <row r="2" ht="30" customHeight="1" spans="1:2" x14ac:dyDescent="0.25">
      <c r="A2" s="56" t="s">
        <v>171</v>
      </c>
      <c r="B2" s="56"/>
    </row>
    <row r="4" spans="1:2" x14ac:dyDescent="0.25">
      <c r="A4" s="57" t="s">
        <v>172</v>
      </c>
      <c r="B4" s="57" t="s">
        <v>173</v>
      </c>
    </row>
    <row r="5" ht="32" customHeight="1" spans="1:2" x14ac:dyDescent="0.25">
      <c r="A5" s="58" t="s">
        <v>174</v>
      </c>
      <c r="B5" s="59" t="s">
        <v>175</v>
      </c>
    </row>
    <row r="6" ht="32" customHeight="1" spans="1:2" x14ac:dyDescent="0.25">
      <c r="A6" s="60" t="s">
        <v>176</v>
      </c>
      <c r="B6" s="61" t="s">
        <v>177</v>
      </c>
    </row>
    <row r="7" ht="32" customHeight="1" spans="1:2" x14ac:dyDescent="0.25">
      <c r="A7" s="58" t="s">
        <v>178</v>
      </c>
      <c r="B7" s="59" t="s">
        <v>179</v>
      </c>
    </row>
    <row r="8" ht="32" customHeight="1" spans="1:2" x14ac:dyDescent="0.25">
      <c r="A8" s="60" t="s">
        <v>180</v>
      </c>
      <c r="B8" s="61" t="s">
        <v>181</v>
      </c>
    </row>
    <row r="9" ht="32" customHeight="1" spans="1:2" x14ac:dyDescent="0.25">
      <c r="A9" s="58" t="s">
        <v>182</v>
      </c>
      <c r="B9" s="59" t="s">
        <v>183</v>
      </c>
    </row>
    <row r="10" ht="32" customHeight="1" spans="1:2" x14ac:dyDescent="0.25">
      <c r="A10" s="60" t="s">
        <v>184</v>
      </c>
      <c r="B10" s="61" t="s">
        <v>185</v>
      </c>
    </row>
    <row r="11" ht="32" customHeight="1" spans="1:2" x14ac:dyDescent="0.25">
      <c r="A11" s="58" t="s">
        <v>186</v>
      </c>
      <c r="B11" s="59" t="s">
        <v>187</v>
      </c>
    </row>
    <row r="12" ht="32" customHeight="1" spans="1:2" x14ac:dyDescent="0.25">
      <c r="A12" s="60" t="s">
        <v>188</v>
      </c>
      <c r="B12" s="61" t="s">
        <v>187</v>
      </c>
    </row>
    <row r="13" ht="32" customHeight="1" spans="1:2" x14ac:dyDescent="0.25">
      <c r="A13" s="58" t="s">
        <v>189</v>
      </c>
      <c r="B13" s="59" t="s">
        <v>187</v>
      </c>
    </row>
    <row r="14" ht="32" customHeight="1" spans="1:2" x14ac:dyDescent="0.25">
      <c r="A14" s="60" t="s">
        <v>190</v>
      </c>
      <c r="B14" s="61" t="s">
        <v>187</v>
      </c>
    </row>
    <row r="15" ht="32" customHeight="1" spans="1:2" x14ac:dyDescent="0.25">
      <c r="A15" s="58" t="s">
        <v>191</v>
      </c>
      <c r="B15" s="59" t="s">
        <v>187</v>
      </c>
    </row>
    <row r="16" ht="32" customHeight="1" spans="1:2" x14ac:dyDescent="0.25">
      <c r="A16" s="60" t="s">
        <v>192</v>
      </c>
      <c r="B16" s="61" t="s">
        <v>187</v>
      </c>
    </row>
    <row r="17" ht="32" customHeight="1" spans="1:2" x14ac:dyDescent="0.25">
      <c r="A17" s="58" t="s">
        <v>193</v>
      </c>
      <c r="B17" s="59" t="s">
        <v>187</v>
      </c>
    </row>
    <row r="18" ht="32" customHeight="1" spans="1:2" x14ac:dyDescent="0.25">
      <c r="A18" s="60" t="s">
        <v>194</v>
      </c>
      <c r="B18" s="61" t="s">
        <v>195</v>
      </c>
    </row>
    <row r="19" ht="32" customHeight="1" spans="1:2" x14ac:dyDescent="0.25">
      <c r="A19" s="58" t="s">
        <v>196</v>
      </c>
      <c r="B19" s="59" t="s">
        <v>197</v>
      </c>
    </row>
    <row r="20" ht="32" customHeight="1" spans="1:2" x14ac:dyDescent="0.25">
      <c r="A20" s="60" t="s">
        <v>198</v>
      </c>
      <c r="B20" s="61" t="s">
        <v>199</v>
      </c>
    </row>
    <row r="21" ht="32" customHeight="1" spans="1:2" x14ac:dyDescent="0.25">
      <c r="A21" s="58" t="s">
        <v>200</v>
      </c>
      <c r="B21" s="59" t="s">
        <v>201</v>
      </c>
    </row>
    <row r="22" ht="32" customHeight="1" spans="1:2" x14ac:dyDescent="0.25">
      <c r="A22" s="60" t="s">
        <v>202</v>
      </c>
      <c r="B22" s="61" t="s">
        <v>203</v>
      </c>
    </row>
    <row r="23" ht="32" customHeight="1" spans="1:2" x14ac:dyDescent="0.25">
      <c r="A23" s="58" t="s">
        <v>204</v>
      </c>
      <c r="B23" s="59" t="s">
        <v>205</v>
      </c>
    </row>
    <row r="24" ht="32" customHeight="1" spans="1:2" x14ac:dyDescent="0.25">
      <c r="A24" s="60" t="s">
        <v>206</v>
      </c>
      <c r="B24" s="61" t="s">
        <v>207</v>
      </c>
    </row>
    <row r="25" ht="32" customHeight="1" spans="1:2" x14ac:dyDescent="0.25">
      <c r="A25" s="58" t="s">
        <v>208</v>
      </c>
      <c r="B25" s="59" t="s">
        <v>209</v>
      </c>
    </row>
    <row r="27" spans="1:1" x14ac:dyDescent="0.25">
      <c r="A27" s="62" t="s">
        <v>210</v>
      </c>
    </row>
    <row r="28" spans="1:2" x14ac:dyDescent="0.25">
      <c r="A28" s="6" t="s">
        <v>211</v>
      </c>
      <c r="B28" s="6"/>
    </row>
    <row r="29" spans="1:2" x14ac:dyDescent="0.25">
      <c r="A29" s="6" t="s">
        <v>212</v>
      </c>
      <c r="B29" s="6"/>
    </row>
    <row r="31" spans="1:2" x14ac:dyDescent="0.25">
      <c r="A31" s="6" t="s">
        <v>213</v>
      </c>
      <c r="B31" s="6"/>
    </row>
  </sheetData>
  <mergeCells count="5">
    <mergeCell ref="A1:B1"/>
    <mergeCell ref="A2:B2"/>
    <mergeCell ref="A28:B28"/>
    <mergeCell ref="A29:B29"/>
    <mergeCell ref="A31:B3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  <hyperlink ref="B20" r:id="rId16"/>
    <hyperlink ref="B21" r:id="rId17"/>
    <hyperlink ref="B22" r:id="rId18"/>
    <hyperlink ref="B23" r:id="rId19"/>
    <hyperlink ref="B24" r:id="rId20"/>
    <hyperlink ref="B25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2026-10-13T05:11:29Z</dcterms:created>
  <dcterms:modified xsi:type="dcterms:W3CDTF">2026-10-13T05:11:29Z</dcterms:modified>
</cp:coreProperties>
</file>