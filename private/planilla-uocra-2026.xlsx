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<sst xmlns="http://schemas.openxmlformats.org/spreadsheetml/2006/main" count="205" uniqueCount="128">
  <si>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</si>
  <si>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</si>
  <si>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</si>
  <si>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</si>
  <si>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</si>
  <si>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</si>
  <si>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</si>
  <si>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</si>
  <si>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</si>
  <si>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</si>
  <si>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</si>
  <si>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</si>
  <si>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</si>
  <si>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</si>
  <si>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</si>
  <si>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</si>
  <si>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</si>
  <si>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</si>
  <si>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Próxima paritaria: 20 de julio de 2026 (define septiembre en adelante).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</si>
  <si>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</si>
  <si>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</si>
  <si>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</si>
  <si>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</si>
  <si>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</si>
  <si>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</si>
  <si>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</si>
  <si>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</si>
  <si>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</si>
  <si>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</si>
  <si>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</si>
  <si>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</si>
  <si>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</si>
  <si>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</si>
  <si>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</si>
  <si>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</si>
  <si>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</si>
  <si>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</si>
  <si>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</si>
  <si>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</si>
  <si>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</si>
  <si>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</si>
  <si>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</si>
  <si>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</si>
  <si>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</si>
  <si>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</si>
  <si>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</si>
  <si>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</si>
  <si>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</si>
  <si>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</si>
  <si>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</si>
  <si>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</si>
  <si>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</si>
  <si>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</si>
  <si>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</si>
  <si>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</si>
  <si>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</si>
  <si>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</si>
  <si>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</si>
  <si>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</si>
  <si>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</si>
  <si>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</si>
  <si>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</si>
  <si>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</si>
  <si>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</si>
  <si>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</si>
  <si>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</si>
  <si>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</si>
  <si>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</si>
  <si>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</si>
  <si>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</si>
  <si>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</si>
  <si>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</si>
  <si>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</si>
  <si>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</si>
  <si>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</si>
  <si>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</si>
  <si>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</si>
  <si>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</si>
  <si>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</si>
  <si>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</si>
  <si>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</si>
  <si>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30 de julio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</si>
  <si>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</si>
  <si>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</si>
  <si>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30 de julio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</si>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</sst>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H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8" width="15" customWidth="1"/>
  </cols>
  <sheetData>
    <row r="1" ht="28" customHeight="1" spans="1:8" x14ac:dyDescent="0.25">
      <c r="A1" s="7" t="s">
        <v>21</v>
      </c>
      <c r="B1" s="7"/>
      <c r="C1" s="7"/>
      <c r="D1" s="7"/>
      <c r="E1" s="7"/>
      <c r="F1" s="7"/>
      <c r="G1" s="7"/>
      <c r="H1" s="7"/>
    </row>
    <row r="2" ht="22" customHeight="1" spans="1:8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</row>
    <row r="3" spans="1:8" x14ac:dyDescent="0.25">
      <c r="A3" s="9" t="s">
        <v>30</v>
      </c>
      <c r="B3" s="10" t="s">
        <v>31</v>
      </c>
      <c r="C3" s="10" t="s">
        <v>32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</row>
    <row r="4" spans="1:8" x14ac:dyDescent="0.25">
      <c r="A4" s="12" t="s">
        <v>33</v>
      </c>
      <c r="B4" s="13" t="s">
        <v>31</v>
      </c>
      <c r="C4" s="13" t="s">
        <v>34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</row>
    <row r="5" spans="1:8" x14ac:dyDescent="0.25">
      <c r="A5" s="9" t="s">
        <v>35</v>
      </c>
      <c r="B5" s="10" t="s">
        <v>31</v>
      </c>
      <c r="C5" s="10" t="s">
        <v>36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</row>
    <row r="6" spans="1:8" x14ac:dyDescent="0.25">
      <c r="A6" s="12" t="s">
        <v>37</v>
      </c>
      <c r="B6" s="13" t="s">
        <v>31</v>
      </c>
      <c r="C6" s="13" t="s">
        <v>38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</row>
    <row r="7" spans="1:8" x14ac:dyDescent="0.25">
      <c r="A7" s="9" t="s">
        <v>39</v>
      </c>
      <c r="B7" s="10" t="s">
        <v>40</v>
      </c>
      <c r="C7" s="10" t="s">
        <v>32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</row>
    <row r="8" spans="1:8" x14ac:dyDescent="0.25">
      <c r="A8" s="12" t="s">
        <v>41</v>
      </c>
      <c r="B8" s="13" t="s">
        <v>40</v>
      </c>
      <c r="C8" s="13" t="s">
        <v>34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</row>
    <row r="9" spans="1:8" x14ac:dyDescent="0.25">
      <c r="A9" s="9" t="s">
        <v>42</v>
      </c>
      <c r="B9" s="10" t="s">
        <v>40</v>
      </c>
      <c r="C9" s="10" t="s">
        <v>36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</row>
    <row r="10" spans="1:8" x14ac:dyDescent="0.25">
      <c r="A10" s="12" t="s">
        <v>43</v>
      </c>
      <c r="B10" s="13" t="s">
        <v>40</v>
      </c>
      <c r="C10" s="13" t="s">
        <v>38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</row>
    <row r="11" spans="1:8" x14ac:dyDescent="0.25">
      <c r="A11" s="9" t="s">
        <v>44</v>
      </c>
      <c r="B11" s="10" t="s">
        <v>45</v>
      </c>
      <c r="C11" s="10" t="s">
        <v>32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</row>
    <row r="12" spans="1:8" x14ac:dyDescent="0.25">
      <c r="A12" s="12" t="s">
        <v>46</v>
      </c>
      <c r="B12" s="13" t="s">
        <v>45</v>
      </c>
      <c r="C12" s="13" t="s">
        <v>34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</row>
    <row r="13" spans="1:8" x14ac:dyDescent="0.25">
      <c r="A13" s="9" t="s">
        <v>47</v>
      </c>
      <c r="B13" s="10" t="s">
        <v>45</v>
      </c>
      <c r="C13" s="10" t="s">
        <v>36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</row>
    <row r="14" spans="1:8" x14ac:dyDescent="0.25">
      <c r="A14" s="12" t="s">
        <v>48</v>
      </c>
      <c r="B14" s="13" t="s">
        <v>45</v>
      </c>
      <c r="C14" s="13" t="s">
        <v>38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</row>
    <row r="15" spans="1:8" x14ac:dyDescent="0.25">
      <c r="A15" s="9" t="s">
        <v>49</v>
      </c>
      <c r="B15" s="10" t="s">
        <v>50</v>
      </c>
      <c r="C15" s="10" t="s">
        <v>32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</row>
    <row r="16" spans="1:8" x14ac:dyDescent="0.25">
      <c r="A16" s="12" t="s">
        <v>51</v>
      </c>
      <c r="B16" s="13" t="s">
        <v>50</v>
      </c>
      <c r="C16" s="13" t="s">
        <v>34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</row>
    <row r="17" spans="1:8" x14ac:dyDescent="0.25">
      <c r="A17" s="9" t="s">
        <v>52</v>
      </c>
      <c r="B17" s="10" t="s">
        <v>50</v>
      </c>
      <c r="C17" s="10" t="s">
        <v>36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</row>
    <row r="18" spans="1:8" x14ac:dyDescent="0.25">
      <c r="A18" s="12" t="s">
        <v>53</v>
      </c>
      <c r="B18" s="13" t="s">
        <v>50</v>
      </c>
      <c r="C18" s="13" t="s">
        <v>38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</row>
    <row r="19" spans="1:8" x14ac:dyDescent="0.25">
      <c r="A19" s="9" t="s">
        <v>54</v>
      </c>
      <c r="B19" s="10" t="s">
        <v>55</v>
      </c>
      <c r="C19" s="10" t="s">
        <v>32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</row>
    <row r="20" spans="1:8" x14ac:dyDescent="0.25">
      <c r="A20" s="12" t="s">
        <v>56</v>
      </c>
      <c r="B20" s="13" t="s">
        <v>55</v>
      </c>
      <c r="C20" s="13" t="s">
        <v>34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</row>
    <row r="21" spans="1:8" x14ac:dyDescent="0.25">
      <c r="A21" s="9" t="s">
        <v>57</v>
      </c>
      <c r="B21" s="10" t="s">
        <v>55</v>
      </c>
      <c r="C21" s="10" t="s">
        <v>36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</row>
    <row r="22" spans="1:8" x14ac:dyDescent="0.25">
      <c r="A22" s="12" t="s">
        <v>58</v>
      </c>
      <c r="B22" s="13" t="s">
        <v>55</v>
      </c>
      <c r="C22" s="13" t="s">
        <v>38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</row>
    <row r="23" spans="1:8" x14ac:dyDescent="0.25">
      <c r="A23" s="15" t="s">
        <v>59</v>
      </c>
      <c r="B23" s="15"/>
      <c r="C23" s="15"/>
      <c r="D23" s="15"/>
      <c r="E23" s="15"/>
      <c r="F23" s="15"/>
      <c r="G23" s="15"/>
      <c r="H23" s="15"/>
    </row>
    <row r="24" spans="1:8" x14ac:dyDescent="0.25">
      <c r="A24" s="9" t="s">
        <v>60</v>
      </c>
      <c r="B24" s="10" t="s">
        <v>31</v>
      </c>
      <c r="C24" s="10" t="s">
        <v>32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</row>
    <row r="25" spans="1:8" x14ac:dyDescent="0.25">
      <c r="A25" s="12" t="s">
        <v>61</v>
      </c>
      <c r="B25" s="13" t="s">
        <v>31</v>
      </c>
      <c r="C25" s="13" t="s">
        <v>34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</row>
    <row r="26" spans="1:8" x14ac:dyDescent="0.25">
      <c r="A26" s="9" t="s">
        <v>62</v>
      </c>
      <c r="B26" s="10" t="s">
        <v>31</v>
      </c>
      <c r="C26" s="10" t="s">
        <v>36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</row>
    <row r="27" spans="1:8" x14ac:dyDescent="0.25">
      <c r="A27" s="12" t="s">
        <v>63</v>
      </c>
      <c r="B27" s="13" t="s">
        <v>31</v>
      </c>
      <c r="C27" s="13" t="s">
        <v>38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</row>
    <row r="28" spans="1:8" x14ac:dyDescent="0.25">
      <c r="A28" s="9" t="s">
        <v>64</v>
      </c>
      <c r="B28" s="10" t="s">
        <v>40</v>
      </c>
      <c r="C28" s="10" t="s">
        <v>32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</row>
    <row r="29" spans="1:8" x14ac:dyDescent="0.25">
      <c r="A29" s="12" t="s">
        <v>65</v>
      </c>
      <c r="B29" s="13" t="s">
        <v>40</v>
      </c>
      <c r="C29" s="13" t="s">
        <v>34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</row>
    <row r="30" spans="1:8" x14ac:dyDescent="0.25">
      <c r="A30" s="9" t="s">
        <v>66</v>
      </c>
      <c r="B30" s="10" t="s">
        <v>40</v>
      </c>
      <c r="C30" s="10" t="s">
        <v>36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</row>
    <row r="31" spans="1:8" x14ac:dyDescent="0.25">
      <c r="A31" s="12" t="s">
        <v>67</v>
      </c>
      <c r="B31" s="13" t="s">
        <v>40</v>
      </c>
      <c r="C31" s="13" t="s">
        <v>38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</row>
    <row r="32" spans="1:8" x14ac:dyDescent="0.25">
      <c r="A32" s="9" t="s">
        <v>68</v>
      </c>
      <c r="B32" s="10" t="s">
        <v>45</v>
      </c>
      <c r="C32" s="10" t="s">
        <v>32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</row>
    <row r="33" spans="1:8" x14ac:dyDescent="0.25">
      <c r="A33" s="12" t="s">
        <v>69</v>
      </c>
      <c r="B33" s="13" t="s">
        <v>45</v>
      </c>
      <c r="C33" s="13" t="s">
        <v>34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</row>
    <row r="34" spans="1:8" x14ac:dyDescent="0.25">
      <c r="A34" s="9" t="s">
        <v>70</v>
      </c>
      <c r="B34" s="10" t="s">
        <v>45</v>
      </c>
      <c r="C34" s="10" t="s">
        <v>36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</row>
    <row r="35" spans="1:8" x14ac:dyDescent="0.25">
      <c r="A35" s="12" t="s">
        <v>71</v>
      </c>
      <c r="B35" s="13" t="s">
        <v>45</v>
      </c>
      <c r="C35" s="13" t="s">
        <v>38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</row>
    <row r="36" spans="1:8" x14ac:dyDescent="0.25">
      <c r="A36" s="9" t="s">
        <v>72</v>
      </c>
      <c r="B36" s="10" t="s">
        <v>50</v>
      </c>
      <c r="C36" s="10" t="s">
        <v>32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</row>
    <row r="37" spans="1:8" x14ac:dyDescent="0.25">
      <c r="A37" s="12" t="s">
        <v>73</v>
      </c>
      <c r="B37" s="13" t="s">
        <v>50</v>
      </c>
      <c r="C37" s="13" t="s">
        <v>34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</row>
    <row r="38" spans="1:8" x14ac:dyDescent="0.25">
      <c r="A38" s="9" t="s">
        <v>74</v>
      </c>
      <c r="B38" s="10" t="s">
        <v>50</v>
      </c>
      <c r="C38" s="10" t="s">
        <v>36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</row>
    <row r="39" spans="1:8" x14ac:dyDescent="0.25">
      <c r="A39" s="12" t="s">
        <v>75</v>
      </c>
      <c r="B39" s="13" t="s">
        <v>50</v>
      </c>
      <c r="C39" s="13" t="s">
        <v>38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</row>
    <row r="40" spans="1:8" x14ac:dyDescent="0.25">
      <c r="A40" s="9" t="s">
        <v>76</v>
      </c>
      <c r="B40" s="10" t="s">
        <v>55</v>
      </c>
      <c r="C40" s="10" t="s">
        <v>32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</row>
    <row r="41" spans="1:8" x14ac:dyDescent="0.25">
      <c r="A41" s="12" t="s">
        <v>77</v>
      </c>
      <c r="B41" s="13" t="s">
        <v>55</v>
      </c>
      <c r="C41" s="13" t="s">
        <v>34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</row>
    <row r="42" spans="1:8" x14ac:dyDescent="0.25">
      <c r="A42" s="9" t="s">
        <v>78</v>
      </c>
      <c r="B42" s="10" t="s">
        <v>55</v>
      </c>
      <c r="C42" s="10" t="s">
        <v>36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</row>
    <row r="43" spans="1:8" x14ac:dyDescent="0.25">
      <c r="A43" s="12" t="s">
        <v>79</v>
      </c>
      <c r="B43" s="13" t="s">
        <v>55</v>
      </c>
      <c r="C43" s="13" t="s">
        <v>38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</row>
    <row r="45" spans="1:8" x14ac:dyDescent="0.25">
      <c r="A45" s="6" t="s">
        <v>80</v>
      </c>
      <c r="B45" s="6"/>
      <c r="C45" s="6"/>
      <c r="D45" s="6"/>
      <c r="E45" s="6"/>
      <c r="F45" s="6"/>
      <c r="G45" s="6"/>
      <c r="H45" s="6"/>
    </row>
    <row r="46" spans="1:8" x14ac:dyDescent="0.25">
      <c r="A46" s="6" t="s">
        <v>81</v>
      </c>
      <c r="B46" s="6"/>
      <c r="C46" s="6"/>
      <c r="D46" s="6"/>
      <c r="E46" s="6"/>
      <c r="F46" s="6"/>
      <c r="G46" s="6"/>
      <c r="H46" s="6"/>
    </row>
    <row r="47" spans="1:8" x14ac:dyDescent="0.25">
      <c r="A47" s="6" t="s">
        <v>82</v>
      </c>
      <c r="B47" s="6"/>
      <c r="C47" s="6"/>
      <c r="D47" s="6"/>
      <c r="E47" s="6"/>
      <c r="F47" s="6"/>
      <c r="G47" s="6"/>
      <c r="H47" s="6"/>
    </row>
  </sheetData>
  <mergeCells count="5">
    <mergeCell ref="A1:H1"/>
    <mergeCell ref="A23:H23"/>
    <mergeCell ref="A45:H45"/>
    <mergeCell ref="A46:H46"/>
    <mergeCell ref="A47:H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83</v>
      </c>
      <c r="B1" s="16"/>
    </row>
    <row r="2" spans="1:2" x14ac:dyDescent="0.25">
      <c r="A2" s="17" t="s">
        <v>84</v>
      </c>
      <c r="B2" s="17"/>
    </row>
    <row r="4" spans="1:2" x14ac:dyDescent="0.25">
      <c r="A4" s="4" t="s">
        <v>85</v>
      </c>
      <c r="B4" s="4"/>
    </row>
    <row r="5" spans="1:4" x14ac:dyDescent="0.25">
      <c r="A5" s="18" t="s">
        <v>23</v>
      </c>
      <c r="B5" s="19" t="s">
        <v>40</v>
      </c>
      <c r="D5">
        <f>MATCH(B7,'Escala 2026'!$D$2:$H$2,0)</f>
      </c>
    </row>
    <row r="6" spans="1:4" x14ac:dyDescent="0.25">
      <c r="A6" s="18" t="s">
        <v>24</v>
      </c>
      <c r="B6" s="19" t="s">
        <v>32</v>
      </c>
      <c r="D6">
        <f>CONCATENATE("J|",B5,"|",B6)</f>
      </c>
    </row>
    <row r="7" spans="1:4" x14ac:dyDescent="0.25">
      <c r="A7" s="18" t="s">
        <v>86</v>
      </c>
      <c r="B7" s="19" t="s">
        <v>29</v>
      </c>
      <c r="D7">
        <f>INDEX('Escala 2026'!$D$3:$H$22,MATCH(D6,'Escala 2026'!$A$3:$A$22,0),D5)</f>
      </c>
    </row>
    <row r="8" spans="1:4" x14ac:dyDescent="0.25">
      <c r="A8" s="18" t="s">
        <v>87</v>
      </c>
      <c r="B8" s="20">
        <v>190.67</v>
      </c>
      <c r="D8">
        <f>CONCATENATE("S|",B5,"|",B6)</f>
      </c>
    </row>
    <row r="9" spans="1:4" x14ac:dyDescent="0.25">
      <c r="A9" s="18" t="s">
        <v>88</v>
      </c>
      <c r="B9" s="19" t="s">
        <v>89</v>
      </c>
      <c r="D9">
        <f>INDEX('Escala 2026'!$D$24:$H$43,MATCH(D8,'Escala 2026'!$A$24:$A$43,0),D5)</f>
      </c>
    </row>
    <row r="10" spans="1:4" x14ac:dyDescent="0.25">
      <c r="A10" s="18" t="s">
        <v>90</v>
      </c>
      <c r="B10" s="19" t="s">
        <v>89</v>
      </c>
      <c r="D10">
        <f>IF(B5="Sereno",1,0)</f>
      </c>
    </row>
    <row r="11" ht="6" customHeight="1" x14ac:dyDescent="0.25"/>
    <row r="12" spans="1:2" x14ac:dyDescent="0.25">
      <c r="A12" s="4" t="s">
        <v>91</v>
      </c>
      <c r="B12" s="4"/>
    </row>
    <row r="13" spans="1:2" x14ac:dyDescent="0.25">
      <c r="A13" s="21" t="s">
        <v>92</v>
      </c>
      <c r="B13" s="22">
        <f>=IF(D10=1,"—",D7)</f>
      </c>
    </row>
    <row r="14" spans="1:2" x14ac:dyDescent="0.25">
      <c r="A14" s="21" t="s">
        <v>93</v>
      </c>
      <c r="B14" s="23">
        <f>=IF(D10=1,"—",B8)</f>
      </c>
    </row>
    <row r="15" spans="1:2" x14ac:dyDescent="0.25">
      <c r="A15" s="21" t="s">
        <v>94</v>
      </c>
      <c r="B15" s="22">
        <f>=IF(D10=1,D7,D7*B8)</f>
      </c>
    </row>
    <row r="16" spans="1:2" x14ac:dyDescent="0.25">
      <c r="A16" s="21" t="s">
        <v>95</v>
      </c>
      <c r="B16" s="22">
        <f>=IF(B9="Sí",B15*0.2,0)</f>
      </c>
    </row>
    <row r="17" spans="1:2" x14ac:dyDescent="0.25">
      <c r="A17" s="21" t="s">
        <v>96</v>
      </c>
      <c r="B17" s="22">
        <f>=B15+B16</f>
      </c>
    </row>
    <row r="18" spans="1:2" x14ac:dyDescent="0.25">
      <c r="A18" s="21" t="s">
        <v>97</v>
      </c>
      <c r="B18" s="22">
        <f>=D9</f>
      </c>
    </row>
    <row r="19" spans="1:2" x14ac:dyDescent="0.25">
      <c r="A19" s="24" t="s">
        <v>98</v>
      </c>
      <c r="B19" s="25">
        <f>=B17+B18</f>
      </c>
    </row>
    <row r="20" spans="1:2" x14ac:dyDescent="0.25">
      <c r="A20" s="21" t="s">
        <v>99</v>
      </c>
      <c r="B20" s="22">
        <f>=-(B17*(0.17+IF(B10="Sí",0.02,0))+B18*0.03)</f>
      </c>
    </row>
    <row r="21" spans="1:2" x14ac:dyDescent="0.25">
      <c r="A21" s="24" t="s">
        <v>100</v>
      </c>
      <c r="B21" s="25">
        <f>=B19+B20</f>
      </c>
    </row>
    <row r="22" ht="6" customHeight="1" x14ac:dyDescent="0.25"/>
    <row r="23" spans="1:2" x14ac:dyDescent="0.25">
      <c r="A23" s="4" t="s">
        <v>101</v>
      </c>
      <c r="B23" s="4"/>
    </row>
    <row r="24" spans="1:2" x14ac:dyDescent="0.25">
      <c r="A24" s="21" t="s">
        <v>102</v>
      </c>
      <c r="B24" s="22">
        <f>=B17*0.12</f>
      </c>
    </row>
    <row r="25" spans="1:2" x14ac:dyDescent="0.25">
      <c r="A25" s="21" t="s">
        <v>103</v>
      </c>
      <c r="B25" s="22">
        <f>=B17*0.08</f>
      </c>
    </row>
    <row r="27" spans="1:2" x14ac:dyDescent="0.25">
      <c r="A27" s="6" t="s">
        <v>104</v>
      </c>
      <c r="B27" s="6"/>
    </row>
    <row r="28" spans="1:2" x14ac:dyDescent="0.25">
      <c r="A28" s="6" t="s">
        <v>105</v>
      </c>
      <c r="B28" s="6"/>
    </row>
    <row r="29" spans="1:2" x14ac:dyDescent="0.25">
      <c r="A29" s="6" t="s">
        <v>106</v>
      </c>
      <c r="B29" s="6"/>
    </row>
    <row r="30" spans="1:2" x14ac:dyDescent="0.25">
      <c r="A30" s="6" t="s">
        <v>107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108</v>
      </c>
      <c r="B1" s="26"/>
    </row>
    <row r="2" ht="30" customHeight="1" spans="1:2" x14ac:dyDescent="0.25">
      <c r="A2" s="27" t="s">
        <v>109</v>
      </c>
      <c r="B2" s="27"/>
    </row>
    <row r="4" spans="1:2" x14ac:dyDescent="0.25">
      <c r="A4" s="28" t="s">
        <v>110</v>
      </c>
      <c r="B4" s="28" t="s">
        <v>111</v>
      </c>
    </row>
    <row r="5" ht="32" customHeight="1" spans="1:2" x14ac:dyDescent="0.25">
      <c r="A5" s="29" t="s">
        <v>112</v>
      </c>
      <c r="B5" s="30" t="s">
        <v>113</v>
      </c>
    </row>
    <row r="6" ht="32" customHeight="1" spans="1:2" x14ac:dyDescent="0.25">
      <c r="A6" s="31" t="s">
        <v>114</v>
      </c>
      <c r="B6" s="32" t="s">
        <v>115</v>
      </c>
    </row>
    <row r="7" ht="32" customHeight="1" spans="1:2" x14ac:dyDescent="0.25">
      <c r="A7" s="29" t="s">
        <v>116</v>
      </c>
      <c r="B7" s="30" t="s">
        <v>117</v>
      </c>
    </row>
    <row r="8" ht="32" customHeight="1" spans="1:2" x14ac:dyDescent="0.25">
      <c r="A8" s="31" t="s">
        <v>118</v>
      </c>
      <c r="B8" s="32" t="s">
        <v>119</v>
      </c>
    </row>
    <row r="9" ht="32" customHeight="1" spans="1:2" x14ac:dyDescent="0.25">
      <c r="A9" s="29" t="s">
        <v>120</v>
      </c>
      <c r="B9" s="30" t="s">
        <v>121</v>
      </c>
    </row>
    <row r="10" ht="32" customHeight="1" spans="1:2" x14ac:dyDescent="0.25">
      <c r="A10" s="31" t="s">
        <v>122</v>
      </c>
      <c r="B10" s="32" t="s">
        <v>123</v>
      </c>
    </row>
    <row r="12" spans="1:1" x14ac:dyDescent="0.25">
      <c r="A12" s="33" t="s">
        <v>124</v>
      </c>
    </row>
    <row r="13" spans="1:2" x14ac:dyDescent="0.25">
      <c r="A13" s="6" t="s">
        <v>125</v>
      </c>
      <c r="B13" s="6"/>
    </row>
    <row r="14" spans="1:2" x14ac:dyDescent="0.25">
      <c r="A14" s="6" t="s">
        <v>126</v>
      </c>
      <c r="B14" s="6"/>
    </row>
    <row r="16" spans="1:2" x14ac:dyDescent="0.25">
      <c r="A16" s="6" t="s">
        <v>127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2026-09-09T09:02:34Z</dcterms:created>
  <dcterms:modified xsi:type="dcterms:W3CDTF">2026-09-09T09:02:34Z</dcterms:modified>
</cp:coreProperties>
</file>