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ciones" state="visible" r:id="rId4"/>
    <sheet sheetId="2" name="Escala 2026" state="visible" r:id="rId5"/>
    <sheet sheetId="3" name="Liquidador" state="visible" r:id="rId6"/>
    <sheet sheetId="4" name="Fuentes" state="visible" r:id="rId7"/>
  </sheets>
  <calcPr calcId="171027"/>
</workbook>
</file>

<file path=xl/sharedStrings.xml><?xml version="1.0" encoding="utf-8"?>
<sst xmlns="http://schemas.openxmlformats.org/spreadsheetml/2006/main" count="205" uniqueCount="128">
  <si>
    <t>Cómo usar esta planilla</t>
  </si>
  <si>
    <t>1</t>
  </si>
  <si>
    <t>Andá a la hoja «Liquidador» (la segunda pestaña, abajo a la izquierda).</t>
  </si>
  <si>
    <t>2</t>
  </si>
  <si>
    <t>Completá solo las celdas amarillas: categoría, zona, mes, horas trabajadas, asistencia perfecta y aporte solidario. Las demás se calculan solas.</t>
  </si>
  <si>
    <t>3</t>
  </si>
  <si>
    <t>Las celdas verdes son el resultado: básico, asistencia perfecta, suma no remunerativa, bruto y neto estimado. No las toques ni las pises con números.</t>
  </si>
  <si>
    <t>4</t>
  </si>
  <si>
    <t>La hoja «Escala 2026» tiene los jornales oficiales por categoría y zona, mes por mes. Es de donde el Liquidador saca los valores.</t>
  </si>
  <si>
    <t>5</t>
  </si>
  <si>
    <t>La hoja «Fuentes» tiene el link a cada acuerdo paritario firmado y la fecha en que se verificó. Si alguien te discute un número, ahí está el PDF.</t>
  </si>
  <si>
    <t>LO QUE TENÉS QUE SABER DE ESTE CONVENIO</t>
  </si>
  <si>
    <t>•  Jornada del CCT 76/75: máximo 44 horas semanales (9 por día). Un mes completo son 190.67 horas (44 × 52 ÷ 12). Ese es el valor que viene puesto por defecto.</t>
  </si>
  <si>
    <t>•  Asistencia perfecta (art. 52): 20% sobre el básico, por quincena. No se pierde por vacaciones, licencias, feriados ni suspensiones por lluvia.</t>
  </si>
  <si>
    <t>•  Suma no remunerativa (SNR): monto fijo por categoría y zona, se paga 50% con cada quincena y solo descuenta el 3% de obra social.</t>
  </si>
  <si>
    <t>•  En agosto de 2026 la SNR se absorbió al jornal: por eso ese mes figura en cero. No es un dato faltante, es el dato correcto.</t>
  </si>
  <si>
    <t>•  En la construcción NO hay adicional por antigüedad (Ley 22.250). En lugar de indemnización por despido está el fondo de cese laboral: 12% de la remuneración el primer año, 8% después. No es un descuento del sueldo del trabajador.</t>
  </si>
  <si>
    <t>•  Aportes del trabajador: 17% sobre lo remunerativo (11% jubilación + 3% PAMI + 3% obra social) más 2% de aporte solidario donde corresponde. La SNR solo aporta 3% de obra social.</t>
  </si>
  <si>
    <t>•  La Comisión Especial se reunió el 20 de julio de 2026 para fijar septiembre de 2026 en adelante, y al 9 de septiembre de 2026 el acuerdo todavía no se publicó: la tabla llega hasta el último mes acordado. Cuando se firme y publique la escala, actualizamos la planilla y te llega la versión nueva por email.</t>
  </si>
  <si>
    <t>El neto que calcula esta planilla es estimado: no incluye Ganancias (aplica recién en sueldos altos), embargos ni descuentos particulares del recibo. Para un recibo oficial, consultá con tu contador.</t>
  </si>
  <si>
    <t>Esta planilla da exactamente los mismos números que la calculadora gratuita de calcular.ar/convenios/uocra — es la misma escala verificada, la misma fórmula. Si alguna vez difieren, escribinos y lo corregimos.</t>
  </si>
  <si>
    <t>Escala oficial UOCRA 2026 — CCT 76/75 (jornales y sumas no remunerativas)</t>
  </si>
  <si>
    <t>Clave</t>
  </si>
  <si>
    <t>Categoría</t>
  </si>
  <si>
    <t>Zona</t>
  </si>
  <si>
    <t>Abril 2026</t>
  </si>
  <si>
    <t>Mayo 2026</t>
  </si>
  <si>
    <t>Junio 2026</t>
  </si>
  <si>
    <t>Julio 2026</t>
  </si>
  <si>
    <t>Agosto 2026</t>
  </si>
  <si>
    <t>J|Oficial especializado|Zona A</t>
  </si>
  <si>
    <t>Oficial especializado</t>
  </si>
  <si>
    <t>Zona A</t>
  </si>
  <si>
    <t>J|Oficial especializado|Zona B</t>
  </si>
  <si>
    <t>Zona B</t>
  </si>
  <si>
    <t>J|Oficial especializado|Zona C</t>
  </si>
  <si>
    <t>Zona C</t>
  </si>
  <si>
    <t>J|Oficial especializado|Zona C Austral</t>
  </si>
  <si>
    <t>Zona C Austral</t>
  </si>
  <si>
    <t>J|Oficial|Zona A</t>
  </si>
  <si>
    <t>Oficial</t>
  </si>
  <si>
    <t>J|Oficial|Zona B</t>
  </si>
  <si>
    <t>J|Oficial|Zona C</t>
  </si>
  <si>
    <t>J|Oficial|Zona C Austral</t>
  </si>
  <si>
    <t>J|Medio oficial|Zona A</t>
  </si>
  <si>
    <t>Medio oficial</t>
  </si>
  <si>
    <t>J|Medio oficial|Zona B</t>
  </si>
  <si>
    <t>J|Medio oficial|Zona C</t>
  </si>
  <si>
    <t>J|Medio oficial|Zona C Austral</t>
  </si>
  <si>
    <t>J|Ayudante|Zona A</t>
  </si>
  <si>
    <t>Ayudante</t>
  </si>
  <si>
    <t>J|Ayudante|Zona B</t>
  </si>
  <si>
    <t>J|Ayudante|Zona C</t>
  </si>
  <si>
    <t>J|Ayudante|Zona C Austral</t>
  </si>
  <si>
    <t>J|Sereno|Zona A</t>
  </si>
  <si>
    <t>Sereno</t>
  </si>
  <si>
    <t>J|Sereno|Zona B</t>
  </si>
  <si>
    <t>J|Sereno|Zona C</t>
  </si>
  <si>
    <t>J|Sereno|Zona C Austral</t>
  </si>
  <si>
    <t>SUMA NO REMUNERATIVA (mensual, por categoría y zona)</t>
  </si>
  <si>
    <t>S|Oficial especializado|Zona A</t>
  </si>
  <si>
    <t>S|Oficial especializado|Zona B</t>
  </si>
  <si>
    <t>S|Oficial especializado|Zona C</t>
  </si>
  <si>
    <t>S|Oficial especializado|Zona C Austral</t>
  </si>
  <si>
    <t>S|Oficial|Zona A</t>
  </si>
  <si>
    <t>S|Oficial|Zona B</t>
  </si>
  <si>
    <t>S|Oficial|Zona C</t>
  </si>
  <si>
    <t>S|Oficial|Zona C Austral</t>
  </si>
  <si>
    <t>S|Medio oficial|Zona A</t>
  </si>
  <si>
    <t>S|Medio oficial|Zona B</t>
  </si>
  <si>
    <t>S|Medio oficial|Zona C</t>
  </si>
  <si>
    <t>S|Medio oficial|Zona C Austral</t>
  </si>
  <si>
    <t>S|Ayudante|Zona A</t>
  </si>
  <si>
    <t>S|Ayudante|Zona B</t>
  </si>
  <si>
    <t>S|Ayudante|Zona C</t>
  </si>
  <si>
    <t>S|Ayudante|Zona C Austral</t>
  </si>
  <si>
    <t>S|Sereno|Zona A</t>
  </si>
  <si>
    <t>S|Sereno|Zona B</t>
  </si>
  <si>
    <t>S|Sereno|Zona C</t>
  </si>
  <si>
    <t>S|Sereno|Zona C Austral</t>
  </si>
  <si>
    <t>Jornales por hora, salvo el Sereno, que cobra sueldo mensual fijo (art. 12 del CCT: jornada de vigilancia de 12 horas). El adicional por zona desfavorable ya está incluido en cada valor.</t>
  </si>
  <si>
    <t>Agosto 2026 no tiene suma no remunerativa: el acuerdo del 19/5/2026 la absorbió al jornal. Verificado el 30 de julio de 2026 contra los acuerdos firmados (ver hoja Fuentes).</t>
  </si>
  <si>
    <t>La columna «Clave» la usa el Liquidador para buscar los valores. No la borres ni la edites.</t>
  </si>
  <si>
    <t>Liquidación de sueldos — UOCRA (construcción)</t>
  </si>
  <si>
    <t>CCT 76/75 · Escalas oficiales UOCRA-CAMARCO · Verificadas el 30 de julio de 2026</t>
  </si>
  <si>
    <t>DATOS DEL TRABAJADOR</t>
  </si>
  <si>
    <t>Mes a liquidar</t>
  </si>
  <si>
    <t>Horas trabajadas en el mes</t>
  </si>
  <si>
    <t>¿Cobró asistencia perfecta?</t>
  </si>
  <si>
    <t>Sí</t>
  </si>
  <si>
    <t>¿Aporte solidario / cuota sindical 2%?</t>
  </si>
  <si>
    <t>LIQUIDACIÓN DEL MES</t>
  </si>
  <si>
    <t>Jornal por hora</t>
  </si>
  <si>
    <t>Horas del mes</t>
  </si>
  <si>
    <t>Básico del mes</t>
  </si>
  <si>
    <t>Asistencia perfecta (20%)</t>
  </si>
  <si>
    <t>Total remunerativo</t>
  </si>
  <si>
    <t>Suma no remunerativa</t>
  </si>
  <si>
    <t>TOTAL BRUTO</t>
  </si>
  <si>
    <t>Aportes del trabajador</t>
  </si>
  <si>
    <t>NETO ESTIMADO</t>
  </si>
  <si>
    <t>COSTO PARA EL EMPLEADOR (referencia)</t>
  </si>
  <si>
    <t>Fondo de cese laboral · 1er año (12%)</t>
  </si>
  <si>
    <t>Fondo de cese laboral · desde el 2do año (8%)</t>
  </si>
  <si>
    <t>* Aportes = 17% (11% jubilación + 3% PAMI + 3% obra social) sobre lo remunerativo, más 2% de aporte solidario si corresponde. La suma no remunerativa solo aporta 3% de obra social.</t>
  </si>
  <si>
    <t>* El neto es estimado: no incluye Ganancias, embargos ni descuentos particulares del recibo.</t>
  </si>
  <si>
    <t>* El fondo de cese laboral (Ley 22.250) lo deposita el empleador a nombre del trabajador. No es un descuento del sueldo: figura acá como referencia del costo laboral.</t>
  </si>
  <si>
    <t>* En la construcción no hay adicional por antigüedad: el régimen de la Ley 22.250 lo reemplaza por el fondo de cese.</t>
  </si>
  <si>
    <t>Fuentes oficiales</t>
  </si>
  <si>
    <t>Todos los datos de esta planilla se verificaron el 30 de julio de 2026 contra los documentos oficiales de abajo. Ningún blog, ningún resumen de terceros.</t>
  </si>
  <si>
    <t>Documento</t>
  </si>
  <si>
    <t>Link</t>
  </si>
  <si>
    <t>Acuerdo UOCRA-CAMARCO 31/3/2026 (abril-mayo) — PDF firmado, CAMARCO</t>
  </si>
  <si>
    <t>https://www.camarco.org.ar/laboral/acuerdo-salarial-uocra-cct-n-76-75-y-577-10-abril-mayo-2026/</t>
  </si>
  <si>
    <t>Acuerdo UOCRA-CAMARCO 19/5/2026 (junio-agosto) — PDF firmado, CAMARCO</t>
  </si>
  <si>
    <t>https://www.camarco.org.ar/laboral/acuerdo-salarial-uocra-cct-n-76-75-mayo-2026/</t>
  </si>
  <si>
    <t>UOCRA — segundo tramo paritaria CCT 76/75 y 577/10 (junio-julio-agosto), homologado el 2/6/2026: texto + Anexo I con las tablas por categoría y zona</t>
  </si>
  <si>
    <t>https://www.uocra.org/pdf/99db1b_segundo_tramo_paritaria_76-75_y_577-10_junio-julio-agosto.pdf</t>
  </si>
  <si>
    <t>Texto del CCT 76/75 (UOCRA — arts. 10-12, 16 y 52)</t>
  </si>
  <si>
    <t>https://www.uocra.org/pdf/9c21ef_76.75.pdf</t>
  </si>
  <si>
    <t>Ley 22.250 — régimen de la construcción (IERIC)</t>
  </si>
  <si>
    <t>https://www.ieric.org.ar/wp-content/uploads/2020/01/Ley22.250.pdf</t>
  </si>
  <si>
    <t>UOCRA — escalas salariales y homologaciones</t>
  </si>
  <si>
    <t>https://www.uocra.org/</t>
  </si>
  <si>
    <t>Homologaciones</t>
  </si>
  <si>
    <t>Disp. 468/2026 (DI-2026-468-APN-DNRYRT#MCH, 7/4/2026) — abril y mayo</t>
  </si>
  <si>
    <t>Disp. 712/2026 (DI-2026-712-APN-DNRYRT#MCH) — junio a agosto</t>
  </si>
  <si>
    <t>Planilla de calcular.ar. Las actualizaciones del año están incluidas en el precio: cuando se firma una paritaria nueva, la versión actualizada te llega por email al mismo enlace de descarga.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</si>
</sst>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"/>
  </numFmts>
  <fonts count="10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FFFFFF"/>
    </font>
    <font>
      <b/>
      <color rgb="FFFFFFFF"/>
      <sz val="11"/>
    </font>
    <font>
      <i/>
      <color rgb="FF777777"/>
      <sz val="9"/>
    </font>
    <font>
      <color rgb="FF9E9E9E"/>
      <sz val="9"/>
    </font>
    <font>
      <b/>
      <color rgb="FF1B5E20"/>
      <sz val="10"/>
    </font>
    <font>
      <i/>
      <color rgb="FF555555"/>
      <sz val="10"/>
    </font>
    <font>
      <b/>
    </font>
    <font>
      <u/>
      <color rgb="FF1565C0"/>
    </font>
  </fonts>
  <fills count="14">
    <fill>
      <patternFill patternType="none"/>
    </fill>
    <fill>
      <patternFill patternType="gray125"/>
    </fill>
    <fill>
      <patternFill patternType="solid">
        <fgColor rgb="FFF57C00"/>
      </patternFill>
    </fill>
    <fill>
      <patternFill patternType="solid">
        <fgColor rgb="FF1B5E20"/>
      </patternFill>
    </fill>
    <fill>
      <patternFill patternType="solid">
        <fgColor rgb="FF1565C0"/>
      </patternFill>
    </fill>
    <fill>
      <patternFill patternType="solid">
        <fgColor rgb="FF1976D2"/>
      </patternFill>
    </fill>
    <fill>
      <patternFill patternType="solid">
        <fgColor rgb="FFFFFFFF"/>
      </patternFill>
    </fill>
    <fill>
      <patternFill patternType="solid">
        <fgColor rgb="FFF3F8FF"/>
      </patternFill>
    </fill>
    <fill>
      <patternFill patternType="solid">
        <fgColor rgb="FFF5F5F5"/>
      </patternFill>
    </fill>
    <fill>
      <patternFill patternType="solid">
        <fgColor rgb="FFFFFDE7"/>
      </patternFill>
    </fill>
    <fill>
      <patternFill patternType="solid">
        <fgColor rgb="FFE8F5E9"/>
      </patternFill>
    </fill>
    <fill>
      <patternFill patternType="solid">
        <fgColor rgb="FFC8E6C9"/>
      </patternFill>
    </fill>
    <fill>
      <patternFill patternType="solid">
        <fgColor rgb="FF37474F"/>
      </patternFill>
    </fill>
    <fill>
      <patternFill patternType="solid">
        <fgColor rgb="FF546E7A"/>
      </patternFill>
    </fill>
  </fills>
  <borders count="2">
    <border>
      <left/>
      <right/>
      <top/>
      <bottom/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vertical="center" wrapText="1" indent="1"/>
    </xf>
    <xf numFmtId="0" fontId="3" fillId="3" borderId="0" xfId="0" applyFont="1" applyFill="1" applyAlignment="1">
      <alignment horizontal="left" indent="1"/>
    </xf>
    <xf numFmtId="0" fontId="0" fillId="0" borderId="0" xfId="0" applyAlignment="1">
      <alignment vertical="top" wrapText="1" indent="1"/>
    </xf>
    <xf numFmtId="0" fontId="4" fillId="0" borderId="0" xfId="0" applyFont="1" applyAlignment="1">
      <alignment vertical="top" wrapText="1"/>
    </xf>
    <xf numFmtId="0" fontId="1" fillId="4" borderId="0" xfId="0" applyFont="1" applyFill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5" fillId="6" borderId="1" xfId="0" applyFont="1" applyFill="1" applyBorder="1"/>
    <xf numFmtId="0" fontId="0" fillId="6" borderId="1" xfId="0" applyFill="1" applyBorder="1"/>
    <xf numFmtId="164" fontId="0" fillId="6" borderId="1" xfId="0" applyNumberFormat="1" applyFill="1" applyBorder="1" applyAlignment="1">
      <alignment horizontal="right"/>
    </xf>
    <xf numFmtId="0" fontId="5" fillId="7" borderId="1" xfId="0" applyFont="1" applyFill="1" applyBorder="1"/>
    <xf numFmtId="0" fontId="0" fillId="7" borderId="1" xfId="0" applyFill="1" applyBorder="1"/>
    <xf numFmtId="164" fontId="0" fillId="7" borderId="1" xfId="0" applyNumberFormat="1" applyFill="1" applyBorder="1" applyAlignment="1">
      <alignment horizontal="right"/>
    </xf>
    <xf numFmtId="0" fontId="6" fillId="0" borderId="0" xfId="0" applyFont="1"/>
    <xf numFmtId="0" fontId="1" fillId="3" borderId="0" xfId="0" applyFont="1" applyFill="1" applyAlignment="1">
      <alignment horizontal="center" vertical="center"/>
    </xf>
    <xf numFmtId="0" fontId="7" fillId="8" borderId="0" xfId="0" applyFont="1" applyFill="1" applyAlignment="1">
      <alignment horizontal="center"/>
    </xf>
    <xf numFmtId="0" fontId="0" fillId="8" borderId="1" xfId="0" applyFill="1" applyBorder="1" applyAlignment="1">
      <alignment horizontal="left" indent="1"/>
    </xf>
    <xf numFmtId="0" fontId="8" fillId="9" borderId="1" xfId="0" applyFont="1" applyFill="1" applyBorder="1" applyAlignment="1">
      <alignment horizontal="left" indent="1"/>
    </xf>
    <xf numFmtId="2" fontId="8" fillId="9" borderId="1" xfId="0" applyNumberFormat="1" applyFont="1" applyFill="1" applyBorder="1" applyAlignment="1">
      <alignment horizontal="right"/>
    </xf>
    <xf numFmtId="0" fontId="0" fillId="10" borderId="1" xfId="0" applyFill="1" applyBorder="1" applyAlignment="1">
      <alignment horizontal="left" indent="1"/>
    </xf>
    <xf numFmtId="164" fontId="0" fillId="10" borderId="1" xfId="0" applyNumberFormat="1" applyFill="1" applyBorder="1" applyAlignment="1">
      <alignment horizontal="right"/>
    </xf>
    <xf numFmtId="2" fontId="0" fillId="10" borderId="1" xfId="0" applyNumberFormat="1" applyFill="1" applyBorder="1" applyAlignment="1">
      <alignment horizontal="right"/>
    </xf>
    <xf numFmtId="0" fontId="8" fillId="11" borderId="1" xfId="0" applyFont="1" applyFill="1" applyBorder="1" applyAlignment="1">
      <alignment horizontal="left" indent="1"/>
    </xf>
    <xf numFmtId="164" fontId="8" fillId="11" borderId="1" xfId="0" applyNumberFormat="1" applyFont="1" applyFill="1" applyBorder="1" applyAlignment="1">
      <alignment horizontal="right"/>
    </xf>
    <xf numFmtId="0" fontId="1" fillId="12" borderId="0" xfId="0" applyFont="1" applyFill="1" applyAlignment="1">
      <alignment horizontal="center" vertical="center"/>
    </xf>
    <xf numFmtId="0" fontId="7" fillId="0" borderId="0" xfId="0" applyFont="1" applyAlignment="1">
      <alignment vertical="top" wrapText="1"/>
    </xf>
    <xf numFmtId="0" fontId="2" fillId="13" borderId="1" xfId="0" applyFont="1" applyFill="1" applyBorder="1"/>
    <xf numFmtId="0" fontId="0" fillId="6" borderId="1" xfId="0" applyFill="1" applyBorder="1" applyAlignment="1">
      <alignment vertical="top" wrapText="1"/>
    </xf>
    <xf numFmtId="0" fontId="9" fillId="6" borderId="1" xfId="0" applyFont="1" applyFill="1" applyBorder="1" applyAlignment="1">
      <alignment vertical="top" wrapText="1"/>
    </xf>
    <xf numFmtId="0" fontId="0" fillId="8" borderId="1" xfId="0" applyFill="1" applyBorder="1" applyAlignment="1">
      <alignment vertical="top" wrapText="1"/>
    </xf>
    <xf numFmtId="0" fontId="9" fillId="8" borderId="1" xfId="0" applyFont="1" applyFill="1" applyBorder="1" applyAlignment="1">
      <alignment vertical="top" wrapText="1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www.camarco.org.ar/laboral/acuerdo-salarial-uocra-cct-n-76-75-y-577-10-abril-mayo-2026/" TargetMode="External"/><Relationship Id="rId2" Type="http://schemas.openxmlformats.org/officeDocument/2006/relationships/hyperlink" Target="https://www.camarco.org.ar/laboral/acuerdo-salarial-uocra-cct-n-76-75-mayo-2026/" TargetMode="External"/><Relationship Id="rId3" Type="http://schemas.openxmlformats.org/officeDocument/2006/relationships/hyperlink" Target="https://www.uocra.org/pdf/99db1b_segundo_tramo_paritaria_76-75_y_577-10_junio-julio-agosto.pdf" TargetMode="External"/><Relationship Id="rId4" Type="http://schemas.openxmlformats.org/officeDocument/2006/relationships/hyperlink" Target="https://www.uocra.org/pdf/9c21ef_76.75.pdf" TargetMode="External"/><Relationship Id="rId5" Type="http://schemas.openxmlformats.org/officeDocument/2006/relationships/hyperlink" Target="https://www.ieric.org.ar/wp-content/uploads/2020/01/Ley22.250.pdf" TargetMode="External"/><Relationship Id="rId6" Type="http://schemas.openxmlformats.org/officeDocument/2006/relationships/hyperlink" Target="https://www.uocra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57C00"/>
  </sheetPr>
  <dimension ref="A1:B20"/>
  <sheetFormatPr defaultRowHeight="15" outlineLevelRow="0" outlineLevelCol="0" x14ac:dyDescent="55"/>
  <cols>
    <col min="1" max="1" width="4" customWidth="1"/>
    <col min="2" max="2" width="104" customWidth="1"/>
  </cols>
  <sheetData>
    <row r="1" ht="28" customHeight="1" spans="1:2" x14ac:dyDescent="0.25">
      <c r="A1" s="1" t="s">
        <v>0</v>
      </c>
      <c r="B1" s="1"/>
    </row>
    <row r="3" ht="34" customHeight="1" spans="1:2" x14ac:dyDescent="0.25">
      <c r="A3" s="2" t="s">
        <v>1</v>
      </c>
      <c r="B3" s="3" t="s">
        <v>2</v>
      </c>
    </row>
    <row r="4" ht="34" customHeight="1" spans="1:2" x14ac:dyDescent="0.25">
      <c r="A4" s="2" t="s">
        <v>3</v>
      </c>
      <c r="B4" s="3" t="s">
        <v>4</v>
      </c>
    </row>
    <row r="5" ht="34" customHeight="1" spans="1:2" x14ac:dyDescent="0.25">
      <c r="A5" s="2" t="s">
        <v>5</v>
      </c>
      <c r="B5" s="3" t="s">
        <v>6</v>
      </c>
    </row>
    <row r="6" ht="34" customHeight="1" spans="1:2" x14ac:dyDescent="0.25">
      <c r="A6" s="2" t="s">
        <v>7</v>
      </c>
      <c r="B6" s="3" t="s">
        <v>8</v>
      </c>
    </row>
    <row r="7" ht="34" customHeight="1" spans="1:2" x14ac:dyDescent="0.25">
      <c r="A7" s="2" t="s">
        <v>9</v>
      </c>
      <c r="B7" s="3" t="s">
        <v>10</v>
      </c>
    </row>
    <row r="9" spans="1:2" x14ac:dyDescent="0.25">
      <c r="A9" s="4" t="s">
        <v>11</v>
      </c>
      <c r="B9" s="4"/>
    </row>
    <row r="10" ht="32" customHeight="1" spans="2:2" x14ac:dyDescent="0.25">
      <c r="B10" s="5" t="s">
        <v>12</v>
      </c>
    </row>
    <row r="11" ht="32" customHeight="1" spans="2:2" x14ac:dyDescent="0.25">
      <c r="B11" s="5" t="s">
        <v>13</v>
      </c>
    </row>
    <row r="12" ht="32" customHeight="1" spans="2:2" x14ac:dyDescent="0.25">
      <c r="B12" s="5" t="s">
        <v>14</v>
      </c>
    </row>
    <row r="13" ht="32" customHeight="1" spans="2:2" x14ac:dyDescent="0.25">
      <c r="B13" s="5" t="s">
        <v>15</v>
      </c>
    </row>
    <row r="14" ht="32" customHeight="1" spans="2:2" x14ac:dyDescent="0.25">
      <c r="B14" s="5" t="s">
        <v>16</v>
      </c>
    </row>
    <row r="15" ht="32" customHeight="1" spans="2:2" x14ac:dyDescent="0.25">
      <c r="B15" s="5" t="s">
        <v>17</v>
      </c>
    </row>
    <row r="16" ht="32" customHeight="1" spans="2:2" x14ac:dyDescent="0.25">
      <c r="B16" s="5" t="s">
        <v>18</v>
      </c>
    </row>
    <row r="18" spans="1:2" x14ac:dyDescent="0.25">
      <c r="A18" s="6" t="s">
        <v>19</v>
      </c>
      <c r="B18" s="6"/>
    </row>
    <row r="20" spans="1:2" x14ac:dyDescent="0.25">
      <c r="A20" s="6" t="s">
        <v>20</v>
      </c>
      <c r="B20" s="6"/>
    </row>
  </sheetData>
  <mergeCells count="4">
    <mergeCell ref="A1:B1"/>
    <mergeCell ref="A9:B9"/>
    <mergeCell ref="A18:B18"/>
    <mergeCell ref="A20:B2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565C0"/>
  </sheetPr>
  <dimension ref="A1:H47"/>
  <sheetViews>
    <sheetView workbookViewId="0">
      <pane xSplit="3" ySplit="2" topLeftCell="D3" activePane="bottomRight" state="frozen"/>
      <selection pane="bottomRight"/>
    </sheetView>
  </sheetViews>
  <sheetFormatPr defaultRowHeight="15" outlineLevelRow="0" outlineLevelCol="0" x14ac:dyDescent="55"/>
  <cols>
    <col min="1" max="1" width="34" customWidth="1"/>
    <col min="2" max="2" width="24" customWidth="1"/>
    <col min="3" max="3" width="16" customWidth="1"/>
    <col min="4" max="8" width="15" customWidth="1"/>
  </cols>
  <sheetData>
    <row r="1" ht="28" customHeight="1" spans="1:8" x14ac:dyDescent="0.25">
      <c r="A1" s="7" t="s">
        <v>21</v>
      </c>
      <c r="B1" s="7"/>
      <c r="C1" s="7"/>
      <c r="D1" s="7"/>
      <c r="E1" s="7"/>
      <c r="F1" s="7"/>
      <c r="G1" s="7"/>
      <c r="H1" s="7"/>
    </row>
    <row r="2" ht="22" customHeight="1" spans="1:8" x14ac:dyDescent="0.25">
      <c r="A2" s="8" t="s">
        <v>22</v>
      </c>
      <c r="B2" s="8" t="s">
        <v>23</v>
      </c>
      <c r="C2" s="8" t="s">
        <v>24</v>
      </c>
      <c r="D2" s="8" t="s">
        <v>25</v>
      </c>
      <c r="E2" s="8" t="s">
        <v>26</v>
      </c>
      <c r="F2" s="8" t="s">
        <v>27</v>
      </c>
      <c r="G2" s="8" t="s">
        <v>28</v>
      </c>
      <c r="H2" s="8" t="s">
        <v>29</v>
      </c>
    </row>
    <row r="3" spans="1:8" x14ac:dyDescent="0.25">
      <c r="A3" s="9" t="s">
        <v>30</v>
      </c>
      <c r="B3" s="10" t="s">
        <v>31</v>
      </c>
      <c r="C3" s="10" t="s">
        <v>32</v>
      </c>
      <c r="D3" s="11">
        <v>6011</v>
      </c>
      <c r="E3" s="11">
        <v>6119</v>
      </c>
      <c r="F3" s="11">
        <v>6666</v>
      </c>
      <c r="G3" s="11">
        <v>6800</v>
      </c>
      <c r="H3" s="11">
        <v>7420</v>
      </c>
    </row>
    <row r="4" spans="1:8" x14ac:dyDescent="0.25">
      <c r="A4" s="12" t="s">
        <v>33</v>
      </c>
      <c r="B4" s="13" t="s">
        <v>31</v>
      </c>
      <c r="C4" s="13" t="s">
        <v>34</v>
      </c>
      <c r="D4" s="14">
        <v>6672</v>
      </c>
      <c r="E4" s="14">
        <v>6792</v>
      </c>
      <c r="F4" s="14">
        <v>7400</v>
      </c>
      <c r="G4" s="14">
        <v>7548</v>
      </c>
      <c r="H4" s="14">
        <v>8237</v>
      </c>
    </row>
    <row r="5" spans="1:8" x14ac:dyDescent="0.25">
      <c r="A5" s="9" t="s">
        <v>35</v>
      </c>
      <c r="B5" s="10" t="s">
        <v>31</v>
      </c>
      <c r="C5" s="10" t="s">
        <v>36</v>
      </c>
      <c r="D5" s="11">
        <v>9228</v>
      </c>
      <c r="E5" s="11">
        <v>9394</v>
      </c>
      <c r="F5" s="11">
        <v>10234</v>
      </c>
      <c r="G5" s="11">
        <v>10439</v>
      </c>
      <c r="H5" s="11">
        <v>11392</v>
      </c>
    </row>
    <row r="6" spans="1:8" x14ac:dyDescent="0.25">
      <c r="A6" s="12" t="s">
        <v>37</v>
      </c>
      <c r="B6" s="13" t="s">
        <v>31</v>
      </c>
      <c r="C6" s="13" t="s">
        <v>38</v>
      </c>
      <c r="D6" s="14">
        <v>12022</v>
      </c>
      <c r="E6" s="14">
        <v>12238</v>
      </c>
      <c r="F6" s="14">
        <v>13333</v>
      </c>
      <c r="G6" s="14">
        <v>13599</v>
      </c>
      <c r="H6" s="14">
        <v>14841</v>
      </c>
    </row>
    <row r="7" spans="1:8" x14ac:dyDescent="0.25">
      <c r="A7" s="9" t="s">
        <v>39</v>
      </c>
      <c r="B7" s="10" t="s">
        <v>40</v>
      </c>
      <c r="C7" s="10" t="s">
        <v>32</v>
      </c>
      <c r="D7" s="11">
        <v>5142</v>
      </c>
      <c r="E7" s="11">
        <v>5235</v>
      </c>
      <c r="F7" s="11">
        <v>5703</v>
      </c>
      <c r="G7" s="11">
        <v>5817</v>
      </c>
      <c r="H7" s="11">
        <v>6348</v>
      </c>
    </row>
    <row r="8" spans="1:8" x14ac:dyDescent="0.25">
      <c r="A8" s="12" t="s">
        <v>41</v>
      </c>
      <c r="B8" s="13" t="s">
        <v>40</v>
      </c>
      <c r="C8" s="13" t="s">
        <v>34</v>
      </c>
      <c r="D8" s="14">
        <v>5711</v>
      </c>
      <c r="E8" s="14">
        <v>5813</v>
      </c>
      <c r="F8" s="14">
        <v>6333</v>
      </c>
      <c r="G8" s="14">
        <v>6460</v>
      </c>
      <c r="H8" s="14">
        <v>7049</v>
      </c>
    </row>
    <row r="9" spans="1:8" x14ac:dyDescent="0.25">
      <c r="A9" s="9" t="s">
        <v>42</v>
      </c>
      <c r="B9" s="10" t="s">
        <v>40</v>
      </c>
      <c r="C9" s="10" t="s">
        <v>36</v>
      </c>
      <c r="D9" s="11">
        <v>8652</v>
      </c>
      <c r="E9" s="11">
        <v>8808</v>
      </c>
      <c r="F9" s="11">
        <v>9595</v>
      </c>
      <c r="G9" s="11">
        <v>9787</v>
      </c>
      <c r="H9" s="11">
        <v>10680</v>
      </c>
    </row>
    <row r="10" spans="1:8" x14ac:dyDescent="0.25">
      <c r="A10" s="12" t="s">
        <v>43</v>
      </c>
      <c r="B10" s="13" t="s">
        <v>40</v>
      </c>
      <c r="C10" s="13" t="s">
        <v>38</v>
      </c>
      <c r="D10" s="14">
        <v>10284</v>
      </c>
      <c r="E10" s="14">
        <v>10469</v>
      </c>
      <c r="F10" s="14">
        <v>11405</v>
      </c>
      <c r="G10" s="14">
        <v>11633</v>
      </c>
      <c r="H10" s="14">
        <v>12695</v>
      </c>
    </row>
    <row r="11" spans="1:8" x14ac:dyDescent="0.25">
      <c r="A11" s="9" t="s">
        <v>44</v>
      </c>
      <c r="B11" s="10" t="s">
        <v>45</v>
      </c>
      <c r="C11" s="10" t="s">
        <v>32</v>
      </c>
      <c r="D11" s="11">
        <v>4752</v>
      </c>
      <c r="E11" s="11">
        <v>4837</v>
      </c>
      <c r="F11" s="11">
        <v>5270</v>
      </c>
      <c r="G11" s="11">
        <v>5375</v>
      </c>
      <c r="H11" s="11">
        <v>5866</v>
      </c>
    </row>
    <row r="12" spans="1:8" x14ac:dyDescent="0.25">
      <c r="A12" s="12" t="s">
        <v>46</v>
      </c>
      <c r="B12" s="13" t="s">
        <v>45</v>
      </c>
      <c r="C12" s="13" t="s">
        <v>34</v>
      </c>
      <c r="D12" s="14">
        <v>5267</v>
      </c>
      <c r="E12" s="14">
        <v>5362</v>
      </c>
      <c r="F12" s="14">
        <v>5842</v>
      </c>
      <c r="G12" s="14">
        <v>5958</v>
      </c>
      <c r="H12" s="14">
        <v>6502</v>
      </c>
    </row>
    <row r="13" spans="1:8" x14ac:dyDescent="0.25">
      <c r="A13" s="9" t="s">
        <v>47</v>
      </c>
      <c r="B13" s="10" t="s">
        <v>45</v>
      </c>
      <c r="C13" s="10" t="s">
        <v>36</v>
      </c>
      <c r="D13" s="11">
        <v>8349</v>
      </c>
      <c r="E13" s="11">
        <v>8499</v>
      </c>
      <c r="F13" s="11">
        <v>9259</v>
      </c>
      <c r="G13" s="11">
        <v>9444</v>
      </c>
      <c r="H13" s="11">
        <v>10306</v>
      </c>
    </row>
    <row r="14" spans="1:8" x14ac:dyDescent="0.25">
      <c r="A14" s="12" t="s">
        <v>48</v>
      </c>
      <c r="B14" s="13" t="s">
        <v>45</v>
      </c>
      <c r="C14" s="13" t="s">
        <v>38</v>
      </c>
      <c r="D14" s="14">
        <v>9504</v>
      </c>
      <c r="E14" s="14">
        <v>9675</v>
      </c>
      <c r="F14" s="14">
        <v>10540</v>
      </c>
      <c r="G14" s="14">
        <v>10750</v>
      </c>
      <c r="H14" s="14">
        <v>11732</v>
      </c>
    </row>
    <row r="15" spans="1:8" x14ac:dyDescent="0.25">
      <c r="A15" s="9" t="s">
        <v>49</v>
      </c>
      <c r="B15" s="10" t="s">
        <v>50</v>
      </c>
      <c r="C15" s="10" t="s">
        <v>32</v>
      </c>
      <c r="D15" s="11">
        <v>4374</v>
      </c>
      <c r="E15" s="11">
        <v>4452</v>
      </c>
      <c r="F15" s="11">
        <v>4851</v>
      </c>
      <c r="G15" s="11">
        <v>4948</v>
      </c>
      <c r="H15" s="11">
        <v>5399</v>
      </c>
    </row>
    <row r="16" spans="1:8" x14ac:dyDescent="0.25">
      <c r="A16" s="12" t="s">
        <v>51</v>
      </c>
      <c r="B16" s="13" t="s">
        <v>50</v>
      </c>
      <c r="C16" s="13" t="s">
        <v>34</v>
      </c>
      <c r="D16" s="14">
        <v>4877</v>
      </c>
      <c r="E16" s="14">
        <v>4965</v>
      </c>
      <c r="F16" s="14">
        <v>5409</v>
      </c>
      <c r="G16" s="14">
        <v>5517</v>
      </c>
      <c r="H16" s="14">
        <v>6020</v>
      </c>
    </row>
    <row r="17" spans="1:8" x14ac:dyDescent="0.25">
      <c r="A17" s="9" t="s">
        <v>52</v>
      </c>
      <c r="B17" s="10" t="s">
        <v>50</v>
      </c>
      <c r="C17" s="10" t="s">
        <v>36</v>
      </c>
      <c r="D17" s="11">
        <v>8107</v>
      </c>
      <c r="E17" s="11">
        <v>8252</v>
      </c>
      <c r="F17" s="11">
        <v>8990</v>
      </c>
      <c r="G17" s="11">
        <v>9170</v>
      </c>
      <c r="H17" s="11">
        <v>10007</v>
      </c>
    </row>
    <row r="18" spans="1:8" x14ac:dyDescent="0.25">
      <c r="A18" s="12" t="s">
        <v>53</v>
      </c>
      <c r="B18" s="13" t="s">
        <v>50</v>
      </c>
      <c r="C18" s="13" t="s">
        <v>38</v>
      </c>
      <c r="D18" s="14">
        <v>8747</v>
      </c>
      <c r="E18" s="14">
        <v>8905</v>
      </c>
      <c r="F18" s="14">
        <v>9701</v>
      </c>
      <c r="G18" s="14">
        <v>9895</v>
      </c>
      <c r="H18" s="14">
        <v>10798</v>
      </c>
    </row>
    <row r="19" spans="1:8" x14ac:dyDescent="0.25">
      <c r="A19" s="9" t="s">
        <v>54</v>
      </c>
      <c r="B19" s="10" t="s">
        <v>55</v>
      </c>
      <c r="C19" s="10" t="s">
        <v>32</v>
      </c>
      <c r="D19" s="11">
        <v>794575</v>
      </c>
      <c r="E19" s="11">
        <v>808877</v>
      </c>
      <c r="F19" s="11">
        <v>881193</v>
      </c>
      <c r="G19" s="11">
        <v>898817</v>
      </c>
      <c r="H19" s="11">
        <v>980858</v>
      </c>
    </row>
    <row r="20" spans="1:8" x14ac:dyDescent="0.25">
      <c r="A20" s="12" t="s">
        <v>56</v>
      </c>
      <c r="B20" s="13" t="s">
        <v>55</v>
      </c>
      <c r="C20" s="13" t="s">
        <v>34</v>
      </c>
      <c r="D20" s="14">
        <v>885191</v>
      </c>
      <c r="E20" s="14">
        <v>901124</v>
      </c>
      <c r="F20" s="14">
        <v>981688</v>
      </c>
      <c r="G20" s="14">
        <v>1001322</v>
      </c>
      <c r="H20" s="14">
        <v>1092719</v>
      </c>
    </row>
    <row r="21" spans="1:8" x14ac:dyDescent="0.25">
      <c r="A21" s="9" t="s">
        <v>57</v>
      </c>
      <c r="B21" s="10" t="s">
        <v>55</v>
      </c>
      <c r="C21" s="10" t="s">
        <v>36</v>
      </c>
      <c r="D21" s="11">
        <v>1328356</v>
      </c>
      <c r="E21" s="11">
        <v>1352267</v>
      </c>
      <c r="F21" s="11">
        <v>1473164</v>
      </c>
      <c r="G21" s="11">
        <v>1502627</v>
      </c>
      <c r="H21" s="11">
        <v>1639782</v>
      </c>
    </row>
    <row r="22" spans="1:8" x14ac:dyDescent="0.25">
      <c r="A22" s="12" t="s">
        <v>58</v>
      </c>
      <c r="B22" s="13" t="s">
        <v>55</v>
      </c>
      <c r="C22" s="13" t="s">
        <v>38</v>
      </c>
      <c r="D22" s="14">
        <v>1589149</v>
      </c>
      <c r="E22" s="14">
        <v>1617754</v>
      </c>
      <c r="F22" s="14">
        <v>1762386</v>
      </c>
      <c r="G22" s="14">
        <v>1797634</v>
      </c>
      <c r="H22" s="14">
        <v>1961716</v>
      </c>
    </row>
    <row r="23" spans="1:8" x14ac:dyDescent="0.25">
      <c r="A23" s="15" t="s">
        <v>59</v>
      </c>
      <c r="B23" s="15"/>
      <c r="C23" s="15"/>
      <c r="D23" s="15"/>
      <c r="E23" s="15"/>
      <c r="F23" s="15"/>
      <c r="G23" s="15"/>
      <c r="H23" s="15"/>
    </row>
    <row r="24" spans="1:8" x14ac:dyDescent="0.25">
      <c r="A24" s="9" t="s">
        <v>60</v>
      </c>
      <c r="B24" s="10" t="s">
        <v>31</v>
      </c>
      <c r="C24" s="10" t="s">
        <v>32</v>
      </c>
      <c r="D24" s="11">
        <v>99800</v>
      </c>
      <c r="E24" s="11">
        <v>125400</v>
      </c>
      <c r="F24" s="11">
        <v>63300</v>
      </c>
      <c r="G24" s="11">
        <v>72900</v>
      </c>
      <c r="H24" s="11">
        <v>0</v>
      </c>
    </row>
    <row r="25" spans="1:8" x14ac:dyDescent="0.25">
      <c r="A25" s="12" t="s">
        <v>61</v>
      </c>
      <c r="B25" s="13" t="s">
        <v>31</v>
      </c>
      <c r="C25" s="13" t="s">
        <v>34</v>
      </c>
      <c r="D25" s="14">
        <v>110800</v>
      </c>
      <c r="E25" s="14">
        <v>139200</v>
      </c>
      <c r="F25" s="14">
        <v>70300</v>
      </c>
      <c r="G25" s="14">
        <v>80900</v>
      </c>
      <c r="H25" s="14">
        <v>0</v>
      </c>
    </row>
    <row r="26" spans="1:8" x14ac:dyDescent="0.25">
      <c r="A26" s="9" t="s">
        <v>62</v>
      </c>
      <c r="B26" s="10" t="s">
        <v>31</v>
      </c>
      <c r="C26" s="10" t="s">
        <v>36</v>
      </c>
      <c r="D26" s="11">
        <v>153200</v>
      </c>
      <c r="E26" s="11">
        <v>192500</v>
      </c>
      <c r="F26" s="11">
        <v>97200</v>
      </c>
      <c r="G26" s="11">
        <v>111900</v>
      </c>
      <c r="H26" s="11">
        <v>0</v>
      </c>
    </row>
    <row r="27" spans="1:8" x14ac:dyDescent="0.25">
      <c r="A27" s="12" t="s">
        <v>63</v>
      </c>
      <c r="B27" s="13" t="s">
        <v>31</v>
      </c>
      <c r="C27" s="13" t="s">
        <v>38</v>
      </c>
      <c r="D27" s="14">
        <v>199600</v>
      </c>
      <c r="E27" s="14">
        <v>250700</v>
      </c>
      <c r="F27" s="14">
        <v>126600</v>
      </c>
      <c r="G27" s="14">
        <v>145700</v>
      </c>
      <c r="H27" s="14">
        <v>0</v>
      </c>
    </row>
    <row r="28" spans="1:8" x14ac:dyDescent="0.25">
      <c r="A28" s="9" t="s">
        <v>64</v>
      </c>
      <c r="B28" s="10" t="s">
        <v>40</v>
      </c>
      <c r="C28" s="10" t="s">
        <v>32</v>
      </c>
      <c r="D28" s="11">
        <v>91000</v>
      </c>
      <c r="E28" s="11">
        <v>114400</v>
      </c>
      <c r="F28" s="11">
        <v>58300</v>
      </c>
      <c r="G28" s="11">
        <v>67100</v>
      </c>
      <c r="H28" s="11">
        <v>0</v>
      </c>
    </row>
    <row r="29" spans="1:8" x14ac:dyDescent="0.25">
      <c r="A29" s="12" t="s">
        <v>65</v>
      </c>
      <c r="B29" s="13" t="s">
        <v>40</v>
      </c>
      <c r="C29" s="13" t="s">
        <v>34</v>
      </c>
      <c r="D29" s="14">
        <v>101100</v>
      </c>
      <c r="E29" s="14">
        <v>127000</v>
      </c>
      <c r="F29" s="14">
        <v>64700</v>
      </c>
      <c r="G29" s="14">
        <v>74500</v>
      </c>
      <c r="H29" s="14">
        <v>0</v>
      </c>
    </row>
    <row r="30" spans="1:8" x14ac:dyDescent="0.25">
      <c r="A30" s="9" t="s">
        <v>66</v>
      </c>
      <c r="B30" s="10" t="s">
        <v>40</v>
      </c>
      <c r="C30" s="10" t="s">
        <v>36</v>
      </c>
      <c r="D30" s="11">
        <v>140000</v>
      </c>
      <c r="E30" s="11">
        <v>175600</v>
      </c>
      <c r="F30" s="11">
        <v>89500</v>
      </c>
      <c r="G30" s="11">
        <v>103100</v>
      </c>
      <c r="H30" s="11">
        <v>0</v>
      </c>
    </row>
    <row r="31" spans="1:8" x14ac:dyDescent="0.25">
      <c r="A31" s="12" t="s">
        <v>67</v>
      </c>
      <c r="B31" s="13" t="s">
        <v>40</v>
      </c>
      <c r="C31" s="13" t="s">
        <v>38</v>
      </c>
      <c r="D31" s="14">
        <v>182000</v>
      </c>
      <c r="E31" s="14">
        <v>228700</v>
      </c>
      <c r="F31" s="14">
        <v>116600</v>
      </c>
      <c r="G31" s="14">
        <v>134200</v>
      </c>
      <c r="H31" s="14">
        <v>0</v>
      </c>
    </row>
    <row r="32" spans="1:8" x14ac:dyDescent="0.25">
      <c r="A32" s="9" t="s">
        <v>68</v>
      </c>
      <c r="B32" s="10" t="s">
        <v>45</v>
      </c>
      <c r="C32" s="10" t="s">
        <v>32</v>
      </c>
      <c r="D32" s="11">
        <v>83500</v>
      </c>
      <c r="E32" s="11">
        <v>104900</v>
      </c>
      <c r="F32" s="11">
        <v>53400</v>
      </c>
      <c r="G32" s="11">
        <v>61500</v>
      </c>
      <c r="H32" s="11">
        <v>0</v>
      </c>
    </row>
    <row r="33" spans="1:8" x14ac:dyDescent="0.25">
      <c r="A33" s="12" t="s">
        <v>69</v>
      </c>
      <c r="B33" s="13" t="s">
        <v>45</v>
      </c>
      <c r="C33" s="13" t="s">
        <v>34</v>
      </c>
      <c r="D33" s="14">
        <v>92700</v>
      </c>
      <c r="E33" s="14">
        <v>116400</v>
      </c>
      <c r="F33" s="14">
        <v>59300</v>
      </c>
      <c r="G33" s="14">
        <v>68200</v>
      </c>
      <c r="H33" s="14">
        <v>0</v>
      </c>
    </row>
    <row r="34" spans="1:8" x14ac:dyDescent="0.25">
      <c r="A34" s="9" t="s">
        <v>70</v>
      </c>
      <c r="B34" s="10" t="s">
        <v>45</v>
      </c>
      <c r="C34" s="10" t="s">
        <v>36</v>
      </c>
      <c r="D34" s="11">
        <v>128200</v>
      </c>
      <c r="E34" s="11">
        <v>161000</v>
      </c>
      <c r="F34" s="11">
        <v>82000</v>
      </c>
      <c r="G34" s="11">
        <v>94400</v>
      </c>
      <c r="H34" s="11">
        <v>0</v>
      </c>
    </row>
    <row r="35" spans="1:8" x14ac:dyDescent="0.25">
      <c r="A35" s="12" t="s">
        <v>71</v>
      </c>
      <c r="B35" s="13" t="s">
        <v>45</v>
      </c>
      <c r="C35" s="13" t="s">
        <v>38</v>
      </c>
      <c r="D35" s="14">
        <v>167000</v>
      </c>
      <c r="E35" s="14">
        <v>209800</v>
      </c>
      <c r="F35" s="14">
        <v>106800</v>
      </c>
      <c r="G35" s="14">
        <v>123000</v>
      </c>
      <c r="H35" s="14">
        <v>0</v>
      </c>
    </row>
    <row r="36" spans="1:8" x14ac:dyDescent="0.25">
      <c r="A36" s="9" t="s">
        <v>72</v>
      </c>
      <c r="B36" s="10" t="s">
        <v>50</v>
      </c>
      <c r="C36" s="10" t="s">
        <v>32</v>
      </c>
      <c r="D36" s="11">
        <v>78400</v>
      </c>
      <c r="E36" s="11">
        <v>98500</v>
      </c>
      <c r="F36" s="11">
        <v>50300</v>
      </c>
      <c r="G36" s="11">
        <v>57900</v>
      </c>
      <c r="H36" s="11">
        <v>0</v>
      </c>
    </row>
    <row r="37" spans="1:8" x14ac:dyDescent="0.25">
      <c r="A37" s="12" t="s">
        <v>73</v>
      </c>
      <c r="B37" s="13" t="s">
        <v>50</v>
      </c>
      <c r="C37" s="13" t="s">
        <v>34</v>
      </c>
      <c r="D37" s="14">
        <v>87100</v>
      </c>
      <c r="E37" s="14">
        <v>109400</v>
      </c>
      <c r="F37" s="14">
        <v>55900</v>
      </c>
      <c r="G37" s="14">
        <v>64300</v>
      </c>
      <c r="H37" s="14">
        <v>0</v>
      </c>
    </row>
    <row r="38" spans="1:8" x14ac:dyDescent="0.25">
      <c r="A38" s="9" t="s">
        <v>74</v>
      </c>
      <c r="B38" s="10" t="s">
        <v>50</v>
      </c>
      <c r="C38" s="10" t="s">
        <v>36</v>
      </c>
      <c r="D38" s="11">
        <v>120400</v>
      </c>
      <c r="E38" s="11">
        <v>151200</v>
      </c>
      <c r="F38" s="11">
        <v>77200</v>
      </c>
      <c r="G38" s="11">
        <v>88900</v>
      </c>
      <c r="H38" s="11">
        <v>0</v>
      </c>
    </row>
    <row r="39" spans="1:8" x14ac:dyDescent="0.25">
      <c r="A39" s="12" t="s">
        <v>75</v>
      </c>
      <c r="B39" s="13" t="s">
        <v>50</v>
      </c>
      <c r="C39" s="13" t="s">
        <v>38</v>
      </c>
      <c r="D39" s="14">
        <v>156800</v>
      </c>
      <c r="E39" s="14">
        <v>197000</v>
      </c>
      <c r="F39" s="14">
        <v>100600</v>
      </c>
      <c r="G39" s="14">
        <v>115800</v>
      </c>
      <c r="H39" s="14">
        <v>0</v>
      </c>
    </row>
    <row r="40" spans="1:8" x14ac:dyDescent="0.25">
      <c r="A40" s="9" t="s">
        <v>76</v>
      </c>
      <c r="B40" s="10" t="s">
        <v>55</v>
      </c>
      <c r="C40" s="10" t="s">
        <v>32</v>
      </c>
      <c r="D40" s="11">
        <v>78400</v>
      </c>
      <c r="E40" s="11">
        <v>98500</v>
      </c>
      <c r="F40" s="11">
        <v>50300</v>
      </c>
      <c r="G40" s="11">
        <v>57900</v>
      </c>
      <c r="H40" s="11">
        <v>0</v>
      </c>
    </row>
    <row r="41" spans="1:8" x14ac:dyDescent="0.25">
      <c r="A41" s="12" t="s">
        <v>77</v>
      </c>
      <c r="B41" s="13" t="s">
        <v>55</v>
      </c>
      <c r="C41" s="13" t="s">
        <v>34</v>
      </c>
      <c r="D41" s="14">
        <v>87100</v>
      </c>
      <c r="E41" s="14">
        <v>109400</v>
      </c>
      <c r="F41" s="14">
        <v>55900</v>
      </c>
      <c r="G41" s="14">
        <v>64300</v>
      </c>
      <c r="H41" s="14">
        <v>0</v>
      </c>
    </row>
    <row r="42" spans="1:8" x14ac:dyDescent="0.25">
      <c r="A42" s="9" t="s">
        <v>78</v>
      </c>
      <c r="B42" s="10" t="s">
        <v>55</v>
      </c>
      <c r="C42" s="10" t="s">
        <v>36</v>
      </c>
      <c r="D42" s="11">
        <v>120400</v>
      </c>
      <c r="E42" s="11">
        <v>151200</v>
      </c>
      <c r="F42" s="11">
        <v>77200</v>
      </c>
      <c r="G42" s="11">
        <v>88900</v>
      </c>
      <c r="H42" s="11">
        <v>0</v>
      </c>
    </row>
    <row r="43" spans="1:8" x14ac:dyDescent="0.25">
      <c r="A43" s="12" t="s">
        <v>79</v>
      </c>
      <c r="B43" s="13" t="s">
        <v>55</v>
      </c>
      <c r="C43" s="13" t="s">
        <v>38</v>
      </c>
      <c r="D43" s="14">
        <v>156800</v>
      </c>
      <c r="E43" s="14">
        <v>197000</v>
      </c>
      <c r="F43" s="14">
        <v>100600</v>
      </c>
      <c r="G43" s="14">
        <v>115800</v>
      </c>
      <c r="H43" s="14">
        <v>0</v>
      </c>
    </row>
    <row r="45" spans="1:8" x14ac:dyDescent="0.25">
      <c r="A45" s="6" t="s">
        <v>80</v>
      </c>
      <c r="B45" s="6"/>
      <c r="C45" s="6"/>
      <c r="D45" s="6"/>
      <c r="E45" s="6"/>
      <c r="F45" s="6"/>
      <c r="G45" s="6"/>
      <c r="H45" s="6"/>
    </row>
    <row r="46" spans="1:8" x14ac:dyDescent="0.25">
      <c r="A46" s="6" t="s">
        <v>81</v>
      </c>
      <c r="B46" s="6"/>
      <c r="C46" s="6"/>
      <c r="D46" s="6"/>
      <c r="E46" s="6"/>
      <c r="F46" s="6"/>
      <c r="G46" s="6"/>
      <c r="H46" s="6"/>
    </row>
    <row r="47" spans="1:8" x14ac:dyDescent="0.25">
      <c r="A47" s="6" t="s">
        <v>82</v>
      </c>
      <c r="B47" s="6"/>
      <c r="C47" s="6"/>
      <c r="D47" s="6"/>
      <c r="E47" s="6"/>
      <c r="F47" s="6"/>
      <c r="G47" s="6"/>
      <c r="H47" s="6"/>
    </row>
  </sheetData>
  <mergeCells count="5">
    <mergeCell ref="A1:H1"/>
    <mergeCell ref="A23:H23"/>
    <mergeCell ref="A45:H45"/>
    <mergeCell ref="A46:H46"/>
    <mergeCell ref="A47:H4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B5E20"/>
  </sheetPr>
  <dimension ref="A1:D30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26" customWidth="1"/>
    <col min="3" max="3" width="4" customWidth="1"/>
    <col min="4" max="5" width="18" hidden="1" customWidth="1"/>
  </cols>
  <sheetData>
    <row r="1" ht="28" customHeight="1" spans="1:2" x14ac:dyDescent="0.25">
      <c r="A1" s="16" t="s">
        <v>83</v>
      </c>
      <c r="B1" s="16"/>
    </row>
    <row r="2" spans="1:2" x14ac:dyDescent="0.25">
      <c r="A2" s="17" t="s">
        <v>84</v>
      </c>
      <c r="B2" s="17"/>
    </row>
    <row r="4" spans="1:2" x14ac:dyDescent="0.25">
      <c r="A4" s="4" t="s">
        <v>85</v>
      </c>
      <c r="B4" s="4"/>
    </row>
    <row r="5" spans="1:4" x14ac:dyDescent="0.25">
      <c r="A5" s="18" t="s">
        <v>23</v>
      </c>
      <c r="B5" s="19" t="s">
        <v>40</v>
      </c>
      <c r="D5">
        <f>MATCH(B7,'Escala 2026'!$D$2:$H$2,0)</f>
      </c>
    </row>
    <row r="6" spans="1:4" x14ac:dyDescent="0.25">
      <c r="A6" s="18" t="s">
        <v>24</v>
      </c>
      <c r="B6" s="19" t="s">
        <v>32</v>
      </c>
      <c r="D6">
        <f>CONCATENATE("J|",B5,"|",B6)</f>
      </c>
    </row>
    <row r="7" spans="1:4" x14ac:dyDescent="0.25">
      <c r="A7" s="18" t="s">
        <v>86</v>
      </c>
      <c r="B7" s="19" t="s">
        <v>29</v>
      </c>
      <c r="D7">
        <f>INDEX('Escala 2026'!$D$3:$H$22,MATCH(D6,'Escala 2026'!$A$3:$A$22,0),D5)</f>
      </c>
    </row>
    <row r="8" spans="1:4" x14ac:dyDescent="0.25">
      <c r="A8" s="18" t="s">
        <v>87</v>
      </c>
      <c r="B8" s="20">
        <v>190.67</v>
      </c>
      <c r="D8">
        <f>CONCATENATE("S|",B5,"|",B6)</f>
      </c>
    </row>
    <row r="9" spans="1:4" x14ac:dyDescent="0.25">
      <c r="A9" s="18" t="s">
        <v>88</v>
      </c>
      <c r="B9" s="19" t="s">
        <v>89</v>
      </c>
      <c r="D9">
        <f>INDEX('Escala 2026'!$D$24:$H$43,MATCH(D8,'Escala 2026'!$A$24:$A$43,0),D5)</f>
      </c>
    </row>
    <row r="10" spans="1:4" x14ac:dyDescent="0.25">
      <c r="A10" s="18" t="s">
        <v>90</v>
      </c>
      <c r="B10" s="19" t="s">
        <v>89</v>
      </c>
      <c r="D10">
        <f>IF(B5="Sereno",1,0)</f>
      </c>
    </row>
    <row r="11" ht="6" customHeight="1" x14ac:dyDescent="0.25"/>
    <row r="12" spans="1:2" x14ac:dyDescent="0.25">
      <c r="A12" s="4" t="s">
        <v>91</v>
      </c>
      <c r="B12" s="4"/>
    </row>
    <row r="13" spans="1:2" x14ac:dyDescent="0.25">
      <c r="A13" s="21" t="s">
        <v>92</v>
      </c>
      <c r="B13" s="22">
        <f>=IF(D10=1,"—",D7)</f>
      </c>
    </row>
    <row r="14" spans="1:2" x14ac:dyDescent="0.25">
      <c r="A14" s="21" t="s">
        <v>93</v>
      </c>
      <c r="B14" s="23">
        <f>=IF(D10=1,"—",B8)</f>
      </c>
    </row>
    <row r="15" spans="1:2" x14ac:dyDescent="0.25">
      <c r="A15" s="21" t="s">
        <v>94</v>
      </c>
      <c r="B15" s="22">
        <f>=IF(D10=1,D7,D7*B8)</f>
      </c>
    </row>
    <row r="16" spans="1:2" x14ac:dyDescent="0.25">
      <c r="A16" s="21" t="s">
        <v>95</v>
      </c>
      <c r="B16" s="22">
        <f>=IF(B9="Sí",B15*0.2,0)</f>
      </c>
    </row>
    <row r="17" spans="1:2" x14ac:dyDescent="0.25">
      <c r="A17" s="21" t="s">
        <v>96</v>
      </c>
      <c r="B17" s="22">
        <f>=B15+B16</f>
      </c>
    </row>
    <row r="18" spans="1:2" x14ac:dyDescent="0.25">
      <c r="A18" s="21" t="s">
        <v>97</v>
      </c>
      <c r="B18" s="22">
        <f>=D9</f>
      </c>
    </row>
    <row r="19" spans="1:2" x14ac:dyDescent="0.25">
      <c r="A19" s="24" t="s">
        <v>98</v>
      </c>
      <c r="B19" s="25">
        <f>=B17+B18</f>
      </c>
    </row>
    <row r="20" spans="1:2" x14ac:dyDescent="0.25">
      <c r="A20" s="21" t="s">
        <v>99</v>
      </c>
      <c r="B20" s="22">
        <f>=-(B17*(0.17+IF(B10="Sí",0.02,0))+B18*0.03)</f>
      </c>
    </row>
    <row r="21" spans="1:2" x14ac:dyDescent="0.25">
      <c r="A21" s="24" t="s">
        <v>100</v>
      </c>
      <c r="B21" s="25">
        <f>=B19+B20</f>
      </c>
    </row>
    <row r="22" ht="6" customHeight="1" x14ac:dyDescent="0.25"/>
    <row r="23" spans="1:2" x14ac:dyDescent="0.25">
      <c r="A23" s="4" t="s">
        <v>101</v>
      </c>
      <c r="B23" s="4"/>
    </row>
    <row r="24" spans="1:2" x14ac:dyDescent="0.25">
      <c r="A24" s="21" t="s">
        <v>102</v>
      </c>
      <c r="B24" s="22">
        <f>=B17*0.12</f>
      </c>
    </row>
    <row r="25" spans="1:2" x14ac:dyDescent="0.25">
      <c r="A25" s="21" t="s">
        <v>103</v>
      </c>
      <c r="B25" s="22">
        <f>=B17*0.08</f>
      </c>
    </row>
    <row r="27" spans="1:2" x14ac:dyDescent="0.25">
      <c r="A27" s="6" t="s">
        <v>104</v>
      </c>
      <c r="B27" s="6"/>
    </row>
    <row r="28" spans="1:2" x14ac:dyDescent="0.25">
      <c r="A28" s="6" t="s">
        <v>105</v>
      </c>
      <c r="B28" s="6"/>
    </row>
    <row r="29" spans="1:2" x14ac:dyDescent="0.25">
      <c r="A29" s="6" t="s">
        <v>106</v>
      </c>
      <c r="B29" s="6"/>
    </row>
    <row r="30" spans="1:2" x14ac:dyDescent="0.25">
      <c r="A30" s="6" t="s">
        <v>107</v>
      </c>
      <c r="B30" s="6"/>
    </row>
  </sheetData>
  <mergeCells count="9">
    <mergeCell ref="A1:B1"/>
    <mergeCell ref="A2:B2"/>
    <mergeCell ref="A4:B4"/>
    <mergeCell ref="A12:B12"/>
    <mergeCell ref="A23:B23"/>
    <mergeCell ref="A27:B27"/>
    <mergeCell ref="A28:B28"/>
    <mergeCell ref="A29:B29"/>
    <mergeCell ref="A30:B30"/>
  </mergeCells>
  <dataValidations count="6">
    <dataValidation type="list" showErrorMessage="1" error="Elegí Sí o No." sqref="B10">
      <formula1>"Sí,No"</formula1>
    </dataValidation>
    <dataValidation type="list" showErrorMessage="1" error="Elegí una categoría de la lista." sqref="B5">
      <formula1>"Oficial especializado,Oficial,Medio oficial,Ayudante,Sereno"</formula1>
    </dataValidation>
    <dataValidation type="list" showErrorMessage="1" error="Elegí una zona de la lista." sqref="B6">
      <formula1>"Zona A,Zona B,Zona C,Zona C Austral"</formula1>
    </dataValidation>
    <dataValidation type="list" showErrorMessage="1" error="Elegí un mes de la lista." sqref="B7">
      <formula1>"Abril 2026,Mayo 2026,Junio 2026,Julio 2026,Agosto 2026"</formula1>
    </dataValidation>
    <dataValidation type="decimal" showErrorMessage="1" error="Ingresá las horas del mes (entre 1 y 300). Mes completo = 190,67." sqref="B8">
      <formula1>1</formula1>
      <formula2>300</formula2>
    </dataValidation>
    <dataValidation type="list" showErrorMessage="1" error="Elegí Sí o No." sqref="B9:B10">
      <formula1>"Sí,No"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7474F"/>
  </sheetPr>
  <dimension ref="A1:B16"/>
  <sheetFormatPr defaultRowHeight="15" outlineLevelRow="0" outlineLevelCol="0" x14ac:dyDescent="55"/>
  <cols>
    <col min="1" max="1" width="62" customWidth="1"/>
    <col min="2" max="2" width="76" customWidth="1"/>
  </cols>
  <sheetData>
    <row r="1" ht="28" customHeight="1" spans="1:2" x14ac:dyDescent="0.25">
      <c r="A1" s="26" t="s">
        <v>108</v>
      </c>
      <c r="B1" s="26"/>
    </row>
    <row r="2" ht="30" customHeight="1" spans="1:2" x14ac:dyDescent="0.25">
      <c r="A2" s="27" t="s">
        <v>109</v>
      </c>
      <c r="B2" s="27"/>
    </row>
    <row r="4" spans="1:2" x14ac:dyDescent="0.25">
      <c r="A4" s="28" t="s">
        <v>110</v>
      </c>
      <c r="B4" s="28" t="s">
        <v>111</v>
      </c>
    </row>
    <row r="5" ht="32" customHeight="1" spans="1:2" x14ac:dyDescent="0.25">
      <c r="A5" s="29" t="s">
        <v>112</v>
      </c>
      <c r="B5" s="30" t="s">
        <v>113</v>
      </c>
    </row>
    <row r="6" ht="32" customHeight="1" spans="1:2" x14ac:dyDescent="0.25">
      <c r="A6" s="31" t="s">
        <v>114</v>
      </c>
      <c r="B6" s="32" t="s">
        <v>115</v>
      </c>
    </row>
    <row r="7" ht="32" customHeight="1" spans="1:2" x14ac:dyDescent="0.25">
      <c r="A7" s="29" t="s">
        <v>116</v>
      </c>
      <c r="B7" s="30" t="s">
        <v>117</v>
      </c>
    </row>
    <row r="8" ht="32" customHeight="1" spans="1:2" x14ac:dyDescent="0.25">
      <c r="A8" s="31" t="s">
        <v>118</v>
      </c>
      <c r="B8" s="32" t="s">
        <v>119</v>
      </c>
    </row>
    <row r="9" ht="32" customHeight="1" spans="1:2" x14ac:dyDescent="0.25">
      <c r="A9" s="29" t="s">
        <v>120</v>
      </c>
      <c r="B9" s="30" t="s">
        <v>121</v>
      </c>
    </row>
    <row r="10" ht="32" customHeight="1" spans="1:2" x14ac:dyDescent="0.25">
      <c r="A10" s="31" t="s">
        <v>122</v>
      </c>
      <c r="B10" s="32" t="s">
        <v>123</v>
      </c>
    </row>
    <row r="12" spans="1:1" x14ac:dyDescent="0.25">
      <c r="A12" s="33" t="s">
        <v>124</v>
      </c>
    </row>
    <row r="13" spans="1:2" x14ac:dyDescent="0.25">
      <c r="A13" s="6" t="s">
        <v>125</v>
      </c>
      <c r="B13" s="6"/>
    </row>
    <row r="14" spans="1:2" x14ac:dyDescent="0.25">
      <c r="A14" s="6" t="s">
        <v>126</v>
      </c>
      <c r="B14" s="6"/>
    </row>
    <row r="16" spans="1:2" x14ac:dyDescent="0.25">
      <c r="A16" s="6" t="s">
        <v>127</v>
      </c>
      <c r="B16" s="6"/>
    </row>
  </sheetData>
  <mergeCells count="5">
    <mergeCell ref="A1:B1"/>
    <mergeCell ref="A2:B2"/>
    <mergeCell ref="A13:B13"/>
    <mergeCell ref="A14:B14"/>
    <mergeCell ref="A16:B16"/>
  </mergeCells>
  <hyperlinks>
    <hyperlink ref="B5" r:id="rId1"/>
    <hyperlink ref="B6" r:id="rId2"/>
    <hyperlink ref="B7" r:id="rId3"/>
    <hyperlink ref="B8" r:id="rId4"/>
    <hyperlink ref="B9" r:id="rId5"/>
    <hyperlink ref="B10" r:id="rId6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Instrucciones</vt:lpstr>
      <vt:lpstr>Escala 2026</vt:lpstr>
      <vt:lpstr>Liquidador</vt:lpstr>
      <vt:lpstr>Fuentes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CalculAR (calcular.ar)</dc:creator>
  <dc:title>Planilla de sueldos UOCRA 2026 — CCT 76/75</dc:title>
  <dc:subject>Liquidación de sueldos de la construcción según los acuerdos paritarios oficiales</dc:subject>
  <dc:description/>
  <cp:keywords>uocra, construcción, sueldo, cct 76/75, jornal, planilla, liquidación</cp:keywords>
  <cp:category/>
  <cp:lastModifiedBy>Unknown</cp:lastModifiedBy>
  <dcterms:created xsi:type="dcterms:W3CDTF">2026-09-09T10:31:41Z</dcterms:created>
  <dcterms:modified xsi:type="dcterms:W3CDTF">2026-09-09T10:31:41Z</dcterms:modified>
</cp:coreProperties>
</file>