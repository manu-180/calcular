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s" state="visible" r:id="rId5"/>
    <sheet sheetId="3" name="Liquidador" state="visible" r:id="rId6"/>
    <sheet sheetId="4" name="Diferencias" state="visible" r:id="rId7"/>
    <sheet sheetId="5" name="Fuentes" state="visible" r:id="rId8"/>
  </sheets>
  <calcPr calcId="171027"/>
</workbook>
</file>

<file path=xl/sharedStrings.xml><?xml version="1.0" encoding="utf-8"?>
<sst xmlns="http://schemas.openxmlformats.org/spreadsheetml/2006/main" count="373" uniqueCount="229">
  <si>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</si>
  <si>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</si>
  <si>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</si>
  <si>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</si>
  <si>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</si>
  <si>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</si>
  <si>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</si>
  <si>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</si>
  <si>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«Diferencias» calcula lo que se le debe a un trabajador mal registrado o mal pagado: elegís la categoría que le corresponde, la que figura en el recibo (o cargás lo que cobró) y el período, desde Junio 2024. Suma sueldo, suma no remunerativa, aguinaldo y fondo de cese.</t>
  </si>
  <si>
    <t>5</t>
  </si>
  <si>
    <t>La hoja «Escalas» tiene los jornales oficiales por categoría y zona, mes por mes, de Junio 2024 a Noviembre 2026. Es de donde salen todos los valores.</t>
  </si>
  <si>
    <t>6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</si>
  <si>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</si>
  <si>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</si>
  <si>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</si>
  <si>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</si>
  <si>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</si>
  <si>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</si>
  <si>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</si>
  <si>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</si>
  <si>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Comisión Especial se reunió el 20 de octubre de 2026 para fijar diciembre de 2026 en adelante, y al 28 de septiembre de 2026 el acuerdo todavía no se publicó: la tabla llega hasta el último mes acordado.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</si>
  <si>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</si>
  <si>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</si>
  <si>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Junio 2024 a Noviembre 2026 — CCT 76/75 (jornales y sumas no remunerativas)</t>
  </si>
  <si>
    <t>Clave</t>
  </si>
  <si>
    <t>Categoría</t>
  </si>
  <si>
    <t>Zona</t>
  </si>
  <si>
    <t>Junio 2024</t>
  </si>
  <si>
    <t>Julio 2024</t>
  </si>
  <si>
    <t>Agosto 2024</t>
  </si>
  <si>
    <t>Septiembre 2024</t>
  </si>
  <si>
    <t>Octubre 2024</t>
  </si>
  <si>
    <t>Noviembre 2024</t>
  </si>
  <si>
    <t>Diciembre 2024</t>
  </si>
  <si>
    <t>Enero 2025</t>
  </si>
  <si>
    <t>Febrero 2025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</si>
  <si>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</si>
  <si>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</si>
  <si>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</si>
  <si>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</si>
  <si>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</si>
  <si>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</si>
  <si>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</si>
  <si>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</si>
  <si>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</si>
  <si>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</si>
  <si>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</si>
  <si>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</si>
  <si>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</si>
  <si>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</si>
  <si>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</si>
  <si>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</si>
  <si>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</si>
  <si>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</si>
  <si>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</si>
  <si>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</si>
  <si>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</si>
  <si>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</si>
  <si>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</si>
  <si>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</si>
  <si>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</si>
  <si>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</si>
  <si>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</si>
  <si>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</si>
  <si>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</si>
  <si>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</si>
  <si>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</si>
  <si>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</si>
  <si>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</si>
  <si>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</si>
  <si>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</si>
  <si>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</si>
  <si>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</si>
  <si>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</si>
  <si>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</si>
  <si>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</si>
  <si>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</si>
  <si>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</si>
  <si>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</si>
  <si>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</si>
  <si>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</si>
  <si>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</si>
  <si>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</si>
  <si>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</si>
  <si>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</si>
  <si>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</si>
  <si>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</si>
  <si>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</si>
  <si>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</si>
  <si>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</si>
  <si>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</si>
  <si>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</si>
  <si>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</si>
  <si>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</si>
  <si>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</si>
  <si>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</si>
  <si>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</si>
  <si>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</si>
  <si>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</si>
  <si>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</si>
  <si>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</si>
  <si>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</si>
  <si>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</si>
  <si>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</si>
  <si>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</si>
  <si>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</si>
  <si>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</si>
  <si>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</si>
  <si>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Abril a noviembre 2026 verificado el 28 de septiembre de 2026; Junio 2024 a marzo 2026, el 20 de octubre de 2026, contra los acuerdos firmados (ver hoja Fuentes). Julio 2024 y abril 2025 repiten el mes anterior porque no hubo acuerdo para esos meses.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</si>
  <si>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</si>
  <si>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</si>
  <si>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</si>
  <si>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</si>
  <si>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</si>
  <si>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</si>
  <si>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</si>
  <si>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</si>
  <si>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</si>
  <si>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</si>
  <si>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</si>
  <si>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</si>
  <si>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</si>
  <si>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</si>
  <si>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</si>
  <si>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</si>
  <si>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</si>
  <si>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</si>
  <si>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</si>
  <si>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</si>
  <si>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</si>
  <si>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</si>
  <si>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</si>
  <si>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</si>
  <si>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</si>
  <si>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</si>
  <si>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Diferencias salariales — UOCRA (CCT 76/75)</t>
  </si>
  <si>
    <t>Lo que le correspondía cobrar contra lo que cobró, mes por mes, con las escalas oficiales de Junio 2024 a Noviembre 2026. Completá las celdas amarillas.</t>
  </si>
  <si>
    <t>DATOS DEL RECLAMO</t>
  </si>
  <si>
    <t>RESULTADO DEL RECLAMO</t>
  </si>
  <si>
    <t>Categoría que le corresponde</t>
  </si>
  <si>
    <t>Meses incluidos</t>
  </si>
  <si>
    <t>Categoría con la que figura en el recibo</t>
  </si>
  <si>
    <t>Diferencias de sueldo (remunerativo)</t>
  </si>
  <si>
    <t>Diferencias de suma no remunerativa</t>
  </si>
  <si>
    <t>Desde</t>
  </si>
  <si>
    <t>Diferencias de aguinaldo (SAC)</t>
  </si>
  <si>
    <t>Hasta</t>
  </si>
  <si>
    <t>Diferencias de fondo de cese laboral</t>
  </si>
  <si>
    <t>¿Le corresponde asistencia perfecta?</t>
  </si>
  <si>
    <t>TOTAL ADEUDADO (sin intereses)</t>
  </si>
  <si>
    <t>Horas por mes (mes completo = 190,67)</t>
  </si>
  <si>
    <t>Meses que llevaba trabajando al empezar el período</t>
  </si>
  <si>
    <t>Mes</t>
  </si>
  <si>
    <t>Horas trabajadas</t>
  </si>
  <si>
    <t>Jornal que corresponde</t>
  </si>
  <si>
    <t>Sueldo que corresponde</t>
  </si>
  <si>
    <t>No remunerativo que corresponde</t>
  </si>
  <si>
    <t>Sueldo cobrado</t>
  </si>
  <si>
    <t>No remunerativo cobrado</t>
  </si>
  <si>
    <t>Diferencia de sueldo</t>
  </si>
  <si>
    <t>Diferencia no remunerativa</t>
  </si>
  <si>
    <t>Fondo de cese</t>
  </si>
  <si>
    <t>¿Entra?</t>
  </si>
  <si>
    <t>AGUINALDO (SAC) POR SEMESTRE</t>
  </si>
  <si>
    <t>Semestre</t>
  </si>
  <si>
    <t>Meses en el período</t>
  </si>
  <si>
    <t>Mejor sueldo que corresponde</t>
  </si>
  <si>
    <t>Mejor sueldo cobrado</t>
  </si>
  <si>
    <t>SAC que corresponde</t>
  </si>
  <si>
    <t>SAC cobrado</t>
  </si>
  <si>
    <t>Diferencia de SAC</t>
  </si>
  <si>
    <t>1er semestre 2024</t>
  </si>
  <si>
    <t>2do semestre 2024</t>
  </si>
  <si>
    <t>1er semestre 2025</t>
  </si>
  <si>
    <t>2do semestre 2025</t>
  </si>
  <si>
    <t>1er semestre 2026</t>
  </si>
  <si>
    <t>2do semestre 2026</t>
  </si>
  <si>
    <t>Cómo se calcula: sueldo = jornal de la escala × horas del mes (el sereno cobra mensual), más 20% de asistencia perfecta si corresponde (art. 52 CCT 76/75). Si tenés los recibos, pisá las columnas amarillas «Sueldo cobrado» y «No remunerativo cobrado» con lo que dice cada uno: es la forma más precisa. Si cobró algo y no figura, elegí «Otro: cargo lo cobrado» y cargá los montos.</t>
  </si>
  <si>
    <t>Horas: si en algún mes trabajó menos (o más) que el mes completo, cambiá las horas de esa fila. Las horas extra no están incluidas: van al 50% o 100% según el día.</t>
  </si>
  <si>
    <t>Aguinaldo: 50% de la mejor remuneración mensual de cada semestre (Ley 23.041), proporcional a los meses del período. La suma no remunerativa no lo integra.</t>
  </si>
  <si>
    <t>Fondo de cese laboral (Ley 22.250): el empleador debía depositar 12% de la remuneración durante el primer año de la relación y 8% después. Acá se calcula sobre las diferencias de sueldo de cada mes.</t>
  </si>
  <si>
    <t>No incluye: intereses ni actualización (los fija el juzgado según la tasa de cada jurisdicción), las multas por registración deficiente (Ley 24.013 y Ley 25.323), indemnizaciones, vacaciones, horas extra ni los aportes que no se ingresaron. Eso lo calcula el abogado o el perito contador.</t>
  </si>
  <si>
    <t>Es una herramienta de cálculo con las escalas oficiales, no asesoramiento legal. Para presentar un reclamo, llevá esta hoja a un abogado laboralista: le ahorra la parte más larga del trabajo.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</si>
  <si>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</si>
  <si>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</si>
  <si>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</si>
  <si>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</si>
  <si>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</si>
  <si>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</si>
  <si>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</si>
  <si>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</si>
  <si>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</si>
  <si>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</si>
  <si>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</si>
  <si>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</si>
  <si>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</si>
  <si>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</si>
  <si>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</si>
  <si>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</si>
  <si>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Acuerdo UOCRA-CAMARCO 23/4/2024 (abril-junio 2024), PDF firmado</t>
  </si>
  <si>
    <t>https://www.camarco.org.ar/wp-content/uploads/2024/04/Acuerdo-paritario-Abril-2024.pdf</t>
  </si>
  <si>
    <t>Acuerdo UOCRA-CAMARCO 21/8/2024 (agosto-septiembre 2024)</t>
  </si>
  <si>
    <t>https://www.camarco.org.ar/wp-content/uploads/2024/08/Acuerdo-Salarial-UOCRA-Agosto-2024.pdf</t>
  </si>
  <si>
    <t>Homologación del acuerdo de agosto 2024 (DI-2024-2018-APN-DNRYRT#MT), InfoLEG</t>
  </si>
  <si>
    <t>https://servicios.infoleg.gob.ar/infolegInternet/anexos/405000-409999/406442/disp2018cct.pdf</t>
  </si>
  <si>
    <t>Acuerdo UOCRA-CAMARCO octubre-diciembre 2024 y bono de $150.000</t>
  </si>
  <si>
    <t>https://www.camarco.org.ar/wp-content/uploads/2024/11/NCO-119-24-ADJ-Ac-UOCRA.pdf</t>
  </si>
  <si>
    <t>Acuerdo UOCRA-CAMARCO 14/2/2025 (enero-marzo 2025)</t>
  </si>
  <si>
    <t>https://www.camarco.org.ar/wp-content/uploads/2025/02/CI-004-24-ADJ-Ac-UOCRA-Ene25-1.pdf</t>
  </si>
  <si>
    <t>Acuerdo UOCRA-CAMARCO 28/5/2025 (mayo-junio 2025)</t>
  </si>
  <si>
    <t>https://www.camarco.org.ar/wp-content/uploads/2025/05/NCO-043-25-ADJ-Ac-UOCRA-Mayo2025.pdf</t>
  </si>
  <si>
    <t>Acta complementaria 29/5/2025 (SNR del sereno)</t>
  </si>
  <si>
    <t>https://www.camarco.org.ar/wp-content/uploads/2025/06/ACTA-COMPLEMENTARIA-UOCRA-CCT-76-75-y-577-10.pdf</t>
  </si>
  <si>
    <t>Acuerdo UOCRA-CAMARCO 11/7/2025 (julio-agosto 2025)</t>
  </si>
  <si>
    <t>https://www.camarco.org.ar/wp-content/uploads/2025/07/CI-045-25-ADJ-Ac-UOCRA-Julio2025.pdf</t>
  </si>
  <si>
    <t>Homologación del acuerdo de julio 2025 (DI-2025-1734-APN-DNRYRT#MCH), InfoLEG</t>
  </si>
  <si>
    <t>https://servicios.infoleg.gob.ar/infolegInternet/anexos/420000-424999/420173/disp1734.pdf</t>
  </si>
  <si>
    <t>Acuerdo UOCRA-CAMARCO septiembre-octubre 2025</t>
  </si>
  <si>
    <t>https://www.camarco.org.ar/wp-content/uploads/2025/10/NCO-101-25-ADJ-Ac-UOCRA-Sep-Oct2025-1.pdf</t>
  </si>
  <si>
    <t>Acuerdo UOCRA-CAMARCO 14/11/2025 (noviembre-diciembre 2025)</t>
  </si>
  <si>
    <t>https://www.camarco.org.ar/wp-content/uploads/2025/11/CI-085-25-ADJ-Ac-UOCRA-Nov25.pdf</t>
  </si>
  <si>
    <t>Acuerdo UOCRA-CAMARCO 12/1/2026 (enero-febrero 2026)</t>
  </si>
  <si>
    <t>https://www.camarco.org.ar/wp-content/uploads/2026/01/CI-004-26-ADJ-Ac-UOCRA-ENE-FEB26.pdf</t>
  </si>
  <si>
    <t>Acuerdo UOCRA-CAMARCO 31/3/2026 (marzo-mayo 2026)</t>
  </si>
  <si>
    <t>https://www.camarco.org.ar/wp-content/uploads/2026/04/76.75-31.3.pdf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</si>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</sst>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b/>
      <sz val="12"/>
    </font>
    <font>
      <b/>
      <color rgb="FFFFFFFF"/>
      <sz val="10"/>
    </font>
    <font>
      <b/>
      <sz val="10"/>
    </font>
    <font>
      <u/>
      <color rgb="FF1565C0"/>
    </font>
  </fonts>
  <fills count="16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C62828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wrapText="1"/>
    </xf>
    <xf numFmtId="1" fontId="0" fillId="10" borderId="1" xfId="0" applyNumberFormat="1" applyFill="1" applyBorder="1" applyAlignment="1">
      <alignment horizontal="right"/>
    </xf>
    <xf numFmtId="164" fontId="9" fillId="11" borderId="1" xfId="0" applyNumberFormat="1" applyFont="1" applyFill="1" applyBorder="1" applyAlignment="1">
      <alignment horizontal="right"/>
    </xf>
    <xf numFmtId="0" fontId="8" fillId="9" borderId="1" xfId="0" applyFont="1" applyFill="1" applyBorder="1" applyAlignment="1">
      <alignment horizontal="right"/>
    </xf>
    <xf numFmtId="0" fontId="10" fillId="13" borderId="1" xfId="0" applyFont="1" applyFill="1" applyBorder="1" applyAlignment="1">
      <alignment horizontal="center" vertical="center" wrapText="1"/>
    </xf>
    <xf numFmtId="164" fontId="0" fillId="9" borderId="1" xfId="0" applyNumberFormat="1" applyFill="1" applyBorder="1" applyAlignment="1">
      <alignment horizontal="right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11" fillId="8" borderId="1" xfId="0" applyFont="1" applyFill="1" applyBorder="1" applyAlignment="1">
      <alignment horizontal="center" wrapText="1"/>
    </xf>
    <xf numFmtId="0" fontId="0" fillId="0" borderId="1" xfId="0" applyBorder="1"/>
    <xf numFmtId="1" fontId="0" fillId="6" borderId="1" xfId="0" applyNumberFormat="1" applyFill="1" applyBorder="1" applyAlignment="1">
      <alignment horizontal="right"/>
    </xf>
    <xf numFmtId="0" fontId="1" fillId="14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5" borderId="1" xfId="0" applyFont="1" applyFill="1" applyBorder="1"/>
    <xf numFmtId="0" fontId="0" fillId="6" borderId="1" xfId="0" applyFill="1" applyBorder="1" applyAlignment="1">
      <alignment vertical="top" wrapText="1"/>
    </xf>
    <xf numFmtId="0" fontId="12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12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Relationship Id="rId7" Type="http://schemas.openxmlformats.org/officeDocument/2006/relationships/hyperlink" Target="https://www.camarco.org.ar/wp-content/uploads/2024/04/Acuerdo-paritario-Abril-2024.pdf" TargetMode="External"/><Relationship Id="rId8" Type="http://schemas.openxmlformats.org/officeDocument/2006/relationships/hyperlink" Target="https://www.camarco.org.ar/wp-content/uploads/2024/08/Acuerdo-Salarial-UOCRA-Agosto-2024.pdf" TargetMode="External"/><Relationship Id="rId9" Type="http://schemas.openxmlformats.org/officeDocument/2006/relationships/hyperlink" Target="https://servicios.infoleg.gob.ar/infolegInternet/anexos/405000-409999/406442/disp2018cct.pdf" TargetMode="External"/><Relationship Id="rId10" Type="http://schemas.openxmlformats.org/officeDocument/2006/relationships/hyperlink" Target="https://www.camarco.org.ar/wp-content/uploads/2024/11/NCO-119-24-ADJ-Ac-UOCRA.pdf" TargetMode="External"/><Relationship Id="rId11" Type="http://schemas.openxmlformats.org/officeDocument/2006/relationships/hyperlink" Target="https://www.camarco.org.ar/wp-content/uploads/2025/02/CI-004-24-ADJ-Ac-UOCRA-Ene25-1.pdf" TargetMode="External"/><Relationship Id="rId12" Type="http://schemas.openxmlformats.org/officeDocument/2006/relationships/hyperlink" Target="https://www.camarco.org.ar/wp-content/uploads/2025/05/NCO-043-25-ADJ-Ac-UOCRA-Mayo2025.pdf" TargetMode="External"/><Relationship Id="rId13" Type="http://schemas.openxmlformats.org/officeDocument/2006/relationships/hyperlink" Target="https://www.camarco.org.ar/wp-content/uploads/2025/06/ACTA-COMPLEMENTARIA-UOCRA-CCT-76-75-y-577-10.pdf" TargetMode="External"/><Relationship Id="rId14" Type="http://schemas.openxmlformats.org/officeDocument/2006/relationships/hyperlink" Target="https://www.camarco.org.ar/wp-content/uploads/2025/07/CI-045-25-ADJ-Ac-UOCRA-Julio2025.pdf" TargetMode="External"/><Relationship Id="rId15" Type="http://schemas.openxmlformats.org/officeDocument/2006/relationships/hyperlink" Target="https://servicios.infoleg.gob.ar/infolegInternet/anexos/420000-424999/420173/disp1734.pdf" TargetMode="External"/><Relationship Id="rId16" Type="http://schemas.openxmlformats.org/officeDocument/2006/relationships/hyperlink" Target="https://www.camarco.org.ar/wp-content/uploads/2025/10/NCO-101-25-ADJ-Ac-UOCRA-Sep-Oct2025-1.pdf" TargetMode="External"/><Relationship Id="rId17" Type="http://schemas.openxmlformats.org/officeDocument/2006/relationships/hyperlink" Target="https://www.camarco.org.ar/wp-content/uploads/2025/11/CI-085-25-ADJ-Ac-UOCRA-Nov25.pdf" TargetMode="External"/><Relationship Id="rId18" Type="http://schemas.openxmlformats.org/officeDocument/2006/relationships/hyperlink" Target="https://www.camarco.org.ar/wp-content/uploads/2026/01/CI-004-26-ADJ-Ac-UOCRA-ENE-FEB26.pdf" TargetMode="External"/><Relationship Id="rId19" Type="http://schemas.openxmlformats.org/officeDocument/2006/relationships/hyperlink" Target="https://www.camarco.org.ar/wp-content/uploads/2026/04/76.75-31.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1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32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32" customHeight="1" spans="2:2" x14ac:dyDescent="0.25">
      <c r="B13" s="5" t="s">
        <v>16</v>
      </c>
    </row>
    <row r="14" ht="32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9" spans="1:2" x14ac:dyDescent="0.25">
      <c r="A19" s="6" t="s">
        <v>21</v>
      </c>
      <c r="B19" s="6"/>
    </row>
    <row r="21" spans="1:2" x14ac:dyDescent="0.25">
      <c r="A21" s="6" t="s">
        <v>22</v>
      </c>
      <c r="B21" s="6"/>
    </row>
  </sheetData>
  <mergeCells count="4">
    <mergeCell ref="A1:B1"/>
    <mergeCell ref="A10:B10"/>
    <mergeCell ref="A19:B19"/>
    <mergeCell ref="A21:B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AG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33" width="15" customWidth="1"/>
  </cols>
  <sheetData>
    <row r="1" ht="28" customHeight="1" spans="1:33" x14ac:dyDescent="0.25">
      <c r="A1" s="7" t="s">
        <v>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 ht="22" customHeight="1" spans="1:33" x14ac:dyDescent="0.25">
      <c r="A2" s="8" t="s">
        <v>24</v>
      </c>
      <c r="B2" s="8" t="s">
        <v>25</v>
      </c>
      <c r="C2" s="8" t="s">
        <v>26</v>
      </c>
      <c r="D2" s="8" t="s">
        <v>27</v>
      </c>
      <c r="E2" s="8" t="s">
        <v>28</v>
      </c>
      <c r="F2" s="8" t="s">
        <v>29</v>
      </c>
      <c r="G2" s="8" t="s">
        <v>30</v>
      </c>
      <c r="H2" s="8" t="s">
        <v>31</v>
      </c>
      <c r="I2" s="8" t="s">
        <v>32</v>
      </c>
      <c r="J2" s="8" t="s">
        <v>33</v>
      </c>
      <c r="K2" s="8" t="s">
        <v>34</v>
      </c>
      <c r="L2" s="8" t="s">
        <v>35</v>
      </c>
      <c r="M2" s="8" t="s">
        <v>36</v>
      </c>
      <c r="N2" s="8" t="s">
        <v>37</v>
      </c>
      <c r="O2" s="8" t="s">
        <v>38</v>
      </c>
      <c r="P2" s="8" t="s">
        <v>39</v>
      </c>
      <c r="Q2" s="8" t="s">
        <v>40</v>
      </c>
      <c r="R2" s="8" t="s">
        <v>41</v>
      </c>
      <c r="S2" s="8" t="s">
        <v>42</v>
      </c>
      <c r="T2" s="8" t="s">
        <v>43</v>
      </c>
      <c r="U2" s="8" t="s">
        <v>44</v>
      </c>
      <c r="V2" s="8" t="s">
        <v>45</v>
      </c>
      <c r="W2" s="8" t="s">
        <v>46</v>
      </c>
      <c r="X2" s="8" t="s">
        <v>47</v>
      </c>
      <c r="Y2" s="8" t="s">
        <v>48</v>
      </c>
      <c r="Z2" s="8" t="s">
        <v>49</v>
      </c>
      <c r="AA2" s="8" t="s">
        <v>50</v>
      </c>
      <c r="AB2" s="8" t="s">
        <v>51</v>
      </c>
      <c r="AC2" s="8" t="s">
        <v>52</v>
      </c>
      <c r="AD2" s="8" t="s">
        <v>53</v>
      </c>
      <c r="AE2" s="8" t="s">
        <v>54</v>
      </c>
      <c r="AF2" s="8" t="s">
        <v>55</v>
      </c>
      <c r="AG2" s="8" t="s">
        <v>56</v>
      </c>
    </row>
    <row r="3" spans="1:33" x14ac:dyDescent="0.25">
      <c r="A3" s="9" t="s">
        <v>57</v>
      </c>
      <c r="B3" s="10" t="s">
        <v>58</v>
      </c>
      <c r="C3" s="10" t="s">
        <v>59</v>
      </c>
      <c r="D3" s="11">
        <v>3613</v>
      </c>
      <c r="E3" s="11">
        <v>3613</v>
      </c>
      <c r="F3" s="11">
        <v>3794</v>
      </c>
      <c r="G3" s="11">
        <v>3946</v>
      </c>
      <c r="H3" s="11">
        <v>4104</v>
      </c>
      <c r="I3" s="11">
        <v>4268</v>
      </c>
      <c r="J3" s="11">
        <v>4439</v>
      </c>
      <c r="K3" s="11">
        <v>4519</v>
      </c>
      <c r="L3" s="11">
        <v>4694</v>
      </c>
      <c r="M3" s="11">
        <v>4741</v>
      </c>
      <c r="N3" s="11">
        <v>4741</v>
      </c>
      <c r="O3" s="11">
        <v>4846</v>
      </c>
      <c r="P3" s="11">
        <v>4894</v>
      </c>
      <c r="Q3" s="11">
        <v>4948</v>
      </c>
      <c r="R3" s="11">
        <v>5002</v>
      </c>
      <c r="S3" s="11">
        <v>5067</v>
      </c>
      <c r="T3" s="11">
        <v>5128</v>
      </c>
      <c r="U3" s="11">
        <v>5200</v>
      </c>
      <c r="V3" s="11">
        <v>5268</v>
      </c>
      <c r="W3" s="11">
        <v>5373</v>
      </c>
      <c r="X3" s="11">
        <v>5470</v>
      </c>
      <c r="Y3" s="11">
        <v>5579</v>
      </c>
      <c r="Z3" s="11">
        <v>6011</v>
      </c>
      <c r="AA3" s="11">
        <v>6119</v>
      </c>
      <c r="AB3" s="11">
        <v>6666</v>
      </c>
      <c r="AC3" s="11">
        <v>6800</v>
      </c>
      <c r="AD3" s="11">
        <v>7420</v>
      </c>
      <c r="AE3" s="11">
        <v>7561</v>
      </c>
      <c r="AF3" s="11">
        <v>7697</v>
      </c>
      <c r="AG3" s="11">
        <v>7828</v>
      </c>
    </row>
    <row r="4" spans="1:33" x14ac:dyDescent="0.25">
      <c r="A4" s="12" t="s">
        <v>60</v>
      </c>
      <c r="B4" s="13" t="s">
        <v>58</v>
      </c>
      <c r="C4" s="13" t="s">
        <v>61</v>
      </c>
      <c r="D4" s="14">
        <v>4011</v>
      </c>
      <c r="E4" s="14">
        <v>4011</v>
      </c>
      <c r="F4" s="14">
        <v>4211</v>
      </c>
      <c r="G4" s="14">
        <v>4380</v>
      </c>
      <c r="H4" s="14">
        <v>4555</v>
      </c>
      <c r="I4" s="14">
        <v>4737</v>
      </c>
      <c r="J4" s="14">
        <v>4927</v>
      </c>
      <c r="K4" s="14">
        <v>5015</v>
      </c>
      <c r="L4" s="14">
        <v>5210</v>
      </c>
      <c r="M4" s="14">
        <v>5262</v>
      </c>
      <c r="N4" s="14">
        <v>5262</v>
      </c>
      <c r="O4" s="14">
        <v>5379</v>
      </c>
      <c r="P4" s="14">
        <v>5433</v>
      </c>
      <c r="Q4" s="14">
        <v>5492</v>
      </c>
      <c r="R4" s="14">
        <v>5553</v>
      </c>
      <c r="S4" s="14">
        <v>5625</v>
      </c>
      <c r="T4" s="14">
        <v>5692</v>
      </c>
      <c r="U4" s="14">
        <v>5772</v>
      </c>
      <c r="V4" s="14">
        <v>5847</v>
      </c>
      <c r="W4" s="14">
        <v>5964</v>
      </c>
      <c r="X4" s="14">
        <v>6071</v>
      </c>
      <c r="Y4" s="14">
        <v>6193</v>
      </c>
      <c r="Z4" s="14">
        <v>6672</v>
      </c>
      <c r="AA4" s="14">
        <v>6792</v>
      </c>
      <c r="AB4" s="14">
        <v>7400</v>
      </c>
      <c r="AC4" s="14">
        <v>7548</v>
      </c>
      <c r="AD4" s="14">
        <v>8237</v>
      </c>
      <c r="AE4" s="14">
        <v>8393</v>
      </c>
      <c r="AF4" s="14">
        <v>8544</v>
      </c>
      <c r="AG4" s="14">
        <v>8689</v>
      </c>
    </row>
    <row r="5" spans="1:33" x14ac:dyDescent="0.25">
      <c r="A5" s="9" t="s">
        <v>62</v>
      </c>
      <c r="B5" s="10" t="s">
        <v>58</v>
      </c>
      <c r="C5" s="10" t="s">
        <v>63</v>
      </c>
      <c r="D5" s="11">
        <v>5547</v>
      </c>
      <c r="E5" s="11">
        <v>5547</v>
      </c>
      <c r="F5" s="11">
        <v>5825</v>
      </c>
      <c r="G5" s="11">
        <v>6058</v>
      </c>
      <c r="H5" s="11">
        <v>6300</v>
      </c>
      <c r="I5" s="11">
        <v>6552</v>
      </c>
      <c r="J5" s="11">
        <v>6814</v>
      </c>
      <c r="K5" s="11">
        <v>6937</v>
      </c>
      <c r="L5" s="11">
        <v>7206</v>
      </c>
      <c r="M5" s="11">
        <v>7278</v>
      </c>
      <c r="N5" s="11">
        <v>7278</v>
      </c>
      <c r="O5" s="11">
        <v>7439</v>
      </c>
      <c r="P5" s="11">
        <v>7514</v>
      </c>
      <c r="Q5" s="11">
        <v>7596</v>
      </c>
      <c r="R5" s="11">
        <v>7680</v>
      </c>
      <c r="S5" s="11">
        <v>7780</v>
      </c>
      <c r="T5" s="11">
        <v>7873</v>
      </c>
      <c r="U5" s="11">
        <v>7983</v>
      </c>
      <c r="V5" s="11">
        <v>8087</v>
      </c>
      <c r="W5" s="11">
        <v>8249</v>
      </c>
      <c r="X5" s="11">
        <v>8397</v>
      </c>
      <c r="Y5" s="11">
        <v>8565</v>
      </c>
      <c r="Z5" s="11">
        <v>9228</v>
      </c>
      <c r="AA5" s="11">
        <v>9394</v>
      </c>
      <c r="AB5" s="11">
        <v>10234</v>
      </c>
      <c r="AC5" s="11">
        <v>10439</v>
      </c>
      <c r="AD5" s="11">
        <v>11392</v>
      </c>
      <c r="AE5" s="11">
        <v>11608</v>
      </c>
      <c r="AF5" s="11">
        <v>11817</v>
      </c>
      <c r="AG5" s="11">
        <v>12018</v>
      </c>
    </row>
    <row r="6" spans="1:33" x14ac:dyDescent="0.25">
      <c r="A6" s="12" t="s">
        <v>64</v>
      </c>
      <c r="B6" s="13" t="s">
        <v>58</v>
      </c>
      <c r="C6" s="13" t="s">
        <v>65</v>
      </c>
      <c r="D6" s="14">
        <v>7226</v>
      </c>
      <c r="E6" s="14">
        <v>7226</v>
      </c>
      <c r="F6" s="14">
        <v>7588</v>
      </c>
      <c r="G6" s="14">
        <v>7891</v>
      </c>
      <c r="H6" s="14">
        <v>8207</v>
      </c>
      <c r="I6" s="14">
        <v>8535</v>
      </c>
      <c r="J6" s="14">
        <v>8877</v>
      </c>
      <c r="K6" s="14">
        <v>9036</v>
      </c>
      <c r="L6" s="14">
        <v>9388</v>
      </c>
      <c r="M6" s="14">
        <v>9482</v>
      </c>
      <c r="N6" s="14">
        <v>9482</v>
      </c>
      <c r="O6" s="14">
        <v>9691</v>
      </c>
      <c r="P6" s="14">
        <v>9788</v>
      </c>
      <c r="Q6" s="14">
        <v>9896</v>
      </c>
      <c r="R6" s="14">
        <v>10005</v>
      </c>
      <c r="S6" s="14">
        <v>10135</v>
      </c>
      <c r="T6" s="14">
        <v>10257</v>
      </c>
      <c r="U6" s="14">
        <v>10400</v>
      </c>
      <c r="V6" s="14">
        <v>10536</v>
      </c>
      <c r="W6" s="14">
        <v>10746</v>
      </c>
      <c r="X6" s="14">
        <v>10940</v>
      </c>
      <c r="Y6" s="14">
        <v>11158</v>
      </c>
      <c r="Z6" s="14">
        <v>12022</v>
      </c>
      <c r="AA6" s="14">
        <v>12238</v>
      </c>
      <c r="AB6" s="14">
        <v>13333</v>
      </c>
      <c r="AC6" s="14">
        <v>13599</v>
      </c>
      <c r="AD6" s="14">
        <v>14841</v>
      </c>
      <c r="AE6" s="14">
        <v>15123</v>
      </c>
      <c r="AF6" s="14">
        <v>15395</v>
      </c>
      <c r="AG6" s="14">
        <v>15657</v>
      </c>
    </row>
    <row r="7" spans="1:33" x14ac:dyDescent="0.25">
      <c r="A7" s="9" t="s">
        <v>66</v>
      </c>
      <c r="B7" s="10" t="s">
        <v>67</v>
      </c>
      <c r="C7" s="10" t="s">
        <v>59</v>
      </c>
      <c r="D7" s="11">
        <v>3079</v>
      </c>
      <c r="E7" s="11">
        <v>3079</v>
      </c>
      <c r="F7" s="11">
        <v>3233</v>
      </c>
      <c r="G7" s="11">
        <v>3362</v>
      </c>
      <c r="H7" s="11">
        <v>3497</v>
      </c>
      <c r="I7" s="11">
        <v>3637</v>
      </c>
      <c r="J7" s="11">
        <v>3782</v>
      </c>
      <c r="K7" s="11">
        <v>3850</v>
      </c>
      <c r="L7" s="11">
        <v>4015</v>
      </c>
      <c r="M7" s="11">
        <v>4056</v>
      </c>
      <c r="N7" s="11">
        <v>4056</v>
      </c>
      <c r="O7" s="11">
        <v>4145</v>
      </c>
      <c r="P7" s="11">
        <v>4187</v>
      </c>
      <c r="Q7" s="11">
        <v>4233</v>
      </c>
      <c r="R7" s="11">
        <v>4279</v>
      </c>
      <c r="S7" s="11">
        <v>4335</v>
      </c>
      <c r="T7" s="11">
        <v>4387</v>
      </c>
      <c r="U7" s="11">
        <v>4449</v>
      </c>
      <c r="V7" s="11">
        <v>4506</v>
      </c>
      <c r="W7" s="11">
        <v>4596</v>
      </c>
      <c r="X7" s="11">
        <v>4679</v>
      </c>
      <c r="Y7" s="11">
        <v>4773</v>
      </c>
      <c r="Z7" s="11">
        <v>5142</v>
      </c>
      <c r="AA7" s="11">
        <v>5235</v>
      </c>
      <c r="AB7" s="11">
        <v>5703</v>
      </c>
      <c r="AC7" s="11">
        <v>5817</v>
      </c>
      <c r="AD7" s="11">
        <v>6348</v>
      </c>
      <c r="AE7" s="11">
        <v>6468</v>
      </c>
      <c r="AF7" s="11">
        <v>6585</v>
      </c>
      <c r="AG7" s="11">
        <v>6697</v>
      </c>
    </row>
    <row r="8" spans="1:33" x14ac:dyDescent="0.25">
      <c r="A8" s="12" t="s">
        <v>68</v>
      </c>
      <c r="B8" s="13" t="s">
        <v>67</v>
      </c>
      <c r="C8" s="13" t="s">
        <v>61</v>
      </c>
      <c r="D8" s="14">
        <v>3420</v>
      </c>
      <c r="E8" s="14">
        <v>3420</v>
      </c>
      <c r="F8" s="14">
        <v>3591</v>
      </c>
      <c r="G8" s="14">
        <v>3734</v>
      </c>
      <c r="H8" s="14">
        <v>3884</v>
      </c>
      <c r="I8" s="14">
        <v>4039</v>
      </c>
      <c r="J8" s="14">
        <v>4201</v>
      </c>
      <c r="K8" s="14">
        <v>4276</v>
      </c>
      <c r="L8" s="14">
        <v>4460</v>
      </c>
      <c r="M8" s="14">
        <v>4504</v>
      </c>
      <c r="N8" s="14">
        <v>4504</v>
      </c>
      <c r="O8" s="14">
        <v>4604</v>
      </c>
      <c r="P8" s="14">
        <v>4650</v>
      </c>
      <c r="Q8" s="14">
        <v>4701</v>
      </c>
      <c r="R8" s="14">
        <v>4753</v>
      </c>
      <c r="S8" s="14">
        <v>4815</v>
      </c>
      <c r="T8" s="14">
        <v>4872</v>
      </c>
      <c r="U8" s="14">
        <v>4941</v>
      </c>
      <c r="V8" s="14">
        <v>5004</v>
      </c>
      <c r="W8" s="14">
        <v>5105</v>
      </c>
      <c r="X8" s="14">
        <v>5196</v>
      </c>
      <c r="Y8" s="14">
        <v>5300</v>
      </c>
      <c r="Z8" s="14">
        <v>5711</v>
      </c>
      <c r="AA8" s="14">
        <v>5813</v>
      </c>
      <c r="AB8" s="14">
        <v>6333</v>
      </c>
      <c r="AC8" s="14">
        <v>6460</v>
      </c>
      <c r="AD8" s="14">
        <v>7049</v>
      </c>
      <c r="AE8" s="14">
        <v>7183</v>
      </c>
      <c r="AF8" s="14">
        <v>7313</v>
      </c>
      <c r="AG8" s="14">
        <v>7437</v>
      </c>
    </row>
    <row r="9" spans="1:33" x14ac:dyDescent="0.25">
      <c r="A9" s="9" t="s">
        <v>69</v>
      </c>
      <c r="B9" s="10" t="s">
        <v>67</v>
      </c>
      <c r="C9" s="10" t="s">
        <v>63</v>
      </c>
      <c r="D9" s="11">
        <v>5181</v>
      </c>
      <c r="E9" s="11">
        <v>5181</v>
      </c>
      <c r="F9" s="11">
        <v>5440</v>
      </c>
      <c r="G9" s="11">
        <v>5658</v>
      </c>
      <c r="H9" s="11">
        <v>5884</v>
      </c>
      <c r="I9" s="11">
        <v>6119</v>
      </c>
      <c r="J9" s="11">
        <v>6364</v>
      </c>
      <c r="K9" s="11">
        <v>6479</v>
      </c>
      <c r="L9" s="11">
        <v>6756</v>
      </c>
      <c r="M9" s="11">
        <v>6824</v>
      </c>
      <c r="N9" s="11">
        <v>6824</v>
      </c>
      <c r="O9" s="11">
        <v>6975</v>
      </c>
      <c r="P9" s="11">
        <v>7044</v>
      </c>
      <c r="Q9" s="11">
        <v>7122</v>
      </c>
      <c r="R9" s="11">
        <v>7200</v>
      </c>
      <c r="S9" s="11">
        <v>7294</v>
      </c>
      <c r="T9" s="11">
        <v>7381</v>
      </c>
      <c r="U9" s="11">
        <v>7485</v>
      </c>
      <c r="V9" s="11">
        <v>7582</v>
      </c>
      <c r="W9" s="11">
        <v>7734</v>
      </c>
      <c r="X9" s="11">
        <v>7873</v>
      </c>
      <c r="Y9" s="11">
        <v>8030</v>
      </c>
      <c r="Z9" s="11">
        <v>8652</v>
      </c>
      <c r="AA9" s="11">
        <v>8808</v>
      </c>
      <c r="AB9" s="11">
        <v>9595</v>
      </c>
      <c r="AC9" s="11">
        <v>9787</v>
      </c>
      <c r="AD9" s="11">
        <v>10680</v>
      </c>
      <c r="AE9" s="11">
        <v>10883</v>
      </c>
      <c r="AF9" s="11">
        <v>11079</v>
      </c>
      <c r="AG9" s="11">
        <v>11267</v>
      </c>
    </row>
    <row r="10" spans="1:33" x14ac:dyDescent="0.25">
      <c r="A10" s="12" t="s">
        <v>70</v>
      </c>
      <c r="B10" s="13" t="s">
        <v>67</v>
      </c>
      <c r="C10" s="13" t="s">
        <v>65</v>
      </c>
      <c r="D10" s="14">
        <v>6158</v>
      </c>
      <c r="E10" s="14">
        <v>6158</v>
      </c>
      <c r="F10" s="14">
        <v>6466</v>
      </c>
      <c r="G10" s="14">
        <v>6725</v>
      </c>
      <c r="H10" s="14">
        <v>6994</v>
      </c>
      <c r="I10" s="14">
        <v>7274</v>
      </c>
      <c r="J10" s="14">
        <v>7565</v>
      </c>
      <c r="K10" s="14">
        <v>7701</v>
      </c>
      <c r="L10" s="14">
        <v>8031</v>
      </c>
      <c r="M10" s="14">
        <v>8111</v>
      </c>
      <c r="N10" s="14">
        <v>8111</v>
      </c>
      <c r="O10" s="14">
        <v>8291</v>
      </c>
      <c r="P10" s="14">
        <v>8374</v>
      </c>
      <c r="Q10" s="14">
        <v>8466</v>
      </c>
      <c r="R10" s="14">
        <v>8559</v>
      </c>
      <c r="S10" s="14">
        <v>8670</v>
      </c>
      <c r="T10" s="14">
        <v>8774</v>
      </c>
      <c r="U10" s="14">
        <v>8898</v>
      </c>
      <c r="V10" s="14">
        <v>9012</v>
      </c>
      <c r="W10" s="14">
        <v>9193</v>
      </c>
      <c r="X10" s="14">
        <v>9358</v>
      </c>
      <c r="Y10" s="14">
        <v>9545</v>
      </c>
      <c r="Z10" s="14">
        <v>10284</v>
      </c>
      <c r="AA10" s="14">
        <v>10469</v>
      </c>
      <c r="AB10" s="14">
        <v>11405</v>
      </c>
      <c r="AC10" s="14">
        <v>11633</v>
      </c>
      <c r="AD10" s="14">
        <v>12695</v>
      </c>
      <c r="AE10" s="14">
        <v>12936</v>
      </c>
      <c r="AF10" s="14">
        <v>13169</v>
      </c>
      <c r="AG10" s="14">
        <v>13393</v>
      </c>
    </row>
    <row r="11" spans="1:33" x14ac:dyDescent="0.25">
      <c r="A11" s="9" t="s">
        <v>71</v>
      </c>
      <c r="B11" s="10" t="s">
        <v>72</v>
      </c>
      <c r="C11" s="10" t="s">
        <v>59</v>
      </c>
      <c r="D11" s="11">
        <v>2839</v>
      </c>
      <c r="E11" s="11">
        <v>2839</v>
      </c>
      <c r="F11" s="11">
        <v>2981</v>
      </c>
      <c r="G11" s="11">
        <v>3100</v>
      </c>
      <c r="H11" s="11">
        <v>3224</v>
      </c>
      <c r="I11" s="11">
        <v>3353</v>
      </c>
      <c r="J11" s="11">
        <v>3487</v>
      </c>
      <c r="K11" s="11">
        <v>3550</v>
      </c>
      <c r="L11" s="11">
        <v>3711</v>
      </c>
      <c r="M11" s="11">
        <v>3748</v>
      </c>
      <c r="N11" s="11">
        <v>3748</v>
      </c>
      <c r="O11" s="11">
        <v>3831</v>
      </c>
      <c r="P11" s="11">
        <v>3869</v>
      </c>
      <c r="Q11" s="11">
        <v>3912</v>
      </c>
      <c r="R11" s="11">
        <v>3955</v>
      </c>
      <c r="S11" s="11">
        <v>4006</v>
      </c>
      <c r="T11" s="11">
        <v>4054</v>
      </c>
      <c r="U11" s="11">
        <v>4111</v>
      </c>
      <c r="V11" s="11">
        <v>4164</v>
      </c>
      <c r="W11" s="11">
        <v>4248</v>
      </c>
      <c r="X11" s="11">
        <v>4324</v>
      </c>
      <c r="Y11" s="11">
        <v>4411</v>
      </c>
      <c r="Z11" s="11">
        <v>4752</v>
      </c>
      <c r="AA11" s="11">
        <v>4837</v>
      </c>
      <c r="AB11" s="11">
        <v>5270</v>
      </c>
      <c r="AC11" s="11">
        <v>5375</v>
      </c>
      <c r="AD11" s="11">
        <v>5866</v>
      </c>
      <c r="AE11" s="11">
        <v>5977</v>
      </c>
      <c r="AF11" s="11">
        <v>6085</v>
      </c>
      <c r="AG11" s="11">
        <v>6188</v>
      </c>
    </row>
    <row r="12" spans="1:33" x14ac:dyDescent="0.25">
      <c r="A12" s="12" t="s">
        <v>73</v>
      </c>
      <c r="B12" s="13" t="s">
        <v>72</v>
      </c>
      <c r="C12" s="13" t="s">
        <v>61</v>
      </c>
      <c r="D12" s="14">
        <v>3147</v>
      </c>
      <c r="E12" s="14">
        <v>3147</v>
      </c>
      <c r="F12" s="14">
        <v>3304</v>
      </c>
      <c r="G12" s="14">
        <v>3436</v>
      </c>
      <c r="H12" s="14">
        <v>3573</v>
      </c>
      <c r="I12" s="14">
        <v>3716</v>
      </c>
      <c r="J12" s="14">
        <v>3865</v>
      </c>
      <c r="K12" s="14">
        <v>3935</v>
      </c>
      <c r="L12" s="14">
        <v>4113</v>
      </c>
      <c r="M12" s="14">
        <v>4154</v>
      </c>
      <c r="N12" s="14">
        <v>4154</v>
      </c>
      <c r="O12" s="14">
        <v>4246</v>
      </c>
      <c r="P12" s="14">
        <v>4289</v>
      </c>
      <c r="Q12" s="14">
        <v>4336</v>
      </c>
      <c r="R12" s="14">
        <v>4384</v>
      </c>
      <c r="S12" s="14">
        <v>4441</v>
      </c>
      <c r="T12" s="14">
        <v>4494</v>
      </c>
      <c r="U12" s="14">
        <v>4557</v>
      </c>
      <c r="V12" s="14">
        <v>4616</v>
      </c>
      <c r="W12" s="14">
        <v>4708</v>
      </c>
      <c r="X12" s="14">
        <v>4793</v>
      </c>
      <c r="Y12" s="14">
        <v>4889</v>
      </c>
      <c r="Z12" s="14">
        <v>5267</v>
      </c>
      <c r="AA12" s="14">
        <v>5362</v>
      </c>
      <c r="AB12" s="14">
        <v>5842</v>
      </c>
      <c r="AC12" s="14">
        <v>5958</v>
      </c>
      <c r="AD12" s="14">
        <v>6502</v>
      </c>
      <c r="AE12" s="14">
        <v>6626</v>
      </c>
      <c r="AF12" s="14">
        <v>6745</v>
      </c>
      <c r="AG12" s="14">
        <v>6860</v>
      </c>
    </row>
    <row r="13" spans="1:33" x14ac:dyDescent="0.25">
      <c r="A13" s="9" t="s">
        <v>74</v>
      </c>
      <c r="B13" s="10" t="s">
        <v>72</v>
      </c>
      <c r="C13" s="10" t="s">
        <v>63</v>
      </c>
      <c r="D13" s="11">
        <v>4988</v>
      </c>
      <c r="E13" s="11">
        <v>4988</v>
      </c>
      <c r="F13" s="11">
        <v>5238</v>
      </c>
      <c r="G13" s="11">
        <v>5447</v>
      </c>
      <c r="H13" s="11">
        <v>5665</v>
      </c>
      <c r="I13" s="11">
        <v>5892</v>
      </c>
      <c r="J13" s="11">
        <v>6127</v>
      </c>
      <c r="K13" s="11">
        <v>6238</v>
      </c>
      <c r="L13" s="11">
        <v>6520</v>
      </c>
      <c r="M13" s="11">
        <v>6585</v>
      </c>
      <c r="N13" s="11">
        <v>6585</v>
      </c>
      <c r="O13" s="11">
        <v>6731</v>
      </c>
      <c r="P13" s="11">
        <v>6798</v>
      </c>
      <c r="Q13" s="11">
        <v>6873</v>
      </c>
      <c r="R13" s="11">
        <v>6948</v>
      </c>
      <c r="S13" s="11">
        <v>7039</v>
      </c>
      <c r="T13" s="11">
        <v>7123</v>
      </c>
      <c r="U13" s="11">
        <v>7223</v>
      </c>
      <c r="V13" s="11">
        <v>7316</v>
      </c>
      <c r="W13" s="11">
        <v>7463</v>
      </c>
      <c r="X13" s="11">
        <v>7597</v>
      </c>
      <c r="Y13" s="11">
        <v>7749</v>
      </c>
      <c r="Z13" s="11">
        <v>8349</v>
      </c>
      <c r="AA13" s="11">
        <v>8499</v>
      </c>
      <c r="AB13" s="11">
        <v>9259</v>
      </c>
      <c r="AC13" s="11">
        <v>9444</v>
      </c>
      <c r="AD13" s="11">
        <v>10306</v>
      </c>
      <c r="AE13" s="11">
        <v>10502</v>
      </c>
      <c r="AF13" s="11">
        <v>10691</v>
      </c>
      <c r="AG13" s="11">
        <v>10873</v>
      </c>
    </row>
    <row r="14" spans="1:33" x14ac:dyDescent="0.25">
      <c r="A14" s="12" t="s">
        <v>75</v>
      </c>
      <c r="B14" s="13" t="s">
        <v>72</v>
      </c>
      <c r="C14" s="13" t="s">
        <v>65</v>
      </c>
      <c r="D14" s="14">
        <v>5678</v>
      </c>
      <c r="E14" s="14">
        <v>5678</v>
      </c>
      <c r="F14" s="14">
        <v>5962</v>
      </c>
      <c r="G14" s="14">
        <v>6200</v>
      </c>
      <c r="H14" s="14">
        <v>6448</v>
      </c>
      <c r="I14" s="14">
        <v>6706</v>
      </c>
      <c r="J14" s="14">
        <v>6974</v>
      </c>
      <c r="K14" s="14">
        <v>7100</v>
      </c>
      <c r="L14" s="14">
        <v>7421</v>
      </c>
      <c r="M14" s="14">
        <v>7496</v>
      </c>
      <c r="N14" s="14">
        <v>7496</v>
      </c>
      <c r="O14" s="14">
        <v>7661</v>
      </c>
      <c r="P14" s="14">
        <v>7738</v>
      </c>
      <c r="Q14" s="14">
        <v>7823</v>
      </c>
      <c r="R14" s="14">
        <v>7909</v>
      </c>
      <c r="S14" s="14">
        <v>8012</v>
      </c>
      <c r="T14" s="14">
        <v>8108</v>
      </c>
      <c r="U14" s="14">
        <v>8222</v>
      </c>
      <c r="V14" s="14">
        <v>8328</v>
      </c>
      <c r="W14" s="14">
        <v>8495</v>
      </c>
      <c r="X14" s="14">
        <v>8648</v>
      </c>
      <c r="Y14" s="14">
        <v>8821</v>
      </c>
      <c r="Z14" s="14">
        <v>9504</v>
      </c>
      <c r="AA14" s="14">
        <v>9675</v>
      </c>
      <c r="AB14" s="14">
        <v>10540</v>
      </c>
      <c r="AC14" s="14">
        <v>10750</v>
      </c>
      <c r="AD14" s="14">
        <v>11732</v>
      </c>
      <c r="AE14" s="14">
        <v>11955</v>
      </c>
      <c r="AF14" s="14">
        <v>12170</v>
      </c>
      <c r="AG14" s="14">
        <v>12377</v>
      </c>
    </row>
    <row r="15" spans="1:33" x14ac:dyDescent="0.25">
      <c r="A15" s="9" t="s">
        <v>76</v>
      </c>
      <c r="B15" s="10" t="s">
        <v>77</v>
      </c>
      <c r="C15" s="10" t="s">
        <v>59</v>
      </c>
      <c r="D15" s="11">
        <v>2606</v>
      </c>
      <c r="E15" s="11">
        <v>2606</v>
      </c>
      <c r="F15" s="11">
        <v>2736</v>
      </c>
      <c r="G15" s="11">
        <v>2846</v>
      </c>
      <c r="H15" s="11">
        <v>2960</v>
      </c>
      <c r="I15" s="11">
        <v>3078</v>
      </c>
      <c r="J15" s="11">
        <v>3201</v>
      </c>
      <c r="K15" s="11">
        <v>3259</v>
      </c>
      <c r="L15" s="11">
        <v>3415</v>
      </c>
      <c r="M15" s="11">
        <v>3450</v>
      </c>
      <c r="N15" s="11">
        <v>3450</v>
      </c>
      <c r="O15" s="11">
        <v>3526</v>
      </c>
      <c r="P15" s="11">
        <v>3561</v>
      </c>
      <c r="Q15" s="11">
        <v>3600</v>
      </c>
      <c r="R15" s="11">
        <v>3640</v>
      </c>
      <c r="S15" s="11">
        <v>3687</v>
      </c>
      <c r="T15" s="11">
        <v>3731</v>
      </c>
      <c r="U15" s="11">
        <v>3784</v>
      </c>
      <c r="V15" s="11">
        <v>3833</v>
      </c>
      <c r="W15" s="11">
        <v>3910</v>
      </c>
      <c r="X15" s="11">
        <v>3980</v>
      </c>
      <c r="Y15" s="11">
        <v>4060</v>
      </c>
      <c r="Z15" s="11">
        <v>4374</v>
      </c>
      <c r="AA15" s="11">
        <v>4452</v>
      </c>
      <c r="AB15" s="11">
        <v>4851</v>
      </c>
      <c r="AC15" s="11">
        <v>4948</v>
      </c>
      <c r="AD15" s="11">
        <v>5399</v>
      </c>
      <c r="AE15" s="11">
        <v>5502</v>
      </c>
      <c r="AF15" s="11">
        <v>5601</v>
      </c>
      <c r="AG15" s="11">
        <v>5696</v>
      </c>
    </row>
    <row r="16" spans="1:33" x14ac:dyDescent="0.25">
      <c r="A16" s="12" t="s">
        <v>78</v>
      </c>
      <c r="B16" s="13" t="s">
        <v>77</v>
      </c>
      <c r="C16" s="13" t="s">
        <v>61</v>
      </c>
      <c r="D16" s="14">
        <v>2906</v>
      </c>
      <c r="E16" s="14">
        <v>2906</v>
      </c>
      <c r="F16" s="14">
        <v>3052</v>
      </c>
      <c r="G16" s="14">
        <v>3174</v>
      </c>
      <c r="H16" s="14">
        <v>3301</v>
      </c>
      <c r="I16" s="14">
        <v>3433</v>
      </c>
      <c r="J16" s="14">
        <v>3570</v>
      </c>
      <c r="K16" s="14">
        <v>3634</v>
      </c>
      <c r="L16" s="14">
        <v>3808</v>
      </c>
      <c r="M16" s="14">
        <v>3846</v>
      </c>
      <c r="N16" s="14">
        <v>3846</v>
      </c>
      <c r="O16" s="14">
        <v>3931</v>
      </c>
      <c r="P16" s="14">
        <v>3971</v>
      </c>
      <c r="Q16" s="14">
        <v>4014</v>
      </c>
      <c r="R16" s="14">
        <v>4059</v>
      </c>
      <c r="S16" s="14">
        <v>4111</v>
      </c>
      <c r="T16" s="14">
        <v>4161</v>
      </c>
      <c r="U16" s="14">
        <v>4219</v>
      </c>
      <c r="V16" s="14">
        <v>4274</v>
      </c>
      <c r="W16" s="14">
        <v>4359</v>
      </c>
      <c r="X16" s="14">
        <v>4438</v>
      </c>
      <c r="Y16" s="14">
        <v>4527</v>
      </c>
      <c r="Z16" s="14">
        <v>4877</v>
      </c>
      <c r="AA16" s="14">
        <v>4965</v>
      </c>
      <c r="AB16" s="14">
        <v>5409</v>
      </c>
      <c r="AC16" s="14">
        <v>5517</v>
      </c>
      <c r="AD16" s="14">
        <v>6020</v>
      </c>
      <c r="AE16" s="14">
        <v>6135</v>
      </c>
      <c r="AF16" s="14">
        <v>6245</v>
      </c>
      <c r="AG16" s="14">
        <v>6351</v>
      </c>
    </row>
    <row r="17" spans="1:33" x14ac:dyDescent="0.25">
      <c r="A17" s="9" t="s">
        <v>79</v>
      </c>
      <c r="B17" s="10" t="s">
        <v>77</v>
      </c>
      <c r="C17" s="10" t="s">
        <v>63</v>
      </c>
      <c r="D17" s="11">
        <v>4831</v>
      </c>
      <c r="E17" s="11">
        <v>4831</v>
      </c>
      <c r="F17" s="11">
        <v>5072</v>
      </c>
      <c r="G17" s="11">
        <v>5275</v>
      </c>
      <c r="H17" s="11">
        <v>5486</v>
      </c>
      <c r="I17" s="11">
        <v>5706</v>
      </c>
      <c r="J17" s="11">
        <v>5934</v>
      </c>
      <c r="K17" s="11">
        <v>6041</v>
      </c>
      <c r="L17" s="11">
        <v>6330</v>
      </c>
      <c r="M17" s="11">
        <v>6394</v>
      </c>
      <c r="N17" s="11">
        <v>6394</v>
      </c>
      <c r="O17" s="11">
        <v>6535</v>
      </c>
      <c r="P17" s="11">
        <v>6600</v>
      </c>
      <c r="Q17" s="11">
        <v>6673</v>
      </c>
      <c r="R17" s="11">
        <v>6746</v>
      </c>
      <c r="S17" s="11">
        <v>6834</v>
      </c>
      <c r="T17" s="11">
        <v>6916</v>
      </c>
      <c r="U17" s="11">
        <v>7013</v>
      </c>
      <c r="V17" s="11">
        <v>7104</v>
      </c>
      <c r="W17" s="11">
        <v>7246</v>
      </c>
      <c r="X17" s="11">
        <v>7377</v>
      </c>
      <c r="Y17" s="11">
        <v>7524</v>
      </c>
      <c r="Z17" s="11">
        <v>8107</v>
      </c>
      <c r="AA17" s="11">
        <v>8252</v>
      </c>
      <c r="AB17" s="11">
        <v>8990</v>
      </c>
      <c r="AC17" s="11">
        <v>9170</v>
      </c>
      <c r="AD17" s="11">
        <v>10007</v>
      </c>
      <c r="AE17" s="11">
        <v>10197</v>
      </c>
      <c r="AF17" s="11">
        <v>10381</v>
      </c>
      <c r="AG17" s="11">
        <v>10557</v>
      </c>
    </row>
    <row r="18" spans="1:33" x14ac:dyDescent="0.25">
      <c r="A18" s="12" t="s">
        <v>80</v>
      </c>
      <c r="B18" s="13" t="s">
        <v>77</v>
      </c>
      <c r="C18" s="13" t="s">
        <v>65</v>
      </c>
      <c r="D18" s="14">
        <v>5213</v>
      </c>
      <c r="E18" s="14">
        <v>5213</v>
      </c>
      <c r="F18" s="14">
        <v>5474</v>
      </c>
      <c r="G18" s="14">
        <v>5692</v>
      </c>
      <c r="H18" s="14">
        <v>5920</v>
      </c>
      <c r="I18" s="14">
        <v>6157</v>
      </c>
      <c r="J18" s="14">
        <v>6403</v>
      </c>
      <c r="K18" s="14">
        <v>6519</v>
      </c>
      <c r="L18" s="14">
        <v>6831</v>
      </c>
      <c r="M18" s="14">
        <v>6899</v>
      </c>
      <c r="N18" s="14">
        <v>6899</v>
      </c>
      <c r="O18" s="14">
        <v>7052</v>
      </c>
      <c r="P18" s="14">
        <v>7122</v>
      </c>
      <c r="Q18" s="14">
        <v>7201</v>
      </c>
      <c r="R18" s="14">
        <v>7280</v>
      </c>
      <c r="S18" s="14">
        <v>7374</v>
      </c>
      <c r="T18" s="14">
        <v>7463</v>
      </c>
      <c r="U18" s="14">
        <v>7568</v>
      </c>
      <c r="V18" s="14">
        <v>7666</v>
      </c>
      <c r="W18" s="14">
        <v>7819</v>
      </c>
      <c r="X18" s="14">
        <v>7960</v>
      </c>
      <c r="Y18" s="14">
        <v>8119</v>
      </c>
      <c r="Z18" s="14">
        <v>8747</v>
      </c>
      <c r="AA18" s="14">
        <v>8905</v>
      </c>
      <c r="AB18" s="14">
        <v>9701</v>
      </c>
      <c r="AC18" s="14">
        <v>9895</v>
      </c>
      <c r="AD18" s="14">
        <v>10798</v>
      </c>
      <c r="AE18" s="14">
        <v>11003</v>
      </c>
      <c r="AF18" s="14">
        <v>11201</v>
      </c>
      <c r="AG18" s="14">
        <v>11392</v>
      </c>
    </row>
    <row r="19" spans="1:33" x14ac:dyDescent="0.25">
      <c r="A19" s="9" t="s">
        <v>81</v>
      </c>
      <c r="B19" s="10" t="s">
        <v>82</v>
      </c>
      <c r="C19" s="10" t="s">
        <v>59</v>
      </c>
      <c r="D19" s="11">
        <v>472871</v>
      </c>
      <c r="E19" s="11">
        <v>472871</v>
      </c>
      <c r="F19" s="11">
        <v>496514</v>
      </c>
      <c r="G19" s="11">
        <v>516375</v>
      </c>
      <c r="H19" s="11">
        <v>537030</v>
      </c>
      <c r="I19" s="11">
        <v>558511</v>
      </c>
      <c r="J19" s="11">
        <v>580851</v>
      </c>
      <c r="K19" s="11">
        <v>591307</v>
      </c>
      <c r="L19" s="11">
        <v>620476</v>
      </c>
      <c r="M19" s="11">
        <v>626681</v>
      </c>
      <c r="N19" s="11">
        <v>626681</v>
      </c>
      <c r="O19" s="11">
        <v>640543</v>
      </c>
      <c r="P19" s="11">
        <v>646949</v>
      </c>
      <c r="Q19" s="11">
        <v>654065</v>
      </c>
      <c r="R19" s="11">
        <v>661260</v>
      </c>
      <c r="S19" s="11">
        <v>669856</v>
      </c>
      <c r="T19" s="11">
        <v>677895</v>
      </c>
      <c r="U19" s="11">
        <v>687385</v>
      </c>
      <c r="V19" s="11">
        <v>696321</v>
      </c>
      <c r="W19" s="11">
        <v>710248</v>
      </c>
      <c r="X19" s="11">
        <v>723032</v>
      </c>
      <c r="Y19" s="11">
        <v>737493</v>
      </c>
      <c r="Z19" s="11">
        <v>794575</v>
      </c>
      <c r="AA19" s="11">
        <v>808877</v>
      </c>
      <c r="AB19" s="11">
        <v>881193</v>
      </c>
      <c r="AC19" s="11">
        <v>898817</v>
      </c>
      <c r="AD19" s="11">
        <v>980858</v>
      </c>
      <c r="AE19" s="11">
        <v>999495</v>
      </c>
      <c r="AF19" s="11">
        <v>1017485</v>
      </c>
      <c r="AG19" s="11">
        <v>1034783</v>
      </c>
    </row>
    <row r="20" spans="1:33" x14ac:dyDescent="0.25">
      <c r="A20" s="12" t="s">
        <v>83</v>
      </c>
      <c r="B20" s="13" t="s">
        <v>82</v>
      </c>
      <c r="C20" s="13" t="s">
        <v>61</v>
      </c>
      <c r="D20" s="14">
        <v>526819</v>
      </c>
      <c r="E20" s="14">
        <v>526819</v>
      </c>
      <c r="F20" s="14">
        <v>553160</v>
      </c>
      <c r="G20" s="14">
        <v>575287</v>
      </c>
      <c r="H20" s="14">
        <v>598298</v>
      </c>
      <c r="I20" s="14">
        <v>622230</v>
      </c>
      <c r="J20" s="14">
        <v>647119</v>
      </c>
      <c r="K20" s="14">
        <v>658767</v>
      </c>
      <c r="L20" s="14">
        <v>691238</v>
      </c>
      <c r="M20" s="14">
        <v>698150</v>
      </c>
      <c r="N20" s="14">
        <v>698150</v>
      </c>
      <c r="O20" s="14">
        <v>713593</v>
      </c>
      <c r="P20" s="14">
        <v>720729</v>
      </c>
      <c r="Q20" s="14">
        <v>728657</v>
      </c>
      <c r="R20" s="14">
        <v>736673</v>
      </c>
      <c r="S20" s="14">
        <v>746249</v>
      </c>
      <c r="T20" s="14">
        <v>755204</v>
      </c>
      <c r="U20" s="14">
        <v>765777</v>
      </c>
      <c r="V20" s="14">
        <v>775732</v>
      </c>
      <c r="W20" s="14">
        <v>791247</v>
      </c>
      <c r="X20" s="14">
        <v>805489</v>
      </c>
      <c r="Y20" s="14">
        <v>821599</v>
      </c>
      <c r="Z20" s="14">
        <v>885191</v>
      </c>
      <c r="AA20" s="14">
        <v>901124</v>
      </c>
      <c r="AB20" s="14">
        <v>981688</v>
      </c>
      <c r="AC20" s="14">
        <v>1001322</v>
      </c>
      <c r="AD20" s="14">
        <v>1092719</v>
      </c>
      <c r="AE20" s="14">
        <v>1113481</v>
      </c>
      <c r="AF20" s="14">
        <v>1133523</v>
      </c>
      <c r="AG20" s="14">
        <v>1152793</v>
      </c>
    </row>
    <row r="21" spans="1:33" x14ac:dyDescent="0.25">
      <c r="A21" s="9" t="s">
        <v>84</v>
      </c>
      <c r="B21" s="10" t="s">
        <v>82</v>
      </c>
      <c r="C21" s="10" t="s">
        <v>63</v>
      </c>
      <c r="D21" s="11">
        <v>790575</v>
      </c>
      <c r="E21" s="11">
        <v>790575</v>
      </c>
      <c r="F21" s="11">
        <v>830103</v>
      </c>
      <c r="G21" s="11">
        <v>863308</v>
      </c>
      <c r="H21" s="11">
        <v>897840</v>
      </c>
      <c r="I21" s="11">
        <v>933753</v>
      </c>
      <c r="J21" s="11">
        <v>971104</v>
      </c>
      <c r="K21" s="11">
        <v>988583</v>
      </c>
      <c r="L21" s="11">
        <v>1037302</v>
      </c>
      <c r="M21" s="11">
        <v>1047675</v>
      </c>
      <c r="N21" s="11">
        <v>1047675</v>
      </c>
      <c r="O21" s="11">
        <v>1070849</v>
      </c>
      <c r="P21" s="11">
        <v>1081558</v>
      </c>
      <c r="Q21" s="11">
        <v>1093455</v>
      </c>
      <c r="R21" s="11">
        <v>1105483</v>
      </c>
      <c r="S21" s="11">
        <v>1119854</v>
      </c>
      <c r="T21" s="11">
        <v>1133293</v>
      </c>
      <c r="U21" s="11">
        <v>1149159</v>
      </c>
      <c r="V21" s="11">
        <v>1164098</v>
      </c>
      <c r="W21" s="11">
        <v>1187380</v>
      </c>
      <c r="X21" s="11">
        <v>1208753</v>
      </c>
      <c r="Y21" s="11">
        <v>1232928</v>
      </c>
      <c r="Z21" s="11">
        <v>1328356</v>
      </c>
      <c r="AA21" s="11">
        <v>1352267</v>
      </c>
      <c r="AB21" s="11">
        <v>1473164</v>
      </c>
      <c r="AC21" s="11">
        <v>1502627</v>
      </c>
      <c r="AD21" s="11">
        <v>1639782</v>
      </c>
      <c r="AE21" s="11">
        <v>1670938</v>
      </c>
      <c r="AF21" s="11">
        <v>1701015</v>
      </c>
      <c r="AG21" s="11">
        <v>1729932</v>
      </c>
    </row>
    <row r="22" spans="1:33" x14ac:dyDescent="0.25">
      <c r="A22" s="12" t="s">
        <v>85</v>
      </c>
      <c r="B22" s="13" t="s">
        <v>82</v>
      </c>
      <c r="C22" s="13" t="s">
        <v>65</v>
      </c>
      <c r="D22" s="14">
        <v>945786</v>
      </c>
      <c r="E22" s="14">
        <v>945786</v>
      </c>
      <c r="F22" s="14">
        <v>993075</v>
      </c>
      <c r="G22" s="14">
        <v>1032798</v>
      </c>
      <c r="H22" s="14">
        <v>1074110</v>
      </c>
      <c r="I22" s="14">
        <v>1117075</v>
      </c>
      <c r="J22" s="14">
        <v>1161758</v>
      </c>
      <c r="K22" s="14">
        <v>1182669</v>
      </c>
      <c r="L22" s="14">
        <v>1240953</v>
      </c>
      <c r="M22" s="14">
        <v>1253362</v>
      </c>
      <c r="N22" s="14">
        <v>1253362</v>
      </c>
      <c r="O22" s="14">
        <v>1281087</v>
      </c>
      <c r="P22" s="14">
        <v>1293897</v>
      </c>
      <c r="Q22" s="14">
        <v>1308130</v>
      </c>
      <c r="R22" s="14">
        <v>1322520</v>
      </c>
      <c r="S22" s="14">
        <v>1339713</v>
      </c>
      <c r="T22" s="14">
        <v>1355789</v>
      </c>
      <c r="U22" s="14">
        <v>1374770</v>
      </c>
      <c r="V22" s="14">
        <v>1392642</v>
      </c>
      <c r="W22" s="14">
        <v>1420495</v>
      </c>
      <c r="X22" s="14">
        <v>1446064</v>
      </c>
      <c r="Y22" s="14">
        <v>1474985</v>
      </c>
      <c r="Z22" s="14">
        <v>1589149</v>
      </c>
      <c r="AA22" s="14">
        <v>1617754</v>
      </c>
      <c r="AB22" s="14">
        <v>1762386</v>
      </c>
      <c r="AC22" s="14">
        <v>1797634</v>
      </c>
      <c r="AD22" s="14">
        <v>1961716</v>
      </c>
      <c r="AE22" s="14">
        <v>1998989</v>
      </c>
      <c r="AF22" s="14">
        <v>2034971</v>
      </c>
      <c r="AG22" s="14">
        <v>2069565</v>
      </c>
    </row>
    <row r="23" spans="1:33" x14ac:dyDescent="0.25">
      <c r="A23" s="15" t="s">
        <v>86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 spans="1:33" x14ac:dyDescent="0.25">
      <c r="A24" s="9" t="s">
        <v>87</v>
      </c>
      <c r="B24" s="10" t="s">
        <v>58</v>
      </c>
      <c r="C24" s="10" t="s">
        <v>59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50000</v>
      </c>
      <c r="J24" s="11">
        <v>50000</v>
      </c>
      <c r="K24" s="11">
        <v>50000</v>
      </c>
      <c r="L24" s="11">
        <v>20000</v>
      </c>
      <c r="M24" s="11">
        <v>20000</v>
      </c>
      <c r="N24" s="11">
        <v>0</v>
      </c>
      <c r="O24" s="11">
        <v>40000</v>
      </c>
      <c r="P24" s="11">
        <v>40000</v>
      </c>
      <c r="Q24" s="11">
        <v>48000</v>
      </c>
      <c r="R24" s="11">
        <v>48000</v>
      </c>
      <c r="S24" s="11">
        <v>74200</v>
      </c>
      <c r="T24" s="11">
        <v>74200</v>
      </c>
      <c r="U24" s="11">
        <v>103300</v>
      </c>
      <c r="V24" s="11">
        <v>103300</v>
      </c>
      <c r="W24" s="11">
        <v>121800</v>
      </c>
      <c r="X24" s="11">
        <v>121800</v>
      </c>
      <c r="Y24" s="11">
        <v>147000</v>
      </c>
      <c r="Z24" s="11">
        <v>99800</v>
      </c>
      <c r="AA24" s="11">
        <v>125400</v>
      </c>
      <c r="AB24" s="11">
        <v>63300</v>
      </c>
      <c r="AC24" s="11">
        <v>72900</v>
      </c>
      <c r="AD24" s="11">
        <v>0</v>
      </c>
      <c r="AE24" s="11">
        <v>0</v>
      </c>
      <c r="AF24" s="11">
        <v>0</v>
      </c>
      <c r="AG24" s="11">
        <v>0</v>
      </c>
    </row>
    <row r="25" spans="1:33" x14ac:dyDescent="0.25">
      <c r="A25" s="12" t="s">
        <v>88</v>
      </c>
      <c r="B25" s="13" t="s">
        <v>58</v>
      </c>
      <c r="C25" s="13" t="s">
        <v>61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50000</v>
      </c>
      <c r="J25" s="14">
        <v>50000</v>
      </c>
      <c r="K25" s="14">
        <v>50000</v>
      </c>
      <c r="L25" s="14">
        <v>20000</v>
      </c>
      <c r="M25" s="14">
        <v>20000</v>
      </c>
      <c r="N25" s="14">
        <v>0</v>
      </c>
      <c r="O25" s="14">
        <v>44400</v>
      </c>
      <c r="P25" s="14">
        <v>44400</v>
      </c>
      <c r="Q25" s="14">
        <v>53200</v>
      </c>
      <c r="R25" s="14">
        <v>53200</v>
      </c>
      <c r="S25" s="14">
        <v>82400</v>
      </c>
      <c r="T25" s="14">
        <v>82400</v>
      </c>
      <c r="U25" s="14">
        <v>114700</v>
      </c>
      <c r="V25" s="14">
        <v>114700</v>
      </c>
      <c r="W25" s="14">
        <v>135200</v>
      </c>
      <c r="X25" s="14">
        <v>135200</v>
      </c>
      <c r="Y25" s="14">
        <v>163200</v>
      </c>
      <c r="Z25" s="14">
        <v>110800</v>
      </c>
      <c r="AA25" s="14">
        <v>139200</v>
      </c>
      <c r="AB25" s="14">
        <v>70300</v>
      </c>
      <c r="AC25" s="14">
        <v>80900</v>
      </c>
      <c r="AD25" s="14">
        <v>0</v>
      </c>
      <c r="AE25" s="14">
        <v>0</v>
      </c>
      <c r="AF25" s="14">
        <v>0</v>
      </c>
      <c r="AG25" s="14">
        <v>0</v>
      </c>
    </row>
    <row r="26" spans="1:33" x14ac:dyDescent="0.25">
      <c r="A26" s="9" t="s">
        <v>89</v>
      </c>
      <c r="B26" s="10" t="s">
        <v>58</v>
      </c>
      <c r="C26" s="10" t="s">
        <v>63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50000</v>
      </c>
      <c r="J26" s="11">
        <v>50000</v>
      </c>
      <c r="K26" s="11">
        <v>50000</v>
      </c>
      <c r="L26" s="11">
        <v>20000</v>
      </c>
      <c r="M26" s="11">
        <v>20000</v>
      </c>
      <c r="N26" s="11">
        <v>0</v>
      </c>
      <c r="O26" s="11">
        <v>74100</v>
      </c>
      <c r="P26" s="11">
        <v>74100</v>
      </c>
      <c r="Q26" s="11">
        <v>89000</v>
      </c>
      <c r="R26" s="11">
        <v>89000</v>
      </c>
      <c r="S26" s="11">
        <v>137600</v>
      </c>
      <c r="T26" s="11">
        <v>137600</v>
      </c>
      <c r="U26" s="11">
        <v>158600</v>
      </c>
      <c r="V26" s="11">
        <v>158600</v>
      </c>
      <c r="W26" s="11">
        <v>187000</v>
      </c>
      <c r="X26" s="11">
        <v>187000</v>
      </c>
      <c r="Y26" s="11">
        <v>225700</v>
      </c>
      <c r="Z26" s="11">
        <v>153200</v>
      </c>
      <c r="AA26" s="11">
        <v>192500</v>
      </c>
      <c r="AB26" s="11">
        <v>97200</v>
      </c>
      <c r="AC26" s="11">
        <v>111900</v>
      </c>
      <c r="AD26" s="11">
        <v>0</v>
      </c>
      <c r="AE26" s="11">
        <v>0</v>
      </c>
      <c r="AF26" s="11">
        <v>0</v>
      </c>
      <c r="AG26" s="11">
        <v>0</v>
      </c>
    </row>
    <row r="27" spans="1:33" x14ac:dyDescent="0.25">
      <c r="A27" s="12" t="s">
        <v>90</v>
      </c>
      <c r="B27" s="13" t="s">
        <v>58</v>
      </c>
      <c r="C27" s="13" t="s">
        <v>65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50000</v>
      </c>
      <c r="J27" s="14">
        <v>50000</v>
      </c>
      <c r="K27" s="14">
        <v>50000</v>
      </c>
      <c r="L27" s="14">
        <v>20000</v>
      </c>
      <c r="M27" s="14">
        <v>20000</v>
      </c>
      <c r="N27" s="14">
        <v>0</v>
      </c>
      <c r="O27" s="14">
        <v>80000</v>
      </c>
      <c r="P27" s="14">
        <v>80000</v>
      </c>
      <c r="Q27" s="14">
        <v>96000</v>
      </c>
      <c r="R27" s="14">
        <v>96000</v>
      </c>
      <c r="S27" s="14">
        <v>148400</v>
      </c>
      <c r="T27" s="14">
        <v>148400</v>
      </c>
      <c r="U27" s="14">
        <v>206600</v>
      </c>
      <c r="V27" s="14">
        <v>206600</v>
      </c>
      <c r="W27" s="14">
        <v>243600</v>
      </c>
      <c r="X27" s="14">
        <v>243600</v>
      </c>
      <c r="Y27" s="14">
        <v>294000</v>
      </c>
      <c r="Z27" s="14">
        <v>199600</v>
      </c>
      <c r="AA27" s="14">
        <v>250700</v>
      </c>
      <c r="AB27" s="14">
        <v>126600</v>
      </c>
      <c r="AC27" s="14">
        <v>145700</v>
      </c>
      <c r="AD27" s="14">
        <v>0</v>
      </c>
      <c r="AE27" s="14">
        <v>0</v>
      </c>
      <c r="AF27" s="14">
        <v>0</v>
      </c>
      <c r="AG27" s="14">
        <v>0</v>
      </c>
    </row>
    <row r="28" spans="1:33" x14ac:dyDescent="0.25">
      <c r="A28" s="9" t="s">
        <v>91</v>
      </c>
      <c r="B28" s="10" t="s">
        <v>67</v>
      </c>
      <c r="C28" s="10" t="s">
        <v>59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50000</v>
      </c>
      <c r="J28" s="11">
        <v>50000</v>
      </c>
      <c r="K28" s="11">
        <v>50000</v>
      </c>
      <c r="L28" s="11">
        <v>20000</v>
      </c>
      <c r="M28" s="11">
        <v>20000</v>
      </c>
      <c r="N28" s="11">
        <v>0</v>
      </c>
      <c r="O28" s="11">
        <v>38000</v>
      </c>
      <c r="P28" s="11">
        <v>38000</v>
      </c>
      <c r="Q28" s="11">
        <v>46000</v>
      </c>
      <c r="R28" s="11">
        <v>46000</v>
      </c>
      <c r="S28" s="11">
        <v>71000</v>
      </c>
      <c r="T28" s="11">
        <v>71000</v>
      </c>
      <c r="U28" s="11">
        <v>96200</v>
      </c>
      <c r="V28" s="11">
        <v>96200</v>
      </c>
      <c r="W28" s="11">
        <v>112200</v>
      </c>
      <c r="X28" s="11">
        <v>112200</v>
      </c>
      <c r="Y28" s="11">
        <v>134100</v>
      </c>
      <c r="Z28" s="11">
        <v>91000</v>
      </c>
      <c r="AA28" s="11">
        <v>114400</v>
      </c>
      <c r="AB28" s="11">
        <v>58300</v>
      </c>
      <c r="AC28" s="11">
        <v>67100</v>
      </c>
      <c r="AD28" s="11">
        <v>0</v>
      </c>
      <c r="AE28" s="11">
        <v>0</v>
      </c>
      <c r="AF28" s="11">
        <v>0</v>
      </c>
      <c r="AG28" s="11">
        <v>0</v>
      </c>
    </row>
    <row r="29" spans="1:33" x14ac:dyDescent="0.25">
      <c r="A29" s="12" t="s">
        <v>92</v>
      </c>
      <c r="B29" s="13" t="s">
        <v>67</v>
      </c>
      <c r="C29" s="13" t="s">
        <v>61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50000</v>
      </c>
      <c r="J29" s="14">
        <v>50000</v>
      </c>
      <c r="K29" s="14">
        <v>50000</v>
      </c>
      <c r="L29" s="14">
        <v>20000</v>
      </c>
      <c r="M29" s="14">
        <v>20000</v>
      </c>
      <c r="N29" s="14">
        <v>0</v>
      </c>
      <c r="O29" s="14">
        <v>42200</v>
      </c>
      <c r="P29" s="14">
        <v>42200</v>
      </c>
      <c r="Q29" s="14">
        <v>51000</v>
      </c>
      <c r="R29" s="14">
        <v>51000</v>
      </c>
      <c r="S29" s="14">
        <v>78800</v>
      </c>
      <c r="T29" s="14">
        <v>78800</v>
      </c>
      <c r="U29" s="14">
        <v>106800</v>
      </c>
      <c r="V29" s="14">
        <v>106800</v>
      </c>
      <c r="W29" s="14">
        <v>124600</v>
      </c>
      <c r="X29" s="14">
        <v>124600</v>
      </c>
      <c r="Y29" s="14">
        <v>148900</v>
      </c>
      <c r="Z29" s="14">
        <v>101100</v>
      </c>
      <c r="AA29" s="14">
        <v>127000</v>
      </c>
      <c r="AB29" s="14">
        <v>64700</v>
      </c>
      <c r="AC29" s="14">
        <v>74500</v>
      </c>
      <c r="AD29" s="14">
        <v>0</v>
      </c>
      <c r="AE29" s="14">
        <v>0</v>
      </c>
      <c r="AF29" s="14">
        <v>0</v>
      </c>
      <c r="AG29" s="14">
        <v>0</v>
      </c>
    </row>
    <row r="30" spans="1:33" x14ac:dyDescent="0.25">
      <c r="A30" s="9" t="s">
        <v>93</v>
      </c>
      <c r="B30" s="10" t="s">
        <v>67</v>
      </c>
      <c r="C30" s="10" t="s">
        <v>63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50000</v>
      </c>
      <c r="J30" s="11">
        <v>50000</v>
      </c>
      <c r="K30" s="11">
        <v>50000</v>
      </c>
      <c r="L30" s="11">
        <v>20000</v>
      </c>
      <c r="M30" s="11">
        <v>20000</v>
      </c>
      <c r="N30" s="11">
        <v>0</v>
      </c>
      <c r="O30" s="11">
        <v>70400</v>
      </c>
      <c r="P30" s="11">
        <v>70400</v>
      </c>
      <c r="Q30" s="11">
        <v>85300</v>
      </c>
      <c r="R30" s="11">
        <v>85300</v>
      </c>
      <c r="S30" s="11">
        <v>131700</v>
      </c>
      <c r="T30" s="11">
        <v>131700</v>
      </c>
      <c r="U30" s="11">
        <v>147700</v>
      </c>
      <c r="V30" s="11">
        <v>147700</v>
      </c>
      <c r="W30" s="11">
        <v>172300</v>
      </c>
      <c r="X30" s="11">
        <v>172300</v>
      </c>
      <c r="Y30" s="11">
        <v>206000</v>
      </c>
      <c r="Z30" s="11">
        <v>140000</v>
      </c>
      <c r="AA30" s="11">
        <v>175600</v>
      </c>
      <c r="AB30" s="11">
        <v>89500</v>
      </c>
      <c r="AC30" s="11">
        <v>103100</v>
      </c>
      <c r="AD30" s="11">
        <v>0</v>
      </c>
      <c r="AE30" s="11">
        <v>0</v>
      </c>
      <c r="AF30" s="11">
        <v>0</v>
      </c>
      <c r="AG30" s="11">
        <v>0</v>
      </c>
    </row>
    <row r="31" spans="1:33" x14ac:dyDescent="0.25">
      <c r="A31" s="12" t="s">
        <v>94</v>
      </c>
      <c r="B31" s="13" t="s">
        <v>67</v>
      </c>
      <c r="C31" s="13" t="s">
        <v>65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50000</v>
      </c>
      <c r="J31" s="14">
        <v>50000</v>
      </c>
      <c r="K31" s="14">
        <v>50000</v>
      </c>
      <c r="L31" s="14">
        <v>20000</v>
      </c>
      <c r="M31" s="14">
        <v>20000</v>
      </c>
      <c r="N31" s="14">
        <v>0</v>
      </c>
      <c r="O31" s="14">
        <v>76000</v>
      </c>
      <c r="P31" s="14">
        <v>76000</v>
      </c>
      <c r="Q31" s="14">
        <v>92000</v>
      </c>
      <c r="R31" s="14">
        <v>92000</v>
      </c>
      <c r="S31" s="14">
        <v>142000</v>
      </c>
      <c r="T31" s="14">
        <v>142000</v>
      </c>
      <c r="U31" s="14">
        <v>192400</v>
      </c>
      <c r="V31" s="14">
        <v>192400</v>
      </c>
      <c r="W31" s="14">
        <v>224400</v>
      </c>
      <c r="X31" s="14">
        <v>224400</v>
      </c>
      <c r="Y31" s="14">
        <v>268200</v>
      </c>
      <c r="Z31" s="14">
        <v>182000</v>
      </c>
      <c r="AA31" s="14">
        <v>228700</v>
      </c>
      <c r="AB31" s="14">
        <v>116600</v>
      </c>
      <c r="AC31" s="14">
        <v>134200</v>
      </c>
      <c r="AD31" s="14">
        <v>0</v>
      </c>
      <c r="AE31" s="14">
        <v>0</v>
      </c>
      <c r="AF31" s="14">
        <v>0</v>
      </c>
      <c r="AG31" s="14">
        <v>0</v>
      </c>
    </row>
    <row r="32" spans="1:33" x14ac:dyDescent="0.25">
      <c r="A32" s="9" t="s">
        <v>95</v>
      </c>
      <c r="B32" s="10" t="s">
        <v>72</v>
      </c>
      <c r="C32" s="10" t="s">
        <v>59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50000</v>
      </c>
      <c r="J32" s="11">
        <v>50000</v>
      </c>
      <c r="K32" s="11">
        <v>50000</v>
      </c>
      <c r="L32" s="11">
        <v>20000</v>
      </c>
      <c r="M32" s="11">
        <v>20000</v>
      </c>
      <c r="N32" s="11">
        <v>0</v>
      </c>
      <c r="O32" s="11">
        <v>34000</v>
      </c>
      <c r="P32" s="11">
        <v>34000</v>
      </c>
      <c r="Q32" s="11">
        <v>42000</v>
      </c>
      <c r="R32" s="11">
        <v>42000</v>
      </c>
      <c r="S32" s="11">
        <v>64900</v>
      </c>
      <c r="T32" s="11">
        <v>64900</v>
      </c>
      <c r="U32" s="11">
        <v>88100</v>
      </c>
      <c r="V32" s="11">
        <v>88100</v>
      </c>
      <c r="W32" s="11">
        <v>102800</v>
      </c>
      <c r="X32" s="11">
        <v>102800</v>
      </c>
      <c r="Y32" s="11">
        <v>123000</v>
      </c>
      <c r="Z32" s="11">
        <v>83500</v>
      </c>
      <c r="AA32" s="11">
        <v>104900</v>
      </c>
      <c r="AB32" s="11">
        <v>53400</v>
      </c>
      <c r="AC32" s="11">
        <v>61500</v>
      </c>
      <c r="AD32" s="11">
        <v>0</v>
      </c>
      <c r="AE32" s="11">
        <v>0</v>
      </c>
      <c r="AF32" s="11">
        <v>0</v>
      </c>
      <c r="AG32" s="11">
        <v>0</v>
      </c>
    </row>
    <row r="33" spans="1:33" x14ac:dyDescent="0.25">
      <c r="A33" s="12" t="s">
        <v>96</v>
      </c>
      <c r="B33" s="13" t="s">
        <v>72</v>
      </c>
      <c r="C33" s="13" t="s">
        <v>61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50000</v>
      </c>
      <c r="J33" s="14">
        <v>50000</v>
      </c>
      <c r="K33" s="14">
        <v>50000</v>
      </c>
      <c r="L33" s="14">
        <v>20000</v>
      </c>
      <c r="M33" s="14">
        <v>20000</v>
      </c>
      <c r="N33" s="14">
        <v>0</v>
      </c>
      <c r="O33" s="14">
        <v>37700</v>
      </c>
      <c r="P33" s="14">
        <v>37700</v>
      </c>
      <c r="Q33" s="14">
        <v>46600</v>
      </c>
      <c r="R33" s="14">
        <v>46600</v>
      </c>
      <c r="S33" s="14">
        <v>72000</v>
      </c>
      <c r="T33" s="14">
        <v>72000</v>
      </c>
      <c r="U33" s="14">
        <v>97800</v>
      </c>
      <c r="V33" s="14">
        <v>97800</v>
      </c>
      <c r="W33" s="14">
        <v>114100</v>
      </c>
      <c r="X33" s="14">
        <v>114100</v>
      </c>
      <c r="Y33" s="14">
        <v>136500</v>
      </c>
      <c r="Z33" s="14">
        <v>92700</v>
      </c>
      <c r="AA33" s="14">
        <v>116400</v>
      </c>
      <c r="AB33" s="14">
        <v>59300</v>
      </c>
      <c r="AC33" s="14">
        <v>68200</v>
      </c>
      <c r="AD33" s="14">
        <v>0</v>
      </c>
      <c r="AE33" s="14">
        <v>0</v>
      </c>
      <c r="AF33" s="14">
        <v>0</v>
      </c>
      <c r="AG33" s="14">
        <v>0</v>
      </c>
    </row>
    <row r="34" spans="1:33" x14ac:dyDescent="0.25">
      <c r="A34" s="9" t="s">
        <v>97</v>
      </c>
      <c r="B34" s="10" t="s">
        <v>72</v>
      </c>
      <c r="C34" s="10" t="s">
        <v>63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50000</v>
      </c>
      <c r="J34" s="11">
        <v>50000</v>
      </c>
      <c r="K34" s="11">
        <v>50000</v>
      </c>
      <c r="L34" s="11">
        <v>20000</v>
      </c>
      <c r="M34" s="11">
        <v>20000</v>
      </c>
      <c r="N34" s="11">
        <v>0</v>
      </c>
      <c r="O34" s="11">
        <v>63000</v>
      </c>
      <c r="P34" s="11">
        <v>63000</v>
      </c>
      <c r="Q34" s="11">
        <v>77900</v>
      </c>
      <c r="R34" s="11">
        <v>77900</v>
      </c>
      <c r="S34" s="11">
        <v>120400</v>
      </c>
      <c r="T34" s="11">
        <v>120400</v>
      </c>
      <c r="U34" s="11">
        <v>135200</v>
      </c>
      <c r="V34" s="11">
        <v>135200</v>
      </c>
      <c r="W34" s="11">
        <v>157800</v>
      </c>
      <c r="X34" s="11">
        <v>157800</v>
      </c>
      <c r="Y34" s="11">
        <v>188800</v>
      </c>
      <c r="Z34" s="11">
        <v>128200</v>
      </c>
      <c r="AA34" s="11">
        <v>161000</v>
      </c>
      <c r="AB34" s="11">
        <v>82000</v>
      </c>
      <c r="AC34" s="11">
        <v>94400</v>
      </c>
      <c r="AD34" s="11">
        <v>0</v>
      </c>
      <c r="AE34" s="11">
        <v>0</v>
      </c>
      <c r="AF34" s="11">
        <v>0</v>
      </c>
      <c r="AG34" s="11">
        <v>0</v>
      </c>
    </row>
    <row r="35" spans="1:33" x14ac:dyDescent="0.25">
      <c r="A35" s="12" t="s">
        <v>98</v>
      </c>
      <c r="B35" s="13" t="s">
        <v>72</v>
      </c>
      <c r="C35" s="13" t="s">
        <v>65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50000</v>
      </c>
      <c r="J35" s="14">
        <v>50000</v>
      </c>
      <c r="K35" s="14">
        <v>50000</v>
      </c>
      <c r="L35" s="14">
        <v>20000</v>
      </c>
      <c r="M35" s="14">
        <v>20000</v>
      </c>
      <c r="N35" s="14">
        <v>0</v>
      </c>
      <c r="O35" s="14">
        <v>68000</v>
      </c>
      <c r="P35" s="14">
        <v>68000</v>
      </c>
      <c r="Q35" s="14">
        <v>84000</v>
      </c>
      <c r="R35" s="14">
        <v>84000</v>
      </c>
      <c r="S35" s="14">
        <v>129800</v>
      </c>
      <c r="T35" s="14">
        <v>129800</v>
      </c>
      <c r="U35" s="14">
        <v>176200</v>
      </c>
      <c r="V35" s="14">
        <v>176200</v>
      </c>
      <c r="W35" s="14">
        <v>205600</v>
      </c>
      <c r="X35" s="14">
        <v>205600</v>
      </c>
      <c r="Y35" s="14">
        <v>246000</v>
      </c>
      <c r="Z35" s="14">
        <v>167000</v>
      </c>
      <c r="AA35" s="14">
        <v>209800</v>
      </c>
      <c r="AB35" s="14">
        <v>106800</v>
      </c>
      <c r="AC35" s="14">
        <v>123000</v>
      </c>
      <c r="AD35" s="14">
        <v>0</v>
      </c>
      <c r="AE35" s="14">
        <v>0</v>
      </c>
      <c r="AF35" s="14">
        <v>0</v>
      </c>
      <c r="AG35" s="14">
        <v>0</v>
      </c>
    </row>
    <row r="36" spans="1:33" x14ac:dyDescent="0.25">
      <c r="A36" s="9" t="s">
        <v>99</v>
      </c>
      <c r="B36" s="10" t="s">
        <v>77</v>
      </c>
      <c r="C36" s="10" t="s">
        <v>59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50000</v>
      </c>
      <c r="J36" s="11">
        <v>50000</v>
      </c>
      <c r="K36" s="11">
        <v>50000</v>
      </c>
      <c r="L36" s="11">
        <v>20000</v>
      </c>
      <c r="M36" s="11">
        <v>20000</v>
      </c>
      <c r="N36" s="11">
        <v>0</v>
      </c>
      <c r="O36" s="11">
        <v>33000</v>
      </c>
      <c r="P36" s="11">
        <v>33000</v>
      </c>
      <c r="Q36" s="11">
        <v>40000</v>
      </c>
      <c r="R36" s="11">
        <v>40000</v>
      </c>
      <c r="S36" s="11">
        <v>61800</v>
      </c>
      <c r="T36" s="11">
        <v>61800</v>
      </c>
      <c r="U36" s="11">
        <v>83200</v>
      </c>
      <c r="V36" s="11">
        <v>83200</v>
      </c>
      <c r="W36" s="11">
        <v>96800</v>
      </c>
      <c r="X36" s="11">
        <v>96800</v>
      </c>
      <c r="Y36" s="11">
        <v>115500</v>
      </c>
      <c r="Z36" s="11">
        <v>78400</v>
      </c>
      <c r="AA36" s="11">
        <v>98500</v>
      </c>
      <c r="AB36" s="11">
        <v>50300</v>
      </c>
      <c r="AC36" s="11">
        <v>57900</v>
      </c>
      <c r="AD36" s="11">
        <v>0</v>
      </c>
      <c r="AE36" s="11">
        <v>0</v>
      </c>
      <c r="AF36" s="11">
        <v>0</v>
      </c>
      <c r="AG36" s="11">
        <v>0</v>
      </c>
    </row>
    <row r="37" spans="1:33" x14ac:dyDescent="0.25">
      <c r="A37" s="12" t="s">
        <v>100</v>
      </c>
      <c r="B37" s="13" t="s">
        <v>77</v>
      </c>
      <c r="C37" s="13" t="s">
        <v>61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50000</v>
      </c>
      <c r="J37" s="14">
        <v>50000</v>
      </c>
      <c r="K37" s="14">
        <v>50000</v>
      </c>
      <c r="L37" s="14">
        <v>20000</v>
      </c>
      <c r="M37" s="14">
        <v>20000</v>
      </c>
      <c r="N37" s="14">
        <v>0</v>
      </c>
      <c r="O37" s="14">
        <v>36600</v>
      </c>
      <c r="P37" s="14">
        <v>36600</v>
      </c>
      <c r="Q37" s="14">
        <v>44400</v>
      </c>
      <c r="R37" s="14">
        <v>44400</v>
      </c>
      <c r="S37" s="14">
        <v>68600</v>
      </c>
      <c r="T37" s="14">
        <v>68600</v>
      </c>
      <c r="U37" s="14">
        <v>92400</v>
      </c>
      <c r="V37" s="14">
        <v>92400</v>
      </c>
      <c r="W37" s="14">
        <v>107500</v>
      </c>
      <c r="X37" s="14">
        <v>107500</v>
      </c>
      <c r="Y37" s="14">
        <v>128300</v>
      </c>
      <c r="Z37" s="14">
        <v>87100</v>
      </c>
      <c r="AA37" s="14">
        <v>109400</v>
      </c>
      <c r="AB37" s="14">
        <v>55900</v>
      </c>
      <c r="AC37" s="14">
        <v>64300</v>
      </c>
      <c r="AD37" s="14">
        <v>0</v>
      </c>
      <c r="AE37" s="14">
        <v>0</v>
      </c>
      <c r="AF37" s="14">
        <v>0</v>
      </c>
      <c r="AG37" s="14">
        <v>0</v>
      </c>
    </row>
    <row r="38" spans="1:33" x14ac:dyDescent="0.25">
      <c r="A38" s="9" t="s">
        <v>101</v>
      </c>
      <c r="B38" s="10" t="s">
        <v>77</v>
      </c>
      <c r="C38" s="10" t="s">
        <v>63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50000</v>
      </c>
      <c r="J38" s="11">
        <v>50000</v>
      </c>
      <c r="K38" s="11">
        <v>50000</v>
      </c>
      <c r="L38" s="11">
        <v>20000</v>
      </c>
      <c r="M38" s="11">
        <v>20000</v>
      </c>
      <c r="N38" s="11">
        <v>0</v>
      </c>
      <c r="O38" s="11">
        <v>61200</v>
      </c>
      <c r="P38" s="11">
        <v>61200</v>
      </c>
      <c r="Q38" s="11">
        <v>74200</v>
      </c>
      <c r="R38" s="11">
        <v>74200</v>
      </c>
      <c r="S38" s="11">
        <v>114600</v>
      </c>
      <c r="T38" s="11">
        <v>114600</v>
      </c>
      <c r="U38" s="11">
        <v>127700</v>
      </c>
      <c r="V38" s="11">
        <v>127700</v>
      </c>
      <c r="W38" s="11">
        <v>148600</v>
      </c>
      <c r="X38" s="11">
        <v>148600</v>
      </c>
      <c r="Y38" s="11">
        <v>177300</v>
      </c>
      <c r="Z38" s="11">
        <v>120400</v>
      </c>
      <c r="AA38" s="11">
        <v>151200</v>
      </c>
      <c r="AB38" s="11">
        <v>77200</v>
      </c>
      <c r="AC38" s="11">
        <v>88900</v>
      </c>
      <c r="AD38" s="11">
        <v>0</v>
      </c>
      <c r="AE38" s="11">
        <v>0</v>
      </c>
      <c r="AF38" s="11">
        <v>0</v>
      </c>
      <c r="AG38" s="11">
        <v>0</v>
      </c>
    </row>
    <row r="39" spans="1:33" x14ac:dyDescent="0.25">
      <c r="A39" s="12" t="s">
        <v>102</v>
      </c>
      <c r="B39" s="13" t="s">
        <v>77</v>
      </c>
      <c r="C39" s="13" t="s">
        <v>65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50000</v>
      </c>
      <c r="J39" s="14">
        <v>50000</v>
      </c>
      <c r="K39" s="14">
        <v>50000</v>
      </c>
      <c r="L39" s="14">
        <v>20000</v>
      </c>
      <c r="M39" s="14">
        <v>20000</v>
      </c>
      <c r="N39" s="14">
        <v>0</v>
      </c>
      <c r="O39" s="14">
        <v>66000</v>
      </c>
      <c r="P39" s="14">
        <v>66000</v>
      </c>
      <c r="Q39" s="14">
        <v>80000</v>
      </c>
      <c r="R39" s="14">
        <v>80000</v>
      </c>
      <c r="S39" s="14">
        <v>123600</v>
      </c>
      <c r="T39" s="14">
        <v>123600</v>
      </c>
      <c r="U39" s="14">
        <v>166400</v>
      </c>
      <c r="V39" s="14">
        <v>166400</v>
      </c>
      <c r="W39" s="14">
        <v>193600</v>
      </c>
      <c r="X39" s="14">
        <v>193600</v>
      </c>
      <c r="Y39" s="14">
        <v>231000</v>
      </c>
      <c r="Z39" s="14">
        <v>156800</v>
      </c>
      <c r="AA39" s="14">
        <v>197000</v>
      </c>
      <c r="AB39" s="14">
        <v>100600</v>
      </c>
      <c r="AC39" s="14">
        <v>115800</v>
      </c>
      <c r="AD39" s="14">
        <v>0</v>
      </c>
      <c r="AE39" s="14">
        <v>0</v>
      </c>
      <c r="AF39" s="14">
        <v>0</v>
      </c>
      <c r="AG39" s="14">
        <v>0</v>
      </c>
    </row>
    <row r="40" spans="1:33" x14ac:dyDescent="0.25">
      <c r="A40" s="9" t="s">
        <v>103</v>
      </c>
      <c r="B40" s="10" t="s">
        <v>82</v>
      </c>
      <c r="C40" s="10" t="s">
        <v>59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50000</v>
      </c>
      <c r="J40" s="11">
        <v>50000</v>
      </c>
      <c r="K40" s="11">
        <v>50000</v>
      </c>
      <c r="L40" s="11">
        <v>20000</v>
      </c>
      <c r="M40" s="11">
        <v>20000</v>
      </c>
      <c r="N40" s="11">
        <v>0</v>
      </c>
      <c r="O40" s="11">
        <v>33000</v>
      </c>
      <c r="P40" s="11">
        <v>33000</v>
      </c>
      <c r="Q40" s="11">
        <v>40000</v>
      </c>
      <c r="R40" s="11">
        <v>40000</v>
      </c>
      <c r="S40" s="11">
        <v>61800</v>
      </c>
      <c r="T40" s="11">
        <v>61800</v>
      </c>
      <c r="U40" s="11">
        <v>83200</v>
      </c>
      <c r="V40" s="11">
        <v>83200</v>
      </c>
      <c r="W40" s="11">
        <v>96800</v>
      </c>
      <c r="X40" s="11">
        <v>96800</v>
      </c>
      <c r="Y40" s="11">
        <v>115500</v>
      </c>
      <c r="Z40" s="11">
        <v>78400</v>
      </c>
      <c r="AA40" s="11">
        <v>98500</v>
      </c>
      <c r="AB40" s="11">
        <v>50300</v>
      </c>
      <c r="AC40" s="11">
        <v>57900</v>
      </c>
      <c r="AD40" s="11">
        <v>0</v>
      </c>
      <c r="AE40" s="11">
        <v>0</v>
      </c>
      <c r="AF40" s="11">
        <v>0</v>
      </c>
      <c r="AG40" s="11">
        <v>0</v>
      </c>
    </row>
    <row r="41" spans="1:33" x14ac:dyDescent="0.25">
      <c r="A41" s="12" t="s">
        <v>104</v>
      </c>
      <c r="B41" s="13" t="s">
        <v>82</v>
      </c>
      <c r="C41" s="13" t="s">
        <v>61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50000</v>
      </c>
      <c r="J41" s="14">
        <v>50000</v>
      </c>
      <c r="K41" s="14">
        <v>50000</v>
      </c>
      <c r="L41" s="14">
        <v>20000</v>
      </c>
      <c r="M41" s="14">
        <v>20000</v>
      </c>
      <c r="N41" s="14">
        <v>0</v>
      </c>
      <c r="O41" s="14">
        <v>36600</v>
      </c>
      <c r="P41" s="14">
        <v>36600</v>
      </c>
      <c r="Q41" s="14">
        <v>44400</v>
      </c>
      <c r="R41" s="14">
        <v>44400</v>
      </c>
      <c r="S41" s="14">
        <v>68600</v>
      </c>
      <c r="T41" s="14">
        <v>68600</v>
      </c>
      <c r="U41" s="14">
        <v>92400</v>
      </c>
      <c r="V41" s="14">
        <v>92400</v>
      </c>
      <c r="W41" s="14">
        <v>107500</v>
      </c>
      <c r="X41" s="14">
        <v>107500</v>
      </c>
      <c r="Y41" s="14">
        <v>128300</v>
      </c>
      <c r="Z41" s="14">
        <v>87100</v>
      </c>
      <c r="AA41" s="14">
        <v>109400</v>
      </c>
      <c r="AB41" s="14">
        <v>55900</v>
      </c>
      <c r="AC41" s="14">
        <v>64300</v>
      </c>
      <c r="AD41" s="14">
        <v>0</v>
      </c>
      <c r="AE41" s="14">
        <v>0</v>
      </c>
      <c r="AF41" s="14">
        <v>0</v>
      </c>
      <c r="AG41" s="14">
        <v>0</v>
      </c>
    </row>
    <row r="42" spans="1:33" x14ac:dyDescent="0.25">
      <c r="A42" s="9" t="s">
        <v>105</v>
      </c>
      <c r="B42" s="10" t="s">
        <v>82</v>
      </c>
      <c r="C42" s="10" t="s">
        <v>63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50000</v>
      </c>
      <c r="J42" s="11">
        <v>50000</v>
      </c>
      <c r="K42" s="11">
        <v>50000</v>
      </c>
      <c r="L42" s="11">
        <v>20000</v>
      </c>
      <c r="M42" s="11">
        <v>20000</v>
      </c>
      <c r="N42" s="11">
        <v>0</v>
      </c>
      <c r="O42" s="11">
        <v>61200</v>
      </c>
      <c r="P42" s="11">
        <v>61200</v>
      </c>
      <c r="Q42" s="11">
        <v>74200</v>
      </c>
      <c r="R42" s="11">
        <v>74200</v>
      </c>
      <c r="S42" s="11">
        <v>114600</v>
      </c>
      <c r="T42" s="11">
        <v>114600</v>
      </c>
      <c r="U42" s="11">
        <v>127700</v>
      </c>
      <c r="V42" s="11">
        <v>127700</v>
      </c>
      <c r="W42" s="11">
        <v>148600</v>
      </c>
      <c r="X42" s="11">
        <v>148600</v>
      </c>
      <c r="Y42" s="11">
        <v>177300</v>
      </c>
      <c r="Z42" s="11">
        <v>120400</v>
      </c>
      <c r="AA42" s="11">
        <v>151200</v>
      </c>
      <c r="AB42" s="11">
        <v>77200</v>
      </c>
      <c r="AC42" s="11">
        <v>88900</v>
      </c>
      <c r="AD42" s="11">
        <v>0</v>
      </c>
      <c r="AE42" s="11">
        <v>0</v>
      </c>
      <c r="AF42" s="11">
        <v>0</v>
      </c>
      <c r="AG42" s="11">
        <v>0</v>
      </c>
    </row>
    <row r="43" spans="1:33" x14ac:dyDescent="0.25">
      <c r="A43" s="12" t="s">
        <v>106</v>
      </c>
      <c r="B43" s="13" t="s">
        <v>82</v>
      </c>
      <c r="C43" s="13" t="s">
        <v>65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50000</v>
      </c>
      <c r="J43" s="14">
        <v>50000</v>
      </c>
      <c r="K43" s="14">
        <v>50000</v>
      </c>
      <c r="L43" s="14">
        <v>20000</v>
      </c>
      <c r="M43" s="14">
        <v>20000</v>
      </c>
      <c r="N43" s="14">
        <v>0</v>
      </c>
      <c r="O43" s="14">
        <v>66000</v>
      </c>
      <c r="P43" s="14">
        <v>66000</v>
      </c>
      <c r="Q43" s="14">
        <v>80000</v>
      </c>
      <c r="R43" s="14">
        <v>80000</v>
      </c>
      <c r="S43" s="14">
        <v>123600</v>
      </c>
      <c r="T43" s="14">
        <v>123600</v>
      </c>
      <c r="U43" s="14">
        <v>166400</v>
      </c>
      <c r="V43" s="14">
        <v>166400</v>
      </c>
      <c r="W43" s="14">
        <v>193600</v>
      </c>
      <c r="X43" s="14">
        <v>193600</v>
      </c>
      <c r="Y43" s="14">
        <v>231000</v>
      </c>
      <c r="Z43" s="14">
        <v>156800</v>
      </c>
      <c r="AA43" s="14">
        <v>197000</v>
      </c>
      <c r="AB43" s="14">
        <v>100600</v>
      </c>
      <c r="AC43" s="14">
        <v>115800</v>
      </c>
      <c r="AD43" s="14">
        <v>0</v>
      </c>
      <c r="AE43" s="14">
        <v>0</v>
      </c>
      <c r="AF43" s="14">
        <v>0</v>
      </c>
      <c r="AG43" s="14">
        <v>0</v>
      </c>
    </row>
    <row r="45" spans="1:33" x14ac:dyDescent="0.25">
      <c r="A45" s="6" t="s">
        <v>107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x14ac:dyDescent="0.25">
      <c r="A46" s="6" t="s">
        <v>108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1:33" x14ac:dyDescent="0.25">
      <c r="A47" s="6" t="s">
        <v>109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</sheetData>
  <mergeCells count="5">
    <mergeCell ref="A1:AG1"/>
    <mergeCell ref="A23:AG23"/>
    <mergeCell ref="A45:AG45"/>
    <mergeCell ref="A46:AG46"/>
    <mergeCell ref="A47:AG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  <col min="7" max="7" width="9" hidden="1" customWidth="1"/>
  </cols>
  <sheetData>
    <row r="1" ht="28" customHeight="1" spans="1:2" x14ac:dyDescent="0.25">
      <c r="A1" s="16" t="s">
        <v>110</v>
      </c>
      <c r="B1" s="16"/>
    </row>
    <row r="2" spans="1:2" x14ac:dyDescent="0.25">
      <c r="A2" s="17" t="s">
        <v>111</v>
      </c>
      <c r="B2" s="17"/>
    </row>
    <row r="4" spans="1:2" x14ac:dyDescent="0.25">
      <c r="A4" s="4" t="s">
        <v>112</v>
      </c>
      <c r="B4" s="4"/>
    </row>
    <row r="5" spans="1:7" x14ac:dyDescent="0.25">
      <c r="A5" s="18" t="s">
        <v>25</v>
      </c>
      <c r="B5" s="19" t="s">
        <v>67</v>
      </c>
      <c r="D5">
        <f>MATCH(B7,'Escalas'!$D$2:$AG$2,0)</f>
      </c>
      <c r="G5" t="s">
        <v>27</v>
      </c>
    </row>
    <row r="6" spans="1:7" x14ac:dyDescent="0.25">
      <c r="A6" s="18" t="s">
        <v>26</v>
      </c>
      <c r="B6" s="19" t="s">
        <v>59</v>
      </c>
      <c r="D6">
        <f>CONCATENATE("J|",B5,"|",B6)</f>
      </c>
      <c r="G6" t="s">
        <v>28</v>
      </c>
    </row>
    <row r="7" spans="1:7" x14ac:dyDescent="0.25">
      <c r="A7" s="18" t="s">
        <v>113</v>
      </c>
      <c r="B7" s="19" t="s">
        <v>56</v>
      </c>
      <c r="D7">
        <f>INDEX('Escalas'!$D$3:$AG$22,MATCH(D6,'Escalas'!$A$3:$A$22,0),D5)</f>
      </c>
      <c r="G7" t="s">
        <v>29</v>
      </c>
    </row>
    <row r="8" spans="1:7" x14ac:dyDescent="0.25">
      <c r="A8" s="18" t="s">
        <v>114</v>
      </c>
      <c r="B8" s="20">
        <v>190.67</v>
      </c>
      <c r="D8">
        <f>CONCATENATE("S|",B5,"|",B6)</f>
      </c>
      <c r="G8" t="s">
        <v>30</v>
      </c>
    </row>
    <row r="9" spans="1:7" x14ac:dyDescent="0.25">
      <c r="A9" s="18" t="s">
        <v>115</v>
      </c>
      <c r="B9" s="19" t="s">
        <v>116</v>
      </c>
      <c r="D9">
        <f>INDEX('Escalas'!$D$24:$AG$43,MATCH(D8,'Escalas'!$A$24:$A$43,0),D5)</f>
      </c>
      <c r="G9" t="s">
        <v>31</v>
      </c>
    </row>
    <row r="10" spans="1:7" x14ac:dyDescent="0.25">
      <c r="A10" s="18" t="s">
        <v>117</v>
      </c>
      <c r="B10" s="19" t="s">
        <v>116</v>
      </c>
      <c r="D10">
        <f>IF(B5="Sereno",1,0)</f>
      </c>
      <c r="G10" t="s">
        <v>32</v>
      </c>
    </row>
    <row r="11" ht="6" customHeight="1" spans="7:7" x14ac:dyDescent="0.25">
      <c r="G11" t="s">
        <v>33</v>
      </c>
    </row>
    <row r="12" spans="1:7" x14ac:dyDescent="0.25">
      <c r="A12" s="4" t="s">
        <v>118</v>
      </c>
      <c r="B12" s="4"/>
      <c r="G12" t="s">
        <v>34</v>
      </c>
    </row>
    <row r="13" spans="1:7" x14ac:dyDescent="0.25">
      <c r="A13" s="21" t="s">
        <v>119</v>
      </c>
      <c r="B13" s="22">
        <f>IF(D10=1,"—",D7)</f>
      </c>
      <c r="G13" t="s">
        <v>35</v>
      </c>
    </row>
    <row r="14" spans="1:7" x14ac:dyDescent="0.25">
      <c r="A14" s="21" t="s">
        <v>120</v>
      </c>
      <c r="B14" s="23">
        <f>IF(D10=1,"—",B8)</f>
      </c>
      <c r="G14" t="s">
        <v>36</v>
      </c>
    </row>
    <row r="15" spans="1:7" x14ac:dyDescent="0.25">
      <c r="A15" s="21" t="s">
        <v>121</v>
      </c>
      <c r="B15" s="22">
        <f>IF(D10=1,D7,D7*B8)</f>
      </c>
      <c r="G15" t="s">
        <v>37</v>
      </c>
    </row>
    <row r="16" spans="1:7" x14ac:dyDescent="0.25">
      <c r="A16" s="21" t="s">
        <v>122</v>
      </c>
      <c r="B16" s="22">
        <f>IF(B9="Sí",B15*0.2,0)</f>
      </c>
      <c r="G16" t="s">
        <v>38</v>
      </c>
    </row>
    <row r="17" spans="1:7" x14ac:dyDescent="0.25">
      <c r="A17" s="21" t="s">
        <v>123</v>
      </c>
      <c r="B17" s="22">
        <f>B15+B16</f>
      </c>
      <c r="G17" t="s">
        <v>39</v>
      </c>
    </row>
    <row r="18" spans="1:7" x14ac:dyDescent="0.25">
      <c r="A18" s="21" t="s">
        <v>124</v>
      </c>
      <c r="B18" s="22">
        <f>D9</f>
      </c>
      <c r="G18" t="s">
        <v>40</v>
      </c>
    </row>
    <row r="19" spans="1:7" x14ac:dyDescent="0.25">
      <c r="A19" s="24" t="s">
        <v>125</v>
      </c>
      <c r="B19" s="25">
        <f>B17+B18</f>
      </c>
      <c r="G19" t="s">
        <v>41</v>
      </c>
    </row>
    <row r="20" spans="1:7" x14ac:dyDescent="0.25">
      <c r="A20" s="21" t="s">
        <v>126</v>
      </c>
      <c r="B20" s="22">
        <f>-(B17*(0.17+IF(B10="Sí",0.02,0))+B18*0.03)</f>
      </c>
      <c r="G20" t="s">
        <v>42</v>
      </c>
    </row>
    <row r="21" spans="1:7" x14ac:dyDescent="0.25">
      <c r="A21" s="24" t="s">
        <v>127</v>
      </c>
      <c r="B21" s="25">
        <f>B19+B20</f>
      </c>
      <c r="G21" t="s">
        <v>43</v>
      </c>
    </row>
    <row r="22" ht="6" customHeight="1" spans="7:7" x14ac:dyDescent="0.25">
      <c r="G22" t="s">
        <v>44</v>
      </c>
    </row>
    <row r="23" spans="1:7" x14ac:dyDescent="0.25">
      <c r="A23" s="4" t="s">
        <v>128</v>
      </c>
      <c r="B23" s="4"/>
      <c r="G23" t="s">
        <v>45</v>
      </c>
    </row>
    <row r="24" spans="1:7" x14ac:dyDescent="0.25">
      <c r="A24" s="21" t="s">
        <v>129</v>
      </c>
      <c r="B24" s="22">
        <f>B17*0.12</f>
      </c>
      <c r="G24" t="s">
        <v>46</v>
      </c>
    </row>
    <row r="25" spans="1:7" x14ac:dyDescent="0.25">
      <c r="A25" s="21" t="s">
        <v>130</v>
      </c>
      <c r="B25" s="22">
        <f>B17*0.08</f>
      </c>
      <c r="G25" t="s">
        <v>47</v>
      </c>
    </row>
    <row r="26" spans="7:7" x14ac:dyDescent="0.25">
      <c r="G26" t="s">
        <v>48</v>
      </c>
    </row>
    <row r="27" spans="1:7" x14ac:dyDescent="0.25">
      <c r="A27" s="6" t="s">
        <v>131</v>
      </c>
      <c r="B27" s="6"/>
      <c r="G27" t="s">
        <v>49</v>
      </c>
    </row>
    <row r="28" spans="1:7" x14ac:dyDescent="0.25">
      <c r="A28" s="6" t="s">
        <v>132</v>
      </c>
      <c r="B28" s="6"/>
      <c r="G28" t="s">
        <v>50</v>
      </c>
    </row>
    <row r="29" spans="1:7" x14ac:dyDescent="0.25">
      <c r="A29" s="6" t="s">
        <v>133</v>
      </c>
      <c r="B29" s="6"/>
      <c r="G29" t="s">
        <v>51</v>
      </c>
    </row>
    <row r="30" spans="1:7" x14ac:dyDescent="0.25">
      <c r="A30" s="6" t="s">
        <v>134</v>
      </c>
      <c r="B30" s="6"/>
      <c r="G30" t="s">
        <v>52</v>
      </c>
    </row>
    <row r="31" spans="7:7" x14ac:dyDescent="0.25">
      <c r="G31" t="s">
        <v>53</v>
      </c>
    </row>
    <row r="32" spans="7:7" x14ac:dyDescent="0.25">
      <c r="G32" t="s">
        <v>54</v>
      </c>
    </row>
    <row r="33" spans="7:7" x14ac:dyDescent="0.25">
      <c r="G33" t="s">
        <v>55</v>
      </c>
    </row>
    <row r="34" spans="7:7" x14ac:dyDescent="0.25">
      <c r="G34" t="s">
        <v>56</v>
      </c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'Liquidador'!G5:G34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Q61"/>
  <sheetFormatPr defaultRowHeight="15" outlineLevelRow="0" outlineLevelCol="0" x14ac:dyDescent="55"/>
  <cols>
    <col min="1" max="1" width="40" customWidth="1"/>
    <col min="2" max="2" width="24" customWidth="1"/>
    <col min="3" max="3" width="13" customWidth="1"/>
    <col min="4" max="4" width="16" customWidth="1"/>
    <col min="5" max="5" width="14" customWidth="1"/>
    <col min="6" max="6" width="16" customWidth="1"/>
    <col min="7" max="7" width="14" customWidth="1"/>
    <col min="8" max="8" width="16" customWidth="1"/>
    <col min="9" max="9" width="18" customWidth="1"/>
    <col min="10" max="10" width="14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</cols>
  <sheetData>
    <row r="1" ht="28" customHeight="1" spans="1:11" x14ac:dyDescent="0.25">
      <c r="A1" s="26" t="s">
        <v>135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ht="28" customHeight="1" spans="1:11" x14ac:dyDescent="0.25">
      <c r="A2" s="27" t="s">
        <v>136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4" spans="1:9" x14ac:dyDescent="0.25">
      <c r="A4" s="4" t="s">
        <v>137</v>
      </c>
      <c r="B4" s="4"/>
      <c r="D4" s="4" t="s">
        <v>138</v>
      </c>
      <c r="E4" s="4"/>
      <c r="F4" s="4"/>
      <c r="G4" s="4"/>
      <c r="H4" s="4"/>
      <c r="I4" s="4"/>
    </row>
    <row r="5" spans="1:16" x14ac:dyDescent="0.25">
      <c r="A5" s="18" t="s">
        <v>139</v>
      </c>
      <c r="B5" s="19" t="s">
        <v>67</v>
      </c>
      <c r="D5" s="21" t="s">
        <v>140</v>
      </c>
      <c r="E5" s="21"/>
      <c r="F5" s="21"/>
      <c r="G5" s="21"/>
      <c r="H5" s="21"/>
      <c r="I5" s="28">
        <f>SUM($Q$16:$Q$45)</f>
      </c>
      <c r="P5">
        <f>MATCH($B$8,'Escalas'!$D$2:$AG$2,0)</f>
      </c>
    </row>
    <row r="6" spans="1:16" x14ac:dyDescent="0.25">
      <c r="A6" s="18" t="s">
        <v>141</v>
      </c>
      <c r="B6" s="19" t="s">
        <v>77</v>
      </c>
      <c r="D6" s="21" t="s">
        <v>142</v>
      </c>
      <c r="E6" s="21"/>
      <c r="F6" s="21"/>
      <c r="G6" s="21"/>
      <c r="H6" s="21"/>
      <c r="I6" s="22">
        <f>SUM(H16:H45)</f>
      </c>
      <c r="P6">
        <f>MATCH($B$9,'Escalas'!$D$2:$AG$2,0)</f>
      </c>
    </row>
    <row r="7" spans="1:16" x14ac:dyDescent="0.25">
      <c r="A7" s="18" t="s">
        <v>26</v>
      </c>
      <c r="B7" s="19" t="s">
        <v>59</v>
      </c>
      <c r="D7" s="21" t="s">
        <v>143</v>
      </c>
      <c r="E7" s="21"/>
      <c r="F7" s="21"/>
      <c r="G7" s="21"/>
      <c r="H7" s="21"/>
      <c r="I7" s="22">
        <f>SUM(I16:I45)</f>
      </c>
      <c r="P7">
        <f>CONCATENATE("J|",$B$5,"|",$B$7)</f>
      </c>
    </row>
    <row r="8" spans="1:16" x14ac:dyDescent="0.25">
      <c r="A8" s="18" t="s">
        <v>144</v>
      </c>
      <c r="B8" s="19" t="s">
        <v>27</v>
      </c>
      <c r="D8" s="21" t="s">
        <v>145</v>
      </c>
      <c r="E8" s="21"/>
      <c r="F8" s="21"/>
      <c r="G8" s="21"/>
      <c r="H8" s="21"/>
      <c r="I8" s="22">
        <f>SUM(H49:H54)</f>
      </c>
      <c r="P8">
        <f>CONCATENATE("S|",$B$5,"|",$B$7)</f>
      </c>
    </row>
    <row r="9" spans="1:16" x14ac:dyDescent="0.25">
      <c r="A9" s="18" t="s">
        <v>146</v>
      </c>
      <c r="B9" s="19" t="s">
        <v>55</v>
      </c>
      <c r="D9" s="21" t="s">
        <v>147</v>
      </c>
      <c r="E9" s="21"/>
      <c r="F9" s="21"/>
      <c r="G9" s="21"/>
      <c r="H9" s="21"/>
      <c r="I9" s="22">
        <f>SUM(J16:J45)</f>
      </c>
      <c r="P9">
        <f>CONCATENATE("J|",$B$6,"|",$B$7)</f>
      </c>
    </row>
    <row r="10" spans="1:16" x14ac:dyDescent="0.25">
      <c r="A10" s="18" t="s">
        <v>148</v>
      </c>
      <c r="B10" s="19" t="s">
        <v>116</v>
      </c>
      <c r="D10" s="24" t="s">
        <v>149</v>
      </c>
      <c r="E10" s="24"/>
      <c r="F10" s="24"/>
      <c r="G10" s="24"/>
      <c r="H10" s="24"/>
      <c r="I10" s="29">
        <f>I6+I7+I8+I9</f>
      </c>
      <c r="P10">
        <f>CONCATENATE("S|",$B$6,"|",$B$7)</f>
      </c>
    </row>
    <row r="11" spans="1:16" x14ac:dyDescent="0.25">
      <c r="A11" s="18" t="s">
        <v>150</v>
      </c>
      <c r="B11" s="20">
        <v>190.67</v>
      </c>
      <c r="P11">
        <f>IF($B$5="Sereno",1,0)</f>
      </c>
    </row>
    <row r="12" spans="1:16" x14ac:dyDescent="0.25">
      <c r="A12" s="18" t="s">
        <v>151</v>
      </c>
      <c r="B12" s="30">
        <v>12</v>
      </c>
      <c r="P12">
        <f>IF($B$6="Sereno",1,0)</f>
      </c>
    </row>
    <row r="13" spans="16:16" x14ac:dyDescent="0.25">
      <c r="P13">
        <f>IF($B$6="Otro: cargo lo cobrado",1,0)</f>
      </c>
    </row>
    <row r="14" spans="16:16" x14ac:dyDescent="0.25">
      <c r="P14">
        <f>1+IF($B$10="Sí",0.2,0)</f>
      </c>
    </row>
    <row r="15" ht="42" customHeight="1" spans="1:11" x14ac:dyDescent="0.25">
      <c r="A15" s="31" t="s">
        <v>152</v>
      </c>
      <c r="B15" s="31" t="s">
        <v>153</v>
      </c>
      <c r="C15" s="31" t="s">
        <v>154</v>
      </c>
      <c r="D15" s="31" t="s">
        <v>155</v>
      </c>
      <c r="E15" s="31" t="s">
        <v>156</v>
      </c>
      <c r="F15" s="31" t="s">
        <v>157</v>
      </c>
      <c r="G15" s="31" t="s">
        <v>158</v>
      </c>
      <c r="H15" s="31" t="s">
        <v>159</v>
      </c>
      <c r="I15" s="31" t="s">
        <v>160</v>
      </c>
      <c r="J15" s="31" t="s">
        <v>161</v>
      </c>
      <c r="K15" s="31" t="s">
        <v>162</v>
      </c>
    </row>
    <row r="16" spans="1:17" x14ac:dyDescent="0.25">
      <c r="A16" s="10" t="s">
        <v>27</v>
      </c>
      <c r="B16" s="20">
        <f>$B$11</f>
      </c>
      <c r="C16" s="11">
        <f>INDEX('Escalas'!$D$3:$AG$22,MATCH($P$7,'Escalas'!$A$3:$A$22,0),1)</f>
      </c>
      <c r="D16" s="11">
        <f>IF($P$11=1,C16,C16*B16)*$P$14</f>
      </c>
      <c r="E16" s="11">
        <f>INDEX('Escalas'!$D$24:$AG$43,MATCH($P$8,'Escalas'!$A$24:$A$43,0),1)</f>
      </c>
      <c r="F16" s="32">
        <f>IF($P$13=1,0,IF($P$12=1,INDEX('Escalas'!$D$3:$AG$22,MATCH($P$9,'Escalas'!$A$3:$A$22,0),1),INDEX('Escalas'!$D$3:$AG$22,MATCH($P$9,'Escalas'!$A$3:$A$22,0),1)*B16)*$P$14)</f>
      </c>
      <c r="G16" s="32">
        <f>IF($P$13=1,0,INDEX('Escalas'!$D$24:$AG$43,MATCH($P$10,'Escalas'!$A$24:$A$43,0),1))</f>
      </c>
      <c r="H16" s="22">
        <f>IF(Q16=1,D16-F16,0)</f>
      </c>
      <c r="I16" s="22">
        <f>IF(Q16=1,E16-G16,0)</f>
      </c>
      <c r="J16" s="22">
        <f>H16*IF($B$12+O16-$P$5&lt;12,0.12,0.08)</f>
      </c>
      <c r="K16" s="33">
        <f>IF(Q16=1,"Sí","—")</f>
      </c>
      <c r="M16">
        <f>IF(Q16=1,D16,0)</f>
      </c>
      <c r="N16">
        <f>IF(Q16=1,F16,0)</f>
      </c>
      <c r="O16">
        <v>1</v>
      </c>
      <c r="Q16">
        <f>IF(AND(O16&gt;=$P$5,O16&lt;=$P$6),1,0)</f>
      </c>
    </row>
    <row r="17" spans="1:17" x14ac:dyDescent="0.25">
      <c r="A17" s="13" t="s">
        <v>28</v>
      </c>
      <c r="B17" s="20">
        <f>$B$11</f>
      </c>
      <c r="C17" s="14">
        <f>INDEX('Escalas'!$D$3:$AG$22,MATCH($P$7,'Escalas'!$A$3:$A$22,0),2)</f>
      </c>
      <c r="D17" s="14">
        <f>IF($P$11=1,C17,C17*B17)*$P$14</f>
      </c>
      <c r="E17" s="14">
        <f>INDEX('Escalas'!$D$24:$AG$43,MATCH($P$8,'Escalas'!$A$24:$A$43,0),2)</f>
      </c>
      <c r="F17" s="32">
        <f>IF($P$13=1,0,IF($P$12=1,INDEX('Escalas'!$D$3:$AG$22,MATCH($P$9,'Escalas'!$A$3:$A$22,0),2),INDEX('Escalas'!$D$3:$AG$22,MATCH($P$9,'Escalas'!$A$3:$A$22,0),2)*B17)*$P$14)</f>
      </c>
      <c r="G17" s="32">
        <f>IF($P$13=1,0,INDEX('Escalas'!$D$24:$AG$43,MATCH($P$10,'Escalas'!$A$24:$A$43,0),2))</f>
      </c>
      <c r="H17" s="22">
        <f>IF(Q17=1,D17-F17,0)</f>
      </c>
      <c r="I17" s="22">
        <f>IF(Q17=1,E17-G17,0)</f>
      </c>
      <c r="J17" s="22">
        <f>H17*IF($B$12+O17-$P$5&lt;12,0.12,0.08)</f>
      </c>
      <c r="K17" s="34">
        <f>IF(Q17=1,"Sí","—")</f>
      </c>
      <c r="M17">
        <f>IF(Q17=1,D17,0)</f>
      </c>
      <c r="N17">
        <f>IF(Q17=1,F17,0)</f>
      </c>
      <c r="O17">
        <v>2</v>
      </c>
      <c r="Q17">
        <f>IF(AND(O17&gt;=$P$5,O17&lt;=$P$6),1,0)</f>
      </c>
    </row>
    <row r="18" spans="1:17" x14ac:dyDescent="0.25">
      <c r="A18" s="10" t="s">
        <v>29</v>
      </c>
      <c r="B18" s="20">
        <f>$B$11</f>
      </c>
      <c r="C18" s="11">
        <f>INDEX('Escalas'!$D$3:$AG$22,MATCH($P$7,'Escalas'!$A$3:$A$22,0),3)</f>
      </c>
      <c r="D18" s="11">
        <f>IF($P$11=1,C18,C18*B18)*$P$14</f>
      </c>
      <c r="E18" s="11">
        <f>INDEX('Escalas'!$D$24:$AG$43,MATCH($P$8,'Escalas'!$A$24:$A$43,0),3)</f>
      </c>
      <c r="F18" s="32">
        <f>IF($P$13=1,0,IF($P$12=1,INDEX('Escalas'!$D$3:$AG$22,MATCH($P$9,'Escalas'!$A$3:$A$22,0),3),INDEX('Escalas'!$D$3:$AG$22,MATCH($P$9,'Escalas'!$A$3:$A$22,0),3)*B18)*$P$14)</f>
      </c>
      <c r="G18" s="32">
        <f>IF($P$13=1,0,INDEX('Escalas'!$D$24:$AG$43,MATCH($P$10,'Escalas'!$A$24:$A$43,0),3))</f>
      </c>
      <c r="H18" s="22">
        <f>IF(Q18=1,D18-F18,0)</f>
      </c>
      <c r="I18" s="22">
        <f>IF(Q18=1,E18-G18,0)</f>
      </c>
      <c r="J18" s="22">
        <f>H18*IF($B$12+O18-$P$5&lt;12,0.12,0.08)</f>
      </c>
      <c r="K18" s="33">
        <f>IF(Q18=1,"Sí","—")</f>
      </c>
      <c r="M18">
        <f>IF(Q18=1,D18,0)</f>
      </c>
      <c r="N18">
        <f>IF(Q18=1,F18,0)</f>
      </c>
      <c r="O18">
        <v>3</v>
      </c>
      <c r="Q18">
        <f>IF(AND(O18&gt;=$P$5,O18&lt;=$P$6),1,0)</f>
      </c>
    </row>
    <row r="19" spans="1:17" x14ac:dyDescent="0.25">
      <c r="A19" s="13" t="s">
        <v>30</v>
      </c>
      <c r="B19" s="20">
        <f>$B$11</f>
      </c>
      <c r="C19" s="14">
        <f>INDEX('Escalas'!$D$3:$AG$22,MATCH($P$7,'Escalas'!$A$3:$A$22,0),4)</f>
      </c>
      <c r="D19" s="14">
        <f>IF($P$11=1,C19,C19*B19)*$P$14</f>
      </c>
      <c r="E19" s="14">
        <f>INDEX('Escalas'!$D$24:$AG$43,MATCH($P$8,'Escalas'!$A$24:$A$43,0),4)</f>
      </c>
      <c r="F19" s="32">
        <f>IF($P$13=1,0,IF($P$12=1,INDEX('Escalas'!$D$3:$AG$22,MATCH($P$9,'Escalas'!$A$3:$A$22,0),4),INDEX('Escalas'!$D$3:$AG$22,MATCH($P$9,'Escalas'!$A$3:$A$22,0),4)*B19)*$P$14)</f>
      </c>
      <c r="G19" s="32">
        <f>IF($P$13=1,0,INDEX('Escalas'!$D$24:$AG$43,MATCH($P$10,'Escalas'!$A$24:$A$43,0),4))</f>
      </c>
      <c r="H19" s="22">
        <f>IF(Q19=1,D19-F19,0)</f>
      </c>
      <c r="I19" s="22">
        <f>IF(Q19=1,E19-G19,0)</f>
      </c>
      <c r="J19" s="22">
        <f>H19*IF($B$12+O19-$P$5&lt;12,0.12,0.08)</f>
      </c>
      <c r="K19" s="34">
        <f>IF(Q19=1,"Sí","—")</f>
      </c>
      <c r="M19">
        <f>IF(Q19=1,D19,0)</f>
      </c>
      <c r="N19">
        <f>IF(Q19=1,F19,0)</f>
      </c>
      <c r="O19">
        <v>4</v>
      </c>
      <c r="Q19">
        <f>IF(AND(O19&gt;=$P$5,O19&lt;=$P$6),1,0)</f>
      </c>
    </row>
    <row r="20" spans="1:17" x14ac:dyDescent="0.25">
      <c r="A20" s="10" t="s">
        <v>31</v>
      </c>
      <c r="B20" s="20">
        <f>$B$11</f>
      </c>
      <c r="C20" s="11">
        <f>INDEX('Escalas'!$D$3:$AG$22,MATCH($P$7,'Escalas'!$A$3:$A$22,0),5)</f>
      </c>
      <c r="D20" s="11">
        <f>IF($P$11=1,C20,C20*B20)*$P$14</f>
      </c>
      <c r="E20" s="11">
        <f>INDEX('Escalas'!$D$24:$AG$43,MATCH($P$8,'Escalas'!$A$24:$A$43,0),5)</f>
      </c>
      <c r="F20" s="32">
        <f>IF($P$13=1,0,IF($P$12=1,INDEX('Escalas'!$D$3:$AG$22,MATCH($P$9,'Escalas'!$A$3:$A$22,0),5),INDEX('Escalas'!$D$3:$AG$22,MATCH($P$9,'Escalas'!$A$3:$A$22,0),5)*B20)*$P$14)</f>
      </c>
      <c r="G20" s="32">
        <f>IF($P$13=1,0,INDEX('Escalas'!$D$24:$AG$43,MATCH($P$10,'Escalas'!$A$24:$A$43,0),5))</f>
      </c>
      <c r="H20" s="22">
        <f>IF(Q20=1,D20-F20,0)</f>
      </c>
      <c r="I20" s="22">
        <f>IF(Q20=1,E20-G20,0)</f>
      </c>
      <c r="J20" s="22">
        <f>H20*IF($B$12+O20-$P$5&lt;12,0.12,0.08)</f>
      </c>
      <c r="K20" s="33">
        <f>IF(Q20=1,"Sí","—")</f>
      </c>
      <c r="M20">
        <f>IF(Q20=1,D20,0)</f>
      </c>
      <c r="N20">
        <f>IF(Q20=1,F20,0)</f>
      </c>
      <c r="O20">
        <v>5</v>
      </c>
      <c r="Q20">
        <f>IF(AND(O20&gt;=$P$5,O20&lt;=$P$6),1,0)</f>
      </c>
    </row>
    <row r="21" spans="1:17" x14ac:dyDescent="0.25">
      <c r="A21" s="13" t="s">
        <v>32</v>
      </c>
      <c r="B21" s="20">
        <f>$B$11</f>
      </c>
      <c r="C21" s="14">
        <f>INDEX('Escalas'!$D$3:$AG$22,MATCH($P$7,'Escalas'!$A$3:$A$22,0),6)</f>
      </c>
      <c r="D21" s="14">
        <f>IF($P$11=1,C21,C21*B21)*$P$14</f>
      </c>
      <c r="E21" s="14">
        <f>INDEX('Escalas'!$D$24:$AG$43,MATCH($P$8,'Escalas'!$A$24:$A$43,0),6)</f>
      </c>
      <c r="F21" s="32">
        <f>IF($P$13=1,0,IF($P$12=1,INDEX('Escalas'!$D$3:$AG$22,MATCH($P$9,'Escalas'!$A$3:$A$22,0),6),INDEX('Escalas'!$D$3:$AG$22,MATCH($P$9,'Escalas'!$A$3:$A$22,0),6)*B21)*$P$14)</f>
      </c>
      <c r="G21" s="32">
        <f>IF($P$13=1,0,INDEX('Escalas'!$D$24:$AG$43,MATCH($P$10,'Escalas'!$A$24:$A$43,0),6))</f>
      </c>
      <c r="H21" s="22">
        <f>IF(Q21=1,D21-F21,0)</f>
      </c>
      <c r="I21" s="22">
        <f>IF(Q21=1,E21-G21,0)</f>
      </c>
      <c r="J21" s="22">
        <f>H21*IF($B$12+O21-$P$5&lt;12,0.12,0.08)</f>
      </c>
      <c r="K21" s="34">
        <f>IF(Q21=1,"Sí","—")</f>
      </c>
      <c r="M21">
        <f>IF(Q21=1,D21,0)</f>
      </c>
      <c r="N21">
        <f>IF(Q21=1,F21,0)</f>
      </c>
      <c r="O21">
        <v>6</v>
      </c>
      <c r="Q21">
        <f>IF(AND(O21&gt;=$P$5,O21&lt;=$P$6),1,0)</f>
      </c>
    </row>
    <row r="22" spans="1:17" x14ac:dyDescent="0.25">
      <c r="A22" s="10" t="s">
        <v>33</v>
      </c>
      <c r="B22" s="20">
        <f>$B$11</f>
      </c>
      <c r="C22" s="11">
        <f>INDEX('Escalas'!$D$3:$AG$22,MATCH($P$7,'Escalas'!$A$3:$A$22,0),7)</f>
      </c>
      <c r="D22" s="11">
        <f>IF($P$11=1,C22,C22*B22)*$P$14</f>
      </c>
      <c r="E22" s="11">
        <f>INDEX('Escalas'!$D$24:$AG$43,MATCH($P$8,'Escalas'!$A$24:$A$43,0),7)</f>
      </c>
      <c r="F22" s="32">
        <f>IF($P$13=1,0,IF($P$12=1,INDEX('Escalas'!$D$3:$AG$22,MATCH($P$9,'Escalas'!$A$3:$A$22,0),7),INDEX('Escalas'!$D$3:$AG$22,MATCH($P$9,'Escalas'!$A$3:$A$22,0),7)*B22)*$P$14)</f>
      </c>
      <c r="G22" s="32">
        <f>IF($P$13=1,0,INDEX('Escalas'!$D$24:$AG$43,MATCH($P$10,'Escalas'!$A$24:$A$43,0),7))</f>
      </c>
      <c r="H22" s="22">
        <f>IF(Q22=1,D22-F22,0)</f>
      </c>
      <c r="I22" s="22">
        <f>IF(Q22=1,E22-G22,0)</f>
      </c>
      <c r="J22" s="22">
        <f>H22*IF($B$12+O22-$P$5&lt;12,0.12,0.08)</f>
      </c>
      <c r="K22" s="33">
        <f>IF(Q22=1,"Sí","—")</f>
      </c>
      <c r="M22">
        <f>IF(Q22=1,D22,0)</f>
      </c>
      <c r="N22">
        <f>IF(Q22=1,F22,0)</f>
      </c>
      <c r="O22">
        <v>7</v>
      </c>
      <c r="Q22">
        <f>IF(AND(O22&gt;=$P$5,O22&lt;=$P$6),1,0)</f>
      </c>
    </row>
    <row r="23" spans="1:17" x14ac:dyDescent="0.25">
      <c r="A23" s="13" t="s">
        <v>34</v>
      </c>
      <c r="B23" s="20">
        <f>$B$11</f>
      </c>
      <c r="C23" s="14">
        <f>INDEX('Escalas'!$D$3:$AG$22,MATCH($P$7,'Escalas'!$A$3:$A$22,0),8)</f>
      </c>
      <c r="D23" s="14">
        <f>IF($P$11=1,C23,C23*B23)*$P$14</f>
      </c>
      <c r="E23" s="14">
        <f>INDEX('Escalas'!$D$24:$AG$43,MATCH($P$8,'Escalas'!$A$24:$A$43,0),8)</f>
      </c>
      <c r="F23" s="32">
        <f>IF($P$13=1,0,IF($P$12=1,INDEX('Escalas'!$D$3:$AG$22,MATCH($P$9,'Escalas'!$A$3:$A$22,0),8),INDEX('Escalas'!$D$3:$AG$22,MATCH($P$9,'Escalas'!$A$3:$A$22,0),8)*B23)*$P$14)</f>
      </c>
      <c r="G23" s="32">
        <f>IF($P$13=1,0,INDEX('Escalas'!$D$24:$AG$43,MATCH($P$10,'Escalas'!$A$24:$A$43,0),8))</f>
      </c>
      <c r="H23" s="22">
        <f>IF(Q23=1,D23-F23,0)</f>
      </c>
      <c r="I23" s="22">
        <f>IF(Q23=1,E23-G23,0)</f>
      </c>
      <c r="J23" s="22">
        <f>H23*IF($B$12+O23-$P$5&lt;12,0.12,0.08)</f>
      </c>
      <c r="K23" s="34">
        <f>IF(Q23=1,"Sí","—")</f>
      </c>
      <c r="M23">
        <f>IF(Q23=1,D23,0)</f>
      </c>
      <c r="N23">
        <f>IF(Q23=1,F23,0)</f>
      </c>
      <c r="O23">
        <v>8</v>
      </c>
      <c r="Q23">
        <f>IF(AND(O23&gt;=$P$5,O23&lt;=$P$6),1,0)</f>
      </c>
    </row>
    <row r="24" spans="1:17" x14ac:dyDescent="0.25">
      <c r="A24" s="10" t="s">
        <v>35</v>
      </c>
      <c r="B24" s="20">
        <f>$B$11</f>
      </c>
      <c r="C24" s="11">
        <f>INDEX('Escalas'!$D$3:$AG$22,MATCH($P$7,'Escalas'!$A$3:$A$22,0),9)</f>
      </c>
      <c r="D24" s="11">
        <f>IF($P$11=1,C24,C24*B24)*$P$14</f>
      </c>
      <c r="E24" s="11">
        <f>INDEX('Escalas'!$D$24:$AG$43,MATCH($P$8,'Escalas'!$A$24:$A$43,0),9)</f>
      </c>
      <c r="F24" s="32">
        <f>IF($P$13=1,0,IF($P$12=1,INDEX('Escalas'!$D$3:$AG$22,MATCH($P$9,'Escalas'!$A$3:$A$22,0),9),INDEX('Escalas'!$D$3:$AG$22,MATCH($P$9,'Escalas'!$A$3:$A$22,0),9)*B24)*$P$14)</f>
      </c>
      <c r="G24" s="32">
        <f>IF($P$13=1,0,INDEX('Escalas'!$D$24:$AG$43,MATCH($P$10,'Escalas'!$A$24:$A$43,0),9))</f>
      </c>
      <c r="H24" s="22">
        <f>IF(Q24=1,D24-F24,0)</f>
      </c>
      <c r="I24" s="22">
        <f>IF(Q24=1,E24-G24,0)</f>
      </c>
      <c r="J24" s="22">
        <f>H24*IF($B$12+O24-$P$5&lt;12,0.12,0.08)</f>
      </c>
      <c r="K24" s="33">
        <f>IF(Q24=1,"Sí","—")</f>
      </c>
      <c r="M24">
        <f>IF(Q24=1,D24,0)</f>
      </c>
      <c r="N24">
        <f>IF(Q24=1,F24,0)</f>
      </c>
      <c r="O24">
        <v>9</v>
      </c>
      <c r="Q24">
        <f>IF(AND(O24&gt;=$P$5,O24&lt;=$P$6),1,0)</f>
      </c>
    </row>
    <row r="25" spans="1:17" x14ac:dyDescent="0.25">
      <c r="A25" s="13" t="s">
        <v>36</v>
      </c>
      <c r="B25" s="20">
        <f>$B$11</f>
      </c>
      <c r="C25" s="14">
        <f>INDEX('Escalas'!$D$3:$AG$22,MATCH($P$7,'Escalas'!$A$3:$A$22,0),10)</f>
      </c>
      <c r="D25" s="14">
        <f>IF($P$11=1,C25,C25*B25)*$P$14</f>
      </c>
      <c r="E25" s="14">
        <f>INDEX('Escalas'!$D$24:$AG$43,MATCH($P$8,'Escalas'!$A$24:$A$43,0),10)</f>
      </c>
      <c r="F25" s="32">
        <f>IF($P$13=1,0,IF($P$12=1,INDEX('Escalas'!$D$3:$AG$22,MATCH($P$9,'Escalas'!$A$3:$A$22,0),10),INDEX('Escalas'!$D$3:$AG$22,MATCH($P$9,'Escalas'!$A$3:$A$22,0),10)*B25)*$P$14)</f>
      </c>
      <c r="G25" s="32">
        <f>IF($P$13=1,0,INDEX('Escalas'!$D$24:$AG$43,MATCH($P$10,'Escalas'!$A$24:$A$43,0),10))</f>
      </c>
      <c r="H25" s="22">
        <f>IF(Q25=1,D25-F25,0)</f>
      </c>
      <c r="I25" s="22">
        <f>IF(Q25=1,E25-G25,0)</f>
      </c>
      <c r="J25" s="22">
        <f>H25*IF($B$12+O25-$P$5&lt;12,0.12,0.08)</f>
      </c>
      <c r="K25" s="34">
        <f>IF(Q25=1,"Sí","—")</f>
      </c>
      <c r="M25">
        <f>IF(Q25=1,D25,0)</f>
      </c>
      <c r="N25">
        <f>IF(Q25=1,F25,0)</f>
      </c>
      <c r="O25">
        <v>10</v>
      </c>
      <c r="Q25">
        <f>IF(AND(O25&gt;=$P$5,O25&lt;=$P$6),1,0)</f>
      </c>
    </row>
    <row r="26" spans="1:17" x14ac:dyDescent="0.25">
      <c r="A26" s="10" t="s">
        <v>37</v>
      </c>
      <c r="B26" s="20">
        <f>$B$11</f>
      </c>
      <c r="C26" s="11">
        <f>INDEX('Escalas'!$D$3:$AG$22,MATCH($P$7,'Escalas'!$A$3:$A$22,0),11)</f>
      </c>
      <c r="D26" s="11">
        <f>IF($P$11=1,C26,C26*B26)*$P$14</f>
      </c>
      <c r="E26" s="11">
        <f>INDEX('Escalas'!$D$24:$AG$43,MATCH($P$8,'Escalas'!$A$24:$A$43,0),11)</f>
      </c>
      <c r="F26" s="32">
        <f>IF($P$13=1,0,IF($P$12=1,INDEX('Escalas'!$D$3:$AG$22,MATCH($P$9,'Escalas'!$A$3:$A$22,0),11),INDEX('Escalas'!$D$3:$AG$22,MATCH($P$9,'Escalas'!$A$3:$A$22,0),11)*B26)*$P$14)</f>
      </c>
      <c r="G26" s="32">
        <f>IF($P$13=1,0,INDEX('Escalas'!$D$24:$AG$43,MATCH($P$10,'Escalas'!$A$24:$A$43,0),11))</f>
      </c>
      <c r="H26" s="22">
        <f>IF(Q26=1,D26-F26,0)</f>
      </c>
      <c r="I26" s="22">
        <f>IF(Q26=1,E26-G26,0)</f>
      </c>
      <c r="J26" s="22">
        <f>H26*IF($B$12+O26-$P$5&lt;12,0.12,0.08)</f>
      </c>
      <c r="K26" s="33">
        <f>IF(Q26=1,"Sí","—")</f>
      </c>
      <c r="M26">
        <f>IF(Q26=1,D26,0)</f>
      </c>
      <c r="N26">
        <f>IF(Q26=1,F26,0)</f>
      </c>
      <c r="O26">
        <v>11</v>
      </c>
      <c r="Q26">
        <f>IF(AND(O26&gt;=$P$5,O26&lt;=$P$6),1,0)</f>
      </c>
    </row>
    <row r="27" spans="1:17" x14ac:dyDescent="0.25">
      <c r="A27" s="13" t="s">
        <v>38</v>
      </c>
      <c r="B27" s="20">
        <f>$B$11</f>
      </c>
      <c r="C27" s="14">
        <f>INDEX('Escalas'!$D$3:$AG$22,MATCH($P$7,'Escalas'!$A$3:$A$22,0),12)</f>
      </c>
      <c r="D27" s="14">
        <f>IF($P$11=1,C27,C27*B27)*$P$14</f>
      </c>
      <c r="E27" s="14">
        <f>INDEX('Escalas'!$D$24:$AG$43,MATCH($P$8,'Escalas'!$A$24:$A$43,0),12)</f>
      </c>
      <c r="F27" s="32">
        <f>IF($P$13=1,0,IF($P$12=1,INDEX('Escalas'!$D$3:$AG$22,MATCH($P$9,'Escalas'!$A$3:$A$22,0),12),INDEX('Escalas'!$D$3:$AG$22,MATCH($P$9,'Escalas'!$A$3:$A$22,0),12)*B27)*$P$14)</f>
      </c>
      <c r="G27" s="32">
        <f>IF($P$13=1,0,INDEX('Escalas'!$D$24:$AG$43,MATCH($P$10,'Escalas'!$A$24:$A$43,0),12))</f>
      </c>
      <c r="H27" s="22">
        <f>IF(Q27=1,D27-F27,0)</f>
      </c>
      <c r="I27" s="22">
        <f>IF(Q27=1,E27-G27,0)</f>
      </c>
      <c r="J27" s="22">
        <f>H27*IF($B$12+O27-$P$5&lt;12,0.12,0.08)</f>
      </c>
      <c r="K27" s="34">
        <f>IF(Q27=1,"Sí","—")</f>
      </c>
      <c r="M27">
        <f>IF(Q27=1,D27,0)</f>
      </c>
      <c r="N27">
        <f>IF(Q27=1,F27,0)</f>
      </c>
      <c r="O27">
        <v>12</v>
      </c>
      <c r="Q27">
        <f>IF(AND(O27&gt;=$P$5,O27&lt;=$P$6),1,0)</f>
      </c>
    </row>
    <row r="28" spans="1:17" x14ac:dyDescent="0.25">
      <c r="A28" s="10" t="s">
        <v>39</v>
      </c>
      <c r="B28" s="20">
        <f>$B$11</f>
      </c>
      <c r="C28" s="11">
        <f>INDEX('Escalas'!$D$3:$AG$22,MATCH($P$7,'Escalas'!$A$3:$A$22,0),13)</f>
      </c>
      <c r="D28" s="11">
        <f>IF($P$11=1,C28,C28*B28)*$P$14</f>
      </c>
      <c r="E28" s="11">
        <f>INDEX('Escalas'!$D$24:$AG$43,MATCH($P$8,'Escalas'!$A$24:$A$43,0),13)</f>
      </c>
      <c r="F28" s="32">
        <f>IF($P$13=1,0,IF($P$12=1,INDEX('Escalas'!$D$3:$AG$22,MATCH($P$9,'Escalas'!$A$3:$A$22,0),13),INDEX('Escalas'!$D$3:$AG$22,MATCH($P$9,'Escalas'!$A$3:$A$22,0),13)*B28)*$P$14)</f>
      </c>
      <c r="G28" s="32">
        <f>IF($P$13=1,0,INDEX('Escalas'!$D$24:$AG$43,MATCH($P$10,'Escalas'!$A$24:$A$43,0),13))</f>
      </c>
      <c r="H28" s="22">
        <f>IF(Q28=1,D28-F28,0)</f>
      </c>
      <c r="I28" s="22">
        <f>IF(Q28=1,E28-G28,0)</f>
      </c>
      <c r="J28" s="22">
        <f>H28*IF($B$12+O28-$P$5&lt;12,0.12,0.08)</f>
      </c>
      <c r="K28" s="33">
        <f>IF(Q28=1,"Sí","—")</f>
      </c>
      <c r="M28">
        <f>IF(Q28=1,D28,0)</f>
      </c>
      <c r="N28">
        <f>IF(Q28=1,F28,0)</f>
      </c>
      <c r="O28">
        <v>13</v>
      </c>
      <c r="Q28">
        <f>IF(AND(O28&gt;=$P$5,O28&lt;=$P$6),1,0)</f>
      </c>
    </row>
    <row r="29" spans="1:17" x14ac:dyDescent="0.25">
      <c r="A29" s="13" t="s">
        <v>40</v>
      </c>
      <c r="B29" s="20">
        <f>$B$11</f>
      </c>
      <c r="C29" s="14">
        <f>INDEX('Escalas'!$D$3:$AG$22,MATCH($P$7,'Escalas'!$A$3:$A$22,0),14)</f>
      </c>
      <c r="D29" s="14">
        <f>IF($P$11=1,C29,C29*B29)*$P$14</f>
      </c>
      <c r="E29" s="14">
        <f>INDEX('Escalas'!$D$24:$AG$43,MATCH($P$8,'Escalas'!$A$24:$A$43,0),14)</f>
      </c>
      <c r="F29" s="32">
        <f>IF($P$13=1,0,IF($P$12=1,INDEX('Escalas'!$D$3:$AG$22,MATCH($P$9,'Escalas'!$A$3:$A$22,0),14),INDEX('Escalas'!$D$3:$AG$22,MATCH($P$9,'Escalas'!$A$3:$A$22,0),14)*B29)*$P$14)</f>
      </c>
      <c r="G29" s="32">
        <f>IF($P$13=1,0,INDEX('Escalas'!$D$24:$AG$43,MATCH($P$10,'Escalas'!$A$24:$A$43,0),14))</f>
      </c>
      <c r="H29" s="22">
        <f>IF(Q29=1,D29-F29,0)</f>
      </c>
      <c r="I29" s="22">
        <f>IF(Q29=1,E29-G29,0)</f>
      </c>
      <c r="J29" s="22">
        <f>H29*IF($B$12+O29-$P$5&lt;12,0.12,0.08)</f>
      </c>
      <c r="K29" s="34">
        <f>IF(Q29=1,"Sí","—")</f>
      </c>
      <c r="M29">
        <f>IF(Q29=1,D29,0)</f>
      </c>
      <c r="N29">
        <f>IF(Q29=1,F29,0)</f>
      </c>
      <c r="O29">
        <v>14</v>
      </c>
      <c r="Q29">
        <f>IF(AND(O29&gt;=$P$5,O29&lt;=$P$6),1,0)</f>
      </c>
    </row>
    <row r="30" spans="1:17" x14ac:dyDescent="0.25">
      <c r="A30" s="10" t="s">
        <v>41</v>
      </c>
      <c r="B30" s="20">
        <f>$B$11</f>
      </c>
      <c r="C30" s="11">
        <f>INDEX('Escalas'!$D$3:$AG$22,MATCH($P$7,'Escalas'!$A$3:$A$22,0),15)</f>
      </c>
      <c r="D30" s="11">
        <f>IF($P$11=1,C30,C30*B30)*$P$14</f>
      </c>
      <c r="E30" s="11">
        <f>INDEX('Escalas'!$D$24:$AG$43,MATCH($P$8,'Escalas'!$A$24:$A$43,0),15)</f>
      </c>
      <c r="F30" s="32">
        <f>IF($P$13=1,0,IF($P$12=1,INDEX('Escalas'!$D$3:$AG$22,MATCH($P$9,'Escalas'!$A$3:$A$22,0),15),INDEX('Escalas'!$D$3:$AG$22,MATCH($P$9,'Escalas'!$A$3:$A$22,0),15)*B30)*$P$14)</f>
      </c>
      <c r="G30" s="32">
        <f>IF($P$13=1,0,INDEX('Escalas'!$D$24:$AG$43,MATCH($P$10,'Escalas'!$A$24:$A$43,0),15))</f>
      </c>
      <c r="H30" s="22">
        <f>IF(Q30=1,D30-F30,0)</f>
      </c>
      <c r="I30" s="22">
        <f>IF(Q30=1,E30-G30,0)</f>
      </c>
      <c r="J30" s="22">
        <f>H30*IF($B$12+O30-$P$5&lt;12,0.12,0.08)</f>
      </c>
      <c r="K30" s="33">
        <f>IF(Q30=1,"Sí","—")</f>
      </c>
      <c r="M30">
        <f>IF(Q30=1,D30,0)</f>
      </c>
      <c r="N30">
        <f>IF(Q30=1,F30,0)</f>
      </c>
      <c r="O30">
        <v>15</v>
      </c>
      <c r="Q30">
        <f>IF(AND(O30&gt;=$P$5,O30&lt;=$P$6),1,0)</f>
      </c>
    </row>
    <row r="31" spans="1:17" x14ac:dyDescent="0.25">
      <c r="A31" s="13" t="s">
        <v>42</v>
      </c>
      <c r="B31" s="20">
        <f>$B$11</f>
      </c>
      <c r="C31" s="14">
        <f>INDEX('Escalas'!$D$3:$AG$22,MATCH($P$7,'Escalas'!$A$3:$A$22,0),16)</f>
      </c>
      <c r="D31" s="14">
        <f>IF($P$11=1,C31,C31*B31)*$P$14</f>
      </c>
      <c r="E31" s="14">
        <f>INDEX('Escalas'!$D$24:$AG$43,MATCH($P$8,'Escalas'!$A$24:$A$43,0),16)</f>
      </c>
      <c r="F31" s="32">
        <f>IF($P$13=1,0,IF($P$12=1,INDEX('Escalas'!$D$3:$AG$22,MATCH($P$9,'Escalas'!$A$3:$A$22,0),16),INDEX('Escalas'!$D$3:$AG$22,MATCH($P$9,'Escalas'!$A$3:$A$22,0),16)*B31)*$P$14)</f>
      </c>
      <c r="G31" s="32">
        <f>IF($P$13=1,0,INDEX('Escalas'!$D$24:$AG$43,MATCH($P$10,'Escalas'!$A$24:$A$43,0),16))</f>
      </c>
      <c r="H31" s="22">
        <f>IF(Q31=1,D31-F31,0)</f>
      </c>
      <c r="I31" s="22">
        <f>IF(Q31=1,E31-G31,0)</f>
      </c>
      <c r="J31" s="22">
        <f>H31*IF($B$12+O31-$P$5&lt;12,0.12,0.08)</f>
      </c>
      <c r="K31" s="34">
        <f>IF(Q31=1,"Sí","—")</f>
      </c>
      <c r="M31">
        <f>IF(Q31=1,D31,0)</f>
      </c>
      <c r="N31">
        <f>IF(Q31=1,F31,0)</f>
      </c>
      <c r="O31">
        <v>16</v>
      </c>
      <c r="Q31">
        <f>IF(AND(O31&gt;=$P$5,O31&lt;=$P$6),1,0)</f>
      </c>
    </row>
    <row r="32" spans="1:17" x14ac:dyDescent="0.25">
      <c r="A32" s="10" t="s">
        <v>43</v>
      </c>
      <c r="B32" s="20">
        <f>$B$11</f>
      </c>
      <c r="C32" s="11">
        <f>INDEX('Escalas'!$D$3:$AG$22,MATCH($P$7,'Escalas'!$A$3:$A$22,0),17)</f>
      </c>
      <c r="D32" s="11">
        <f>IF($P$11=1,C32,C32*B32)*$P$14</f>
      </c>
      <c r="E32" s="11">
        <f>INDEX('Escalas'!$D$24:$AG$43,MATCH($P$8,'Escalas'!$A$24:$A$43,0),17)</f>
      </c>
      <c r="F32" s="32">
        <f>IF($P$13=1,0,IF($P$12=1,INDEX('Escalas'!$D$3:$AG$22,MATCH($P$9,'Escalas'!$A$3:$A$22,0),17),INDEX('Escalas'!$D$3:$AG$22,MATCH($P$9,'Escalas'!$A$3:$A$22,0),17)*B32)*$P$14)</f>
      </c>
      <c r="G32" s="32">
        <f>IF($P$13=1,0,INDEX('Escalas'!$D$24:$AG$43,MATCH($P$10,'Escalas'!$A$24:$A$43,0),17))</f>
      </c>
      <c r="H32" s="22">
        <f>IF(Q32=1,D32-F32,0)</f>
      </c>
      <c r="I32" s="22">
        <f>IF(Q32=1,E32-G32,0)</f>
      </c>
      <c r="J32" s="22">
        <f>H32*IF($B$12+O32-$P$5&lt;12,0.12,0.08)</f>
      </c>
      <c r="K32" s="33">
        <f>IF(Q32=1,"Sí","—")</f>
      </c>
      <c r="M32">
        <f>IF(Q32=1,D32,0)</f>
      </c>
      <c r="N32">
        <f>IF(Q32=1,F32,0)</f>
      </c>
      <c r="O32">
        <v>17</v>
      </c>
      <c r="Q32">
        <f>IF(AND(O32&gt;=$P$5,O32&lt;=$P$6),1,0)</f>
      </c>
    </row>
    <row r="33" spans="1:17" x14ac:dyDescent="0.25">
      <c r="A33" s="13" t="s">
        <v>44</v>
      </c>
      <c r="B33" s="20">
        <f>$B$11</f>
      </c>
      <c r="C33" s="14">
        <f>INDEX('Escalas'!$D$3:$AG$22,MATCH($P$7,'Escalas'!$A$3:$A$22,0),18)</f>
      </c>
      <c r="D33" s="14">
        <f>IF($P$11=1,C33,C33*B33)*$P$14</f>
      </c>
      <c r="E33" s="14">
        <f>INDEX('Escalas'!$D$24:$AG$43,MATCH($P$8,'Escalas'!$A$24:$A$43,0),18)</f>
      </c>
      <c r="F33" s="32">
        <f>IF($P$13=1,0,IF($P$12=1,INDEX('Escalas'!$D$3:$AG$22,MATCH($P$9,'Escalas'!$A$3:$A$22,0),18),INDEX('Escalas'!$D$3:$AG$22,MATCH($P$9,'Escalas'!$A$3:$A$22,0),18)*B33)*$P$14)</f>
      </c>
      <c r="G33" s="32">
        <f>IF($P$13=1,0,INDEX('Escalas'!$D$24:$AG$43,MATCH($P$10,'Escalas'!$A$24:$A$43,0),18))</f>
      </c>
      <c r="H33" s="22">
        <f>IF(Q33=1,D33-F33,0)</f>
      </c>
      <c r="I33" s="22">
        <f>IF(Q33=1,E33-G33,0)</f>
      </c>
      <c r="J33" s="22">
        <f>H33*IF($B$12+O33-$P$5&lt;12,0.12,0.08)</f>
      </c>
      <c r="K33" s="34">
        <f>IF(Q33=1,"Sí","—")</f>
      </c>
      <c r="M33">
        <f>IF(Q33=1,D33,0)</f>
      </c>
      <c r="N33">
        <f>IF(Q33=1,F33,0)</f>
      </c>
      <c r="O33">
        <v>18</v>
      </c>
      <c r="Q33">
        <f>IF(AND(O33&gt;=$P$5,O33&lt;=$P$6),1,0)</f>
      </c>
    </row>
    <row r="34" spans="1:17" x14ac:dyDescent="0.25">
      <c r="A34" s="10" t="s">
        <v>45</v>
      </c>
      <c r="B34" s="20">
        <f>$B$11</f>
      </c>
      <c r="C34" s="11">
        <f>INDEX('Escalas'!$D$3:$AG$22,MATCH($P$7,'Escalas'!$A$3:$A$22,0),19)</f>
      </c>
      <c r="D34" s="11">
        <f>IF($P$11=1,C34,C34*B34)*$P$14</f>
      </c>
      <c r="E34" s="11">
        <f>INDEX('Escalas'!$D$24:$AG$43,MATCH($P$8,'Escalas'!$A$24:$A$43,0),19)</f>
      </c>
      <c r="F34" s="32">
        <f>IF($P$13=1,0,IF($P$12=1,INDEX('Escalas'!$D$3:$AG$22,MATCH($P$9,'Escalas'!$A$3:$A$22,0),19),INDEX('Escalas'!$D$3:$AG$22,MATCH($P$9,'Escalas'!$A$3:$A$22,0),19)*B34)*$P$14)</f>
      </c>
      <c r="G34" s="32">
        <f>IF($P$13=1,0,INDEX('Escalas'!$D$24:$AG$43,MATCH($P$10,'Escalas'!$A$24:$A$43,0),19))</f>
      </c>
      <c r="H34" s="22">
        <f>IF(Q34=1,D34-F34,0)</f>
      </c>
      <c r="I34" s="22">
        <f>IF(Q34=1,E34-G34,0)</f>
      </c>
      <c r="J34" s="22">
        <f>H34*IF($B$12+O34-$P$5&lt;12,0.12,0.08)</f>
      </c>
      <c r="K34" s="33">
        <f>IF(Q34=1,"Sí","—")</f>
      </c>
      <c r="M34">
        <f>IF(Q34=1,D34,0)</f>
      </c>
      <c r="N34">
        <f>IF(Q34=1,F34,0)</f>
      </c>
      <c r="O34">
        <v>19</v>
      </c>
      <c r="Q34">
        <f>IF(AND(O34&gt;=$P$5,O34&lt;=$P$6),1,0)</f>
      </c>
    </row>
    <row r="35" spans="1:17" x14ac:dyDescent="0.25">
      <c r="A35" s="13" t="s">
        <v>46</v>
      </c>
      <c r="B35" s="20">
        <f>$B$11</f>
      </c>
      <c r="C35" s="14">
        <f>INDEX('Escalas'!$D$3:$AG$22,MATCH($P$7,'Escalas'!$A$3:$A$22,0),20)</f>
      </c>
      <c r="D35" s="14">
        <f>IF($P$11=1,C35,C35*B35)*$P$14</f>
      </c>
      <c r="E35" s="14">
        <f>INDEX('Escalas'!$D$24:$AG$43,MATCH($P$8,'Escalas'!$A$24:$A$43,0),20)</f>
      </c>
      <c r="F35" s="32">
        <f>IF($P$13=1,0,IF($P$12=1,INDEX('Escalas'!$D$3:$AG$22,MATCH($P$9,'Escalas'!$A$3:$A$22,0),20),INDEX('Escalas'!$D$3:$AG$22,MATCH($P$9,'Escalas'!$A$3:$A$22,0),20)*B35)*$P$14)</f>
      </c>
      <c r="G35" s="32">
        <f>IF($P$13=1,0,INDEX('Escalas'!$D$24:$AG$43,MATCH($P$10,'Escalas'!$A$24:$A$43,0),20))</f>
      </c>
      <c r="H35" s="22">
        <f>IF(Q35=1,D35-F35,0)</f>
      </c>
      <c r="I35" s="22">
        <f>IF(Q35=1,E35-G35,0)</f>
      </c>
      <c r="J35" s="22">
        <f>H35*IF($B$12+O35-$P$5&lt;12,0.12,0.08)</f>
      </c>
      <c r="K35" s="34">
        <f>IF(Q35=1,"Sí","—")</f>
      </c>
      <c r="M35">
        <f>IF(Q35=1,D35,0)</f>
      </c>
      <c r="N35">
        <f>IF(Q35=1,F35,0)</f>
      </c>
      <c r="O35">
        <v>20</v>
      </c>
      <c r="Q35">
        <f>IF(AND(O35&gt;=$P$5,O35&lt;=$P$6),1,0)</f>
      </c>
    </row>
    <row r="36" spans="1:17" x14ac:dyDescent="0.25">
      <c r="A36" s="10" t="s">
        <v>47</v>
      </c>
      <c r="B36" s="20">
        <f>$B$11</f>
      </c>
      <c r="C36" s="11">
        <f>INDEX('Escalas'!$D$3:$AG$22,MATCH($P$7,'Escalas'!$A$3:$A$22,0),21)</f>
      </c>
      <c r="D36" s="11">
        <f>IF($P$11=1,C36,C36*B36)*$P$14</f>
      </c>
      <c r="E36" s="11">
        <f>INDEX('Escalas'!$D$24:$AG$43,MATCH($P$8,'Escalas'!$A$24:$A$43,0),21)</f>
      </c>
      <c r="F36" s="32">
        <f>IF($P$13=1,0,IF($P$12=1,INDEX('Escalas'!$D$3:$AG$22,MATCH($P$9,'Escalas'!$A$3:$A$22,0),21),INDEX('Escalas'!$D$3:$AG$22,MATCH($P$9,'Escalas'!$A$3:$A$22,0),21)*B36)*$P$14)</f>
      </c>
      <c r="G36" s="32">
        <f>IF($P$13=1,0,INDEX('Escalas'!$D$24:$AG$43,MATCH($P$10,'Escalas'!$A$24:$A$43,0),21))</f>
      </c>
      <c r="H36" s="22">
        <f>IF(Q36=1,D36-F36,0)</f>
      </c>
      <c r="I36" s="22">
        <f>IF(Q36=1,E36-G36,0)</f>
      </c>
      <c r="J36" s="22">
        <f>H36*IF($B$12+O36-$P$5&lt;12,0.12,0.08)</f>
      </c>
      <c r="K36" s="33">
        <f>IF(Q36=1,"Sí","—")</f>
      </c>
      <c r="M36">
        <f>IF(Q36=1,D36,0)</f>
      </c>
      <c r="N36">
        <f>IF(Q36=1,F36,0)</f>
      </c>
      <c r="O36">
        <v>21</v>
      </c>
      <c r="Q36">
        <f>IF(AND(O36&gt;=$P$5,O36&lt;=$P$6),1,0)</f>
      </c>
    </row>
    <row r="37" spans="1:17" x14ac:dyDescent="0.25">
      <c r="A37" s="13" t="s">
        <v>48</v>
      </c>
      <c r="B37" s="20">
        <f>$B$11</f>
      </c>
      <c r="C37" s="14">
        <f>INDEX('Escalas'!$D$3:$AG$22,MATCH($P$7,'Escalas'!$A$3:$A$22,0),22)</f>
      </c>
      <c r="D37" s="14">
        <f>IF($P$11=1,C37,C37*B37)*$P$14</f>
      </c>
      <c r="E37" s="14">
        <f>INDEX('Escalas'!$D$24:$AG$43,MATCH($P$8,'Escalas'!$A$24:$A$43,0),22)</f>
      </c>
      <c r="F37" s="32">
        <f>IF($P$13=1,0,IF($P$12=1,INDEX('Escalas'!$D$3:$AG$22,MATCH($P$9,'Escalas'!$A$3:$A$22,0),22),INDEX('Escalas'!$D$3:$AG$22,MATCH($P$9,'Escalas'!$A$3:$A$22,0),22)*B37)*$P$14)</f>
      </c>
      <c r="G37" s="32">
        <f>IF($P$13=1,0,INDEX('Escalas'!$D$24:$AG$43,MATCH($P$10,'Escalas'!$A$24:$A$43,0),22))</f>
      </c>
      <c r="H37" s="22">
        <f>IF(Q37=1,D37-F37,0)</f>
      </c>
      <c r="I37" s="22">
        <f>IF(Q37=1,E37-G37,0)</f>
      </c>
      <c r="J37" s="22">
        <f>H37*IF($B$12+O37-$P$5&lt;12,0.12,0.08)</f>
      </c>
      <c r="K37" s="34">
        <f>IF(Q37=1,"Sí","—")</f>
      </c>
      <c r="M37">
        <f>IF(Q37=1,D37,0)</f>
      </c>
      <c r="N37">
        <f>IF(Q37=1,F37,0)</f>
      </c>
      <c r="O37">
        <v>22</v>
      </c>
      <c r="Q37">
        <f>IF(AND(O37&gt;=$P$5,O37&lt;=$P$6),1,0)</f>
      </c>
    </row>
    <row r="38" spans="1:17" x14ac:dyDescent="0.25">
      <c r="A38" s="10" t="s">
        <v>49</v>
      </c>
      <c r="B38" s="20">
        <f>$B$11</f>
      </c>
      <c r="C38" s="11">
        <f>INDEX('Escalas'!$D$3:$AG$22,MATCH($P$7,'Escalas'!$A$3:$A$22,0),23)</f>
      </c>
      <c r="D38" s="11">
        <f>IF($P$11=1,C38,C38*B38)*$P$14</f>
      </c>
      <c r="E38" s="11">
        <f>INDEX('Escalas'!$D$24:$AG$43,MATCH($P$8,'Escalas'!$A$24:$A$43,0),23)</f>
      </c>
      <c r="F38" s="32">
        <f>IF($P$13=1,0,IF($P$12=1,INDEX('Escalas'!$D$3:$AG$22,MATCH($P$9,'Escalas'!$A$3:$A$22,0),23),INDEX('Escalas'!$D$3:$AG$22,MATCH($P$9,'Escalas'!$A$3:$A$22,0),23)*B38)*$P$14)</f>
      </c>
      <c r="G38" s="32">
        <f>IF($P$13=1,0,INDEX('Escalas'!$D$24:$AG$43,MATCH($P$10,'Escalas'!$A$24:$A$43,0),23))</f>
      </c>
      <c r="H38" s="22">
        <f>IF(Q38=1,D38-F38,0)</f>
      </c>
      <c r="I38" s="22">
        <f>IF(Q38=1,E38-G38,0)</f>
      </c>
      <c r="J38" s="22">
        <f>H38*IF($B$12+O38-$P$5&lt;12,0.12,0.08)</f>
      </c>
      <c r="K38" s="33">
        <f>IF(Q38=1,"Sí","—")</f>
      </c>
      <c r="M38">
        <f>IF(Q38=1,D38,0)</f>
      </c>
      <c r="N38">
        <f>IF(Q38=1,F38,0)</f>
      </c>
      <c r="O38">
        <v>23</v>
      </c>
      <c r="Q38">
        <f>IF(AND(O38&gt;=$P$5,O38&lt;=$P$6),1,0)</f>
      </c>
    </row>
    <row r="39" spans="1:17" x14ac:dyDescent="0.25">
      <c r="A39" s="13" t="s">
        <v>50</v>
      </c>
      <c r="B39" s="20">
        <f>$B$11</f>
      </c>
      <c r="C39" s="14">
        <f>INDEX('Escalas'!$D$3:$AG$22,MATCH($P$7,'Escalas'!$A$3:$A$22,0),24)</f>
      </c>
      <c r="D39" s="14">
        <f>IF($P$11=1,C39,C39*B39)*$P$14</f>
      </c>
      <c r="E39" s="14">
        <f>INDEX('Escalas'!$D$24:$AG$43,MATCH($P$8,'Escalas'!$A$24:$A$43,0),24)</f>
      </c>
      <c r="F39" s="32">
        <f>IF($P$13=1,0,IF($P$12=1,INDEX('Escalas'!$D$3:$AG$22,MATCH($P$9,'Escalas'!$A$3:$A$22,0),24),INDEX('Escalas'!$D$3:$AG$22,MATCH($P$9,'Escalas'!$A$3:$A$22,0),24)*B39)*$P$14)</f>
      </c>
      <c r="G39" s="32">
        <f>IF($P$13=1,0,INDEX('Escalas'!$D$24:$AG$43,MATCH($P$10,'Escalas'!$A$24:$A$43,0),24))</f>
      </c>
      <c r="H39" s="22">
        <f>IF(Q39=1,D39-F39,0)</f>
      </c>
      <c r="I39" s="22">
        <f>IF(Q39=1,E39-G39,0)</f>
      </c>
      <c r="J39" s="22">
        <f>H39*IF($B$12+O39-$P$5&lt;12,0.12,0.08)</f>
      </c>
      <c r="K39" s="34">
        <f>IF(Q39=1,"Sí","—")</f>
      </c>
      <c r="M39">
        <f>IF(Q39=1,D39,0)</f>
      </c>
      <c r="N39">
        <f>IF(Q39=1,F39,0)</f>
      </c>
      <c r="O39">
        <v>24</v>
      </c>
      <c r="Q39">
        <f>IF(AND(O39&gt;=$P$5,O39&lt;=$P$6),1,0)</f>
      </c>
    </row>
    <row r="40" spans="1:17" x14ac:dyDescent="0.25">
      <c r="A40" s="10" t="s">
        <v>51</v>
      </c>
      <c r="B40" s="20">
        <f>$B$11</f>
      </c>
      <c r="C40" s="11">
        <f>INDEX('Escalas'!$D$3:$AG$22,MATCH($P$7,'Escalas'!$A$3:$A$22,0),25)</f>
      </c>
      <c r="D40" s="11">
        <f>IF($P$11=1,C40,C40*B40)*$P$14</f>
      </c>
      <c r="E40" s="11">
        <f>INDEX('Escalas'!$D$24:$AG$43,MATCH($P$8,'Escalas'!$A$24:$A$43,0),25)</f>
      </c>
      <c r="F40" s="32">
        <f>IF($P$13=1,0,IF($P$12=1,INDEX('Escalas'!$D$3:$AG$22,MATCH($P$9,'Escalas'!$A$3:$A$22,0),25),INDEX('Escalas'!$D$3:$AG$22,MATCH($P$9,'Escalas'!$A$3:$A$22,0),25)*B40)*$P$14)</f>
      </c>
      <c r="G40" s="32">
        <f>IF($P$13=1,0,INDEX('Escalas'!$D$24:$AG$43,MATCH($P$10,'Escalas'!$A$24:$A$43,0),25))</f>
      </c>
      <c r="H40" s="22">
        <f>IF(Q40=1,D40-F40,0)</f>
      </c>
      <c r="I40" s="22">
        <f>IF(Q40=1,E40-G40,0)</f>
      </c>
      <c r="J40" s="22">
        <f>H40*IF($B$12+O40-$P$5&lt;12,0.12,0.08)</f>
      </c>
      <c r="K40" s="33">
        <f>IF(Q40=1,"Sí","—")</f>
      </c>
      <c r="M40">
        <f>IF(Q40=1,D40,0)</f>
      </c>
      <c r="N40">
        <f>IF(Q40=1,F40,0)</f>
      </c>
      <c r="O40">
        <v>25</v>
      </c>
      <c r="Q40">
        <f>IF(AND(O40&gt;=$P$5,O40&lt;=$P$6),1,0)</f>
      </c>
    </row>
    <row r="41" spans="1:17" x14ac:dyDescent="0.25">
      <c r="A41" s="13" t="s">
        <v>52</v>
      </c>
      <c r="B41" s="20">
        <f>$B$11</f>
      </c>
      <c r="C41" s="14">
        <f>INDEX('Escalas'!$D$3:$AG$22,MATCH($P$7,'Escalas'!$A$3:$A$22,0),26)</f>
      </c>
      <c r="D41" s="14">
        <f>IF($P$11=1,C41,C41*B41)*$P$14</f>
      </c>
      <c r="E41" s="14">
        <f>INDEX('Escalas'!$D$24:$AG$43,MATCH($P$8,'Escalas'!$A$24:$A$43,0),26)</f>
      </c>
      <c r="F41" s="32">
        <f>IF($P$13=1,0,IF($P$12=1,INDEX('Escalas'!$D$3:$AG$22,MATCH($P$9,'Escalas'!$A$3:$A$22,0),26),INDEX('Escalas'!$D$3:$AG$22,MATCH($P$9,'Escalas'!$A$3:$A$22,0),26)*B41)*$P$14)</f>
      </c>
      <c r="G41" s="32">
        <f>IF($P$13=1,0,INDEX('Escalas'!$D$24:$AG$43,MATCH($P$10,'Escalas'!$A$24:$A$43,0),26))</f>
      </c>
      <c r="H41" s="22">
        <f>IF(Q41=1,D41-F41,0)</f>
      </c>
      <c r="I41" s="22">
        <f>IF(Q41=1,E41-G41,0)</f>
      </c>
      <c r="J41" s="22">
        <f>H41*IF($B$12+O41-$P$5&lt;12,0.12,0.08)</f>
      </c>
      <c r="K41" s="34">
        <f>IF(Q41=1,"Sí","—")</f>
      </c>
      <c r="M41">
        <f>IF(Q41=1,D41,0)</f>
      </c>
      <c r="N41">
        <f>IF(Q41=1,F41,0)</f>
      </c>
      <c r="O41">
        <v>26</v>
      </c>
      <c r="Q41">
        <f>IF(AND(O41&gt;=$P$5,O41&lt;=$P$6),1,0)</f>
      </c>
    </row>
    <row r="42" spans="1:17" x14ac:dyDescent="0.25">
      <c r="A42" s="10" t="s">
        <v>53</v>
      </c>
      <c r="B42" s="20">
        <f>$B$11</f>
      </c>
      <c r="C42" s="11">
        <f>INDEX('Escalas'!$D$3:$AG$22,MATCH($P$7,'Escalas'!$A$3:$A$22,0),27)</f>
      </c>
      <c r="D42" s="11">
        <f>IF($P$11=1,C42,C42*B42)*$P$14</f>
      </c>
      <c r="E42" s="11">
        <f>INDEX('Escalas'!$D$24:$AG$43,MATCH($P$8,'Escalas'!$A$24:$A$43,0),27)</f>
      </c>
      <c r="F42" s="32">
        <f>IF($P$13=1,0,IF($P$12=1,INDEX('Escalas'!$D$3:$AG$22,MATCH($P$9,'Escalas'!$A$3:$A$22,0),27),INDEX('Escalas'!$D$3:$AG$22,MATCH($P$9,'Escalas'!$A$3:$A$22,0),27)*B42)*$P$14)</f>
      </c>
      <c r="G42" s="32">
        <f>IF($P$13=1,0,INDEX('Escalas'!$D$24:$AG$43,MATCH($P$10,'Escalas'!$A$24:$A$43,0),27))</f>
      </c>
      <c r="H42" s="22">
        <f>IF(Q42=1,D42-F42,0)</f>
      </c>
      <c r="I42" s="22">
        <f>IF(Q42=1,E42-G42,0)</f>
      </c>
      <c r="J42" s="22">
        <f>H42*IF($B$12+O42-$P$5&lt;12,0.12,0.08)</f>
      </c>
      <c r="K42" s="33">
        <f>IF(Q42=1,"Sí","—")</f>
      </c>
      <c r="M42">
        <f>IF(Q42=1,D42,0)</f>
      </c>
      <c r="N42">
        <f>IF(Q42=1,F42,0)</f>
      </c>
      <c r="O42">
        <v>27</v>
      </c>
      <c r="Q42">
        <f>IF(AND(O42&gt;=$P$5,O42&lt;=$P$6),1,0)</f>
      </c>
    </row>
    <row r="43" spans="1:17" x14ac:dyDescent="0.25">
      <c r="A43" s="13" t="s">
        <v>54</v>
      </c>
      <c r="B43" s="20">
        <f>$B$11</f>
      </c>
      <c r="C43" s="14">
        <f>INDEX('Escalas'!$D$3:$AG$22,MATCH($P$7,'Escalas'!$A$3:$A$22,0),28)</f>
      </c>
      <c r="D43" s="14">
        <f>IF($P$11=1,C43,C43*B43)*$P$14</f>
      </c>
      <c r="E43" s="14">
        <f>INDEX('Escalas'!$D$24:$AG$43,MATCH($P$8,'Escalas'!$A$24:$A$43,0),28)</f>
      </c>
      <c r="F43" s="32">
        <f>IF($P$13=1,0,IF($P$12=1,INDEX('Escalas'!$D$3:$AG$22,MATCH($P$9,'Escalas'!$A$3:$A$22,0),28),INDEX('Escalas'!$D$3:$AG$22,MATCH($P$9,'Escalas'!$A$3:$A$22,0),28)*B43)*$P$14)</f>
      </c>
      <c r="G43" s="32">
        <f>IF($P$13=1,0,INDEX('Escalas'!$D$24:$AG$43,MATCH($P$10,'Escalas'!$A$24:$A$43,0),28))</f>
      </c>
      <c r="H43" s="22">
        <f>IF(Q43=1,D43-F43,0)</f>
      </c>
      <c r="I43" s="22">
        <f>IF(Q43=1,E43-G43,0)</f>
      </c>
      <c r="J43" s="22">
        <f>H43*IF($B$12+O43-$P$5&lt;12,0.12,0.08)</f>
      </c>
      <c r="K43" s="34">
        <f>IF(Q43=1,"Sí","—")</f>
      </c>
      <c r="M43">
        <f>IF(Q43=1,D43,0)</f>
      </c>
      <c r="N43">
        <f>IF(Q43=1,F43,0)</f>
      </c>
      <c r="O43">
        <v>28</v>
      </c>
      <c r="Q43">
        <f>IF(AND(O43&gt;=$P$5,O43&lt;=$P$6),1,0)</f>
      </c>
    </row>
    <row r="44" spans="1:17" x14ac:dyDescent="0.25">
      <c r="A44" s="10" t="s">
        <v>55</v>
      </c>
      <c r="B44" s="20">
        <f>$B$11</f>
      </c>
      <c r="C44" s="11">
        <f>INDEX('Escalas'!$D$3:$AG$22,MATCH($P$7,'Escalas'!$A$3:$A$22,0),29)</f>
      </c>
      <c r="D44" s="11">
        <f>IF($P$11=1,C44,C44*B44)*$P$14</f>
      </c>
      <c r="E44" s="11">
        <f>INDEX('Escalas'!$D$24:$AG$43,MATCH($P$8,'Escalas'!$A$24:$A$43,0),29)</f>
      </c>
      <c r="F44" s="32">
        <f>IF($P$13=1,0,IF($P$12=1,INDEX('Escalas'!$D$3:$AG$22,MATCH($P$9,'Escalas'!$A$3:$A$22,0),29),INDEX('Escalas'!$D$3:$AG$22,MATCH($P$9,'Escalas'!$A$3:$A$22,0),29)*B44)*$P$14)</f>
      </c>
      <c r="G44" s="32">
        <f>IF($P$13=1,0,INDEX('Escalas'!$D$24:$AG$43,MATCH($P$10,'Escalas'!$A$24:$A$43,0),29))</f>
      </c>
      <c r="H44" s="22">
        <f>IF(Q44=1,D44-F44,0)</f>
      </c>
      <c r="I44" s="22">
        <f>IF(Q44=1,E44-G44,0)</f>
      </c>
      <c r="J44" s="22">
        <f>H44*IF($B$12+O44-$P$5&lt;12,0.12,0.08)</f>
      </c>
      <c r="K44" s="33">
        <f>IF(Q44=1,"Sí","—")</f>
      </c>
      <c r="M44">
        <f>IF(Q44=1,D44,0)</f>
      </c>
      <c r="N44">
        <f>IF(Q44=1,F44,0)</f>
      </c>
      <c r="O44">
        <v>29</v>
      </c>
      <c r="Q44">
        <f>IF(AND(O44&gt;=$P$5,O44&lt;=$P$6),1,0)</f>
      </c>
    </row>
    <row r="45" spans="1:17" x14ac:dyDescent="0.25">
      <c r="A45" s="13" t="s">
        <v>56</v>
      </c>
      <c r="B45" s="20">
        <f>$B$11</f>
      </c>
      <c r="C45" s="14">
        <f>INDEX('Escalas'!$D$3:$AG$22,MATCH($P$7,'Escalas'!$A$3:$A$22,0),30)</f>
      </c>
      <c r="D45" s="14">
        <f>IF($P$11=1,C45,C45*B45)*$P$14</f>
      </c>
      <c r="E45" s="14">
        <f>INDEX('Escalas'!$D$24:$AG$43,MATCH($P$8,'Escalas'!$A$24:$A$43,0),30)</f>
      </c>
      <c r="F45" s="32">
        <f>IF($P$13=1,0,IF($P$12=1,INDEX('Escalas'!$D$3:$AG$22,MATCH($P$9,'Escalas'!$A$3:$A$22,0),30),INDEX('Escalas'!$D$3:$AG$22,MATCH($P$9,'Escalas'!$A$3:$A$22,0),30)*B45)*$P$14)</f>
      </c>
      <c r="G45" s="32">
        <f>IF($P$13=1,0,INDEX('Escalas'!$D$24:$AG$43,MATCH($P$10,'Escalas'!$A$24:$A$43,0),30))</f>
      </c>
      <c r="H45" s="22">
        <f>IF(Q45=1,D45-F45,0)</f>
      </c>
      <c r="I45" s="22">
        <f>IF(Q45=1,E45-G45,0)</f>
      </c>
      <c r="J45" s="22">
        <f>H45*IF($B$12+O45-$P$5&lt;12,0.12,0.08)</f>
      </c>
      <c r="K45" s="34">
        <f>IF(Q45=1,"Sí","—")</f>
      </c>
      <c r="M45">
        <f>IF(Q45=1,D45,0)</f>
      </c>
      <c r="N45">
        <f>IF(Q45=1,F45,0)</f>
      </c>
      <c r="O45">
        <v>30</v>
      </c>
      <c r="Q45">
        <f>IF(AND(O45&gt;=$P$5,O45&lt;=$P$6),1,0)</f>
      </c>
    </row>
    <row r="47" spans="1:8" x14ac:dyDescent="0.25">
      <c r="A47" s="4" t="s">
        <v>163</v>
      </c>
      <c r="B47" s="4"/>
      <c r="C47" s="4"/>
      <c r="D47" s="4"/>
      <c r="E47" s="4"/>
      <c r="F47" s="4"/>
      <c r="G47" s="4"/>
      <c r="H47" s="4"/>
    </row>
    <row r="48" ht="30" customHeight="1" spans="1:8" x14ac:dyDescent="0.25">
      <c r="A48" s="35" t="s">
        <v>164</v>
      </c>
      <c r="B48" s="35" t="s">
        <v>165</v>
      </c>
      <c r="C48" s="35" t="s">
        <v>166</v>
      </c>
      <c r="D48" s="35" t="s">
        <v>167</v>
      </c>
      <c r="E48" s="35" t="s">
        <v>168</v>
      </c>
      <c r="F48" s="35" t="s">
        <v>169</v>
      </c>
      <c r="H48" s="35" t="s">
        <v>170</v>
      </c>
    </row>
    <row r="49" spans="1:8" x14ac:dyDescent="0.25">
      <c r="A49" s="36" t="s">
        <v>171</v>
      </c>
      <c r="B49" s="37">
        <f>SUM(Q16:Q16)</f>
      </c>
      <c r="C49" s="11">
        <f>MAX(M16:M16)</f>
      </c>
      <c r="D49" s="11">
        <f>MAX(N16:N16)</f>
      </c>
      <c r="E49" s="11">
        <f>C49/2*B49/6</f>
      </c>
      <c r="F49" s="11">
        <f>D49/2*B49/6</f>
      </c>
      <c r="H49" s="22">
        <f>E49-F49</f>
      </c>
    </row>
    <row r="50" spans="1:8" x14ac:dyDescent="0.25">
      <c r="A50" s="36" t="s">
        <v>172</v>
      </c>
      <c r="B50" s="37">
        <f>SUM(Q17:Q22)</f>
      </c>
      <c r="C50" s="11">
        <f>MAX(M17:M22)</f>
      </c>
      <c r="D50" s="11">
        <f>MAX(N17:N22)</f>
      </c>
      <c r="E50" s="11">
        <f>C50/2*B50/6</f>
      </c>
      <c r="F50" s="11">
        <f>D50/2*B50/6</f>
      </c>
      <c r="H50" s="22">
        <f>E50-F50</f>
      </c>
    </row>
    <row r="51" spans="1:8" x14ac:dyDescent="0.25">
      <c r="A51" s="36" t="s">
        <v>173</v>
      </c>
      <c r="B51" s="37">
        <f>SUM(Q23:Q28)</f>
      </c>
      <c r="C51" s="11">
        <f>MAX(M23:M28)</f>
      </c>
      <c r="D51" s="11">
        <f>MAX(N23:N28)</f>
      </c>
      <c r="E51" s="11">
        <f>C51/2*B51/6</f>
      </c>
      <c r="F51" s="11">
        <f>D51/2*B51/6</f>
      </c>
      <c r="H51" s="22">
        <f>E51-F51</f>
      </c>
    </row>
    <row r="52" spans="1:8" x14ac:dyDescent="0.25">
      <c r="A52" s="36" t="s">
        <v>174</v>
      </c>
      <c r="B52" s="37">
        <f>SUM(Q29:Q34)</f>
      </c>
      <c r="C52" s="11">
        <f>MAX(M29:M34)</f>
      </c>
      <c r="D52" s="11">
        <f>MAX(N29:N34)</f>
      </c>
      <c r="E52" s="11">
        <f>C52/2*B52/6</f>
      </c>
      <c r="F52" s="11">
        <f>D52/2*B52/6</f>
      </c>
      <c r="H52" s="22">
        <f>E52-F52</f>
      </c>
    </row>
    <row r="53" spans="1:8" x14ac:dyDescent="0.25">
      <c r="A53" s="36" t="s">
        <v>175</v>
      </c>
      <c r="B53" s="37">
        <f>SUM(Q35:Q40)</f>
      </c>
      <c r="C53" s="11">
        <f>MAX(M35:M40)</f>
      </c>
      <c r="D53" s="11">
        <f>MAX(N35:N40)</f>
      </c>
      <c r="E53" s="11">
        <f>C53/2*B53/6</f>
      </c>
      <c r="F53" s="11">
        <f>D53/2*B53/6</f>
      </c>
      <c r="H53" s="22">
        <f>E53-F53</f>
      </c>
    </row>
    <row r="54" spans="1:8" x14ac:dyDescent="0.25">
      <c r="A54" s="36" t="s">
        <v>176</v>
      </c>
      <c r="B54" s="37">
        <f>SUM(Q41:Q45)</f>
      </c>
      <c r="C54" s="11">
        <f>MAX(M41:M45)</f>
      </c>
      <c r="D54" s="11">
        <f>MAX(N41:N45)</f>
      </c>
      <c r="E54" s="11">
        <f>C54/2*B54/6</f>
      </c>
      <c r="F54" s="11">
        <f>D54/2*B54/6</f>
      </c>
      <c r="H54" s="22">
        <f>E54-F54</f>
      </c>
    </row>
    <row r="56" ht="30" customHeight="1" spans="1:11" x14ac:dyDescent="0.25">
      <c r="A56" s="6" t="s">
        <v>177</v>
      </c>
      <c r="B56" s="6"/>
      <c r="C56" s="6"/>
      <c r="D56" s="6"/>
      <c r="E56" s="6"/>
      <c r="F56" s="6"/>
      <c r="G56" s="6"/>
      <c r="H56" s="6"/>
      <c r="I56" s="6"/>
      <c r="J56" s="6"/>
      <c r="K56" s="6"/>
    </row>
    <row r="57" ht="30" customHeight="1" spans="1:11" x14ac:dyDescent="0.25">
      <c r="A57" s="6" t="s">
        <v>178</v>
      </c>
      <c r="B57" s="6"/>
      <c r="C57" s="6"/>
      <c r="D57" s="6"/>
      <c r="E57" s="6"/>
      <c r="F57" s="6"/>
      <c r="G57" s="6"/>
      <c r="H57" s="6"/>
      <c r="I57" s="6"/>
      <c r="J57" s="6"/>
      <c r="K57" s="6"/>
    </row>
    <row r="58" ht="30" customHeight="1" spans="1:11" x14ac:dyDescent="0.25">
      <c r="A58" s="6" t="s">
        <v>179</v>
      </c>
      <c r="B58" s="6"/>
      <c r="C58" s="6"/>
      <c r="D58" s="6"/>
      <c r="E58" s="6"/>
      <c r="F58" s="6"/>
      <c r="G58" s="6"/>
      <c r="H58" s="6"/>
      <c r="I58" s="6"/>
      <c r="J58" s="6"/>
      <c r="K58" s="6"/>
    </row>
    <row r="59" ht="30" customHeight="1" spans="1:11" x14ac:dyDescent="0.25">
      <c r="A59" s="6" t="s">
        <v>180</v>
      </c>
      <c r="B59" s="6"/>
      <c r="C59" s="6"/>
      <c r="D59" s="6"/>
      <c r="E59" s="6"/>
      <c r="F59" s="6"/>
      <c r="G59" s="6"/>
      <c r="H59" s="6"/>
      <c r="I59" s="6"/>
      <c r="J59" s="6"/>
      <c r="K59" s="6"/>
    </row>
    <row r="60" ht="30" customHeight="1" spans="1:11" x14ac:dyDescent="0.25">
      <c r="A60" s="6" t="s">
        <v>181</v>
      </c>
      <c r="B60" s="6"/>
      <c r="C60" s="6"/>
      <c r="D60" s="6"/>
      <c r="E60" s="6"/>
      <c r="F60" s="6"/>
      <c r="G60" s="6"/>
      <c r="H60" s="6"/>
      <c r="I60" s="6"/>
      <c r="J60" s="6"/>
      <c r="K60" s="6"/>
    </row>
    <row r="61" ht="30" customHeight="1" spans="1:11" x14ac:dyDescent="0.25">
      <c r="A61" s="6" t="s">
        <v>182</v>
      </c>
      <c r="B61" s="6"/>
      <c r="C61" s="6"/>
      <c r="D61" s="6"/>
      <c r="E61" s="6"/>
      <c r="F61" s="6"/>
      <c r="G61" s="6"/>
      <c r="H61" s="6"/>
      <c r="I61" s="6"/>
      <c r="J61" s="6"/>
      <c r="K61" s="6"/>
    </row>
  </sheetData>
  <mergeCells count="17">
    <mergeCell ref="A1:K1"/>
    <mergeCell ref="A2:K2"/>
    <mergeCell ref="A4:B4"/>
    <mergeCell ref="D4:I4"/>
    <mergeCell ref="D5:H5"/>
    <mergeCell ref="D6:H6"/>
    <mergeCell ref="D7:H7"/>
    <mergeCell ref="D8:H8"/>
    <mergeCell ref="D9:H9"/>
    <mergeCell ref="D10:H10"/>
    <mergeCell ref="A47:H47"/>
    <mergeCell ref="A56:K56"/>
    <mergeCell ref="A57:K57"/>
    <mergeCell ref="A58:K58"/>
    <mergeCell ref="A59:K59"/>
    <mergeCell ref="A60:K60"/>
    <mergeCell ref="A61:K61"/>
  </mergeCells>
  <dataValidations count="8">
    <dataValidation type="list" showErrorMessage="1" error="Elegí Sí o No." sqref="B10">
      <formula1>"Sí,No"</formula1>
    </dataValidation>
    <dataValidation type="decimal" showErrorMessage="1" error="Ingresá las horas del mes (entre 0 y 300)." sqref="B11">
      <formula1>0</formula1>
      <formula2>300</formula2>
    </dataValidation>
    <dataValidation type="whole" showErrorMessage="1" error="Ingresá un número de meses." sqref="B12">
      <formula1>0</formula1>
      <formula2>600</formula2>
    </dataValidation>
    <dataValidation type="list" showErrorMessage="1" error="Elegí una categoría." sqref="B5">
      <formula1>"Oficial especializado,Oficial,Medio oficial,Ayudante,Sereno"</formula1>
    </dataValidation>
    <dataValidation type="list" showErrorMessage="1" error="Elegí una categoría o la opción de cargar lo cobrado." sqref="B6">
      <formula1>"Oficial especializado,Oficial,Medio oficial,Ayudante,Sereno,Otro: cargo lo cobrado"</formula1>
    </dataValidation>
    <dataValidation type="list" showErrorMessage="1" error="Elegí una zona." sqref="B7">
      <formula1>"Zona A,Zona B,Zona C,Zona C Austral"</formula1>
    </dataValidation>
    <dataValidation type="list" showErrorMessage="1" error="Elegí el primer mes del reclamo." sqref="B8">
      <formula1>'Diferencias'!A16:A45</formula1>
    </dataValidation>
    <dataValidation type="list" showErrorMessage="1" error="Elegí el último mes del reclamo." sqref="B9">
      <formula1>'Diferencias'!A16:A45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9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38" t="s">
        <v>183</v>
      </c>
      <c r="B1" s="38"/>
    </row>
    <row r="2" ht="30" customHeight="1" spans="1:2" x14ac:dyDescent="0.25">
      <c r="A2" s="39" t="s">
        <v>184</v>
      </c>
      <c r="B2" s="39"/>
    </row>
    <row r="4" spans="1:2" x14ac:dyDescent="0.25">
      <c r="A4" s="40" t="s">
        <v>185</v>
      </c>
      <c r="B4" s="40" t="s">
        <v>186</v>
      </c>
    </row>
    <row r="5" ht="32" customHeight="1" spans="1:2" x14ac:dyDescent="0.25">
      <c r="A5" s="41" t="s">
        <v>187</v>
      </c>
      <c r="B5" s="42" t="s">
        <v>188</v>
      </c>
    </row>
    <row r="6" ht="32" customHeight="1" spans="1:2" x14ac:dyDescent="0.25">
      <c r="A6" s="43" t="s">
        <v>189</v>
      </c>
      <c r="B6" s="44" t="s">
        <v>190</v>
      </c>
    </row>
    <row r="7" ht="32" customHeight="1" spans="1:2" x14ac:dyDescent="0.25">
      <c r="A7" s="41" t="s">
        <v>191</v>
      </c>
      <c r="B7" s="42" t="s">
        <v>192</v>
      </c>
    </row>
    <row r="8" ht="32" customHeight="1" spans="1:2" x14ac:dyDescent="0.25">
      <c r="A8" s="43" t="s">
        <v>193</v>
      </c>
      <c r="B8" s="44" t="s">
        <v>194</v>
      </c>
    </row>
    <row r="9" ht="32" customHeight="1" spans="1:2" x14ac:dyDescent="0.25">
      <c r="A9" s="41" t="s">
        <v>195</v>
      </c>
      <c r="B9" s="42" t="s">
        <v>196</v>
      </c>
    </row>
    <row r="10" ht="32" customHeight="1" spans="1:2" x14ac:dyDescent="0.25">
      <c r="A10" s="43" t="s">
        <v>197</v>
      </c>
      <c r="B10" s="44" t="s">
        <v>198</v>
      </c>
    </row>
    <row r="11" ht="32" customHeight="1" spans="1:2" x14ac:dyDescent="0.25">
      <c r="A11" s="41" t="s">
        <v>199</v>
      </c>
      <c r="B11" s="42" t="s">
        <v>200</v>
      </c>
    </row>
    <row r="12" ht="32" customHeight="1" spans="1:2" x14ac:dyDescent="0.25">
      <c r="A12" s="43" t="s">
        <v>201</v>
      </c>
      <c r="B12" s="44" t="s">
        <v>202</v>
      </c>
    </row>
    <row r="13" ht="32" customHeight="1" spans="1:2" x14ac:dyDescent="0.25">
      <c r="A13" s="41" t="s">
        <v>203</v>
      </c>
      <c r="B13" s="42" t="s">
        <v>204</v>
      </c>
    </row>
    <row r="14" ht="32" customHeight="1" spans="1:2" x14ac:dyDescent="0.25">
      <c r="A14" s="43" t="s">
        <v>205</v>
      </c>
      <c r="B14" s="44" t="s">
        <v>206</v>
      </c>
    </row>
    <row r="15" ht="32" customHeight="1" spans="1:2" x14ac:dyDescent="0.25">
      <c r="A15" s="41" t="s">
        <v>207</v>
      </c>
      <c r="B15" s="42" t="s">
        <v>208</v>
      </c>
    </row>
    <row r="16" ht="32" customHeight="1" spans="1:2" x14ac:dyDescent="0.25">
      <c r="A16" s="43" t="s">
        <v>209</v>
      </c>
      <c r="B16" s="44" t="s">
        <v>210</v>
      </c>
    </row>
    <row r="17" ht="32" customHeight="1" spans="1:2" x14ac:dyDescent="0.25">
      <c r="A17" s="41" t="s">
        <v>211</v>
      </c>
      <c r="B17" s="42" t="s">
        <v>212</v>
      </c>
    </row>
    <row r="18" ht="32" customHeight="1" spans="1:2" x14ac:dyDescent="0.25">
      <c r="A18" s="43" t="s">
        <v>213</v>
      </c>
      <c r="B18" s="44" t="s">
        <v>214</v>
      </c>
    </row>
    <row r="19" ht="32" customHeight="1" spans="1:2" x14ac:dyDescent="0.25">
      <c r="A19" s="41" t="s">
        <v>215</v>
      </c>
      <c r="B19" s="42" t="s">
        <v>216</v>
      </c>
    </row>
    <row r="20" ht="32" customHeight="1" spans="1:2" x14ac:dyDescent="0.25">
      <c r="A20" s="43" t="s">
        <v>217</v>
      </c>
      <c r="B20" s="44" t="s">
        <v>218</v>
      </c>
    </row>
    <row r="21" ht="32" customHeight="1" spans="1:2" x14ac:dyDescent="0.25">
      <c r="A21" s="41" t="s">
        <v>219</v>
      </c>
      <c r="B21" s="42" t="s">
        <v>220</v>
      </c>
    </row>
    <row r="22" ht="32" customHeight="1" spans="1:2" x14ac:dyDescent="0.25">
      <c r="A22" s="43" t="s">
        <v>221</v>
      </c>
      <c r="B22" s="44" t="s">
        <v>222</v>
      </c>
    </row>
    <row r="23" ht="32" customHeight="1" spans="1:2" x14ac:dyDescent="0.25">
      <c r="A23" s="41" t="s">
        <v>223</v>
      </c>
      <c r="B23" s="42" t="s">
        <v>224</v>
      </c>
    </row>
    <row r="25" spans="1:1" x14ac:dyDescent="0.25">
      <c r="A25" s="45" t="s">
        <v>225</v>
      </c>
    </row>
    <row r="26" spans="1:2" x14ac:dyDescent="0.25">
      <c r="A26" s="6" t="s">
        <v>226</v>
      </c>
      <c r="B26" s="6"/>
    </row>
    <row r="27" spans="1:2" x14ac:dyDescent="0.25">
      <c r="A27" s="6" t="s">
        <v>227</v>
      </c>
      <c r="B27" s="6"/>
    </row>
    <row r="29" spans="1:2" x14ac:dyDescent="0.25">
      <c r="A29" s="6" t="s">
        <v>228</v>
      </c>
      <c r="B29" s="6"/>
    </row>
  </sheetData>
  <mergeCells count="5">
    <mergeCell ref="A1:B1"/>
    <mergeCell ref="A2:B2"/>
    <mergeCell ref="A26:B26"/>
    <mergeCell ref="A27:B27"/>
    <mergeCell ref="A29:B29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Escalas</vt:lpstr>
      <vt:lpstr>Liquidador</vt:lpstr>
      <vt:lpstr>Diferencias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2026-10-22T00:11:49Z</dcterms:created>
  <dcterms:modified xsi:type="dcterms:W3CDTF">2026-10-22T00:11:49Z</dcterms:modified>
</cp:coreProperties>
</file>