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<sst xmlns="http://schemas.openxmlformats.org/spreadsheetml/2006/main" count="208" uniqueCount="131">
  <si>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</si>
  <si>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</si>
  <si>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</si>
  <si>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</si>
  <si>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</si>
  <si>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</si>
  <si>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</si>
  <si>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</si>
  <si>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</si>
  <si>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</si>
  <si>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</si>
  <si>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</si>
  <si>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</si>
  <si>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</si>
  <si>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</si>
  <si>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</si>
  <si>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</si>
  <si>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</si>
  <si>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próxima definición es la reunión del 20 de octubre de 2026, que fija diciembre de 2026 en adelante.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</si>
  <si>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</si>
  <si>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</si>
  <si>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</si>
  <si>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</si>
  <si>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</si>
  <si>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</si>
  <si>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</si>
  <si>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</si>
  <si>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</si>
  <si>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</si>
  <si>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</si>
  <si>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</si>
  <si>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</si>
  <si>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</si>
  <si>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</si>
  <si>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</si>
  <si>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</si>
  <si>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</si>
  <si>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</si>
  <si>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</si>
  <si>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</si>
  <si>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</si>
  <si>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</si>
  <si>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</si>
  <si>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</si>
  <si>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</si>
  <si>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</si>
  <si>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</si>
  <si>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</si>
  <si>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</si>
  <si>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</si>
  <si>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</si>
  <si>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</si>
  <si>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</si>
  <si>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</si>
  <si>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</si>
  <si>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</si>
  <si>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</si>
  <si>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</si>
  <si>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</si>
  <si>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</si>
  <si>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</si>
  <si>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</si>
  <si>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</si>
  <si>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</si>
  <si>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</si>
  <si>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</si>
  <si>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</si>
  <si>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</si>
  <si>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</si>
  <si>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</si>
  <si>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</si>
  <si>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</si>
  <si>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</si>
  <si>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</si>
  <si>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</si>
  <si>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</si>
  <si>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</si>
  <si>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</si>
  <si>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</si>
  <si>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</si>
  <si>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</si>
  <si>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</si>
  <si>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</si>
  <si>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</si>
  <si>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28 de septiembre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</si>
  <si>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</si>
  <si>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</si>
  <si>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28 de septiembre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</si>
  <si>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</si>
  <si>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</si>
  <si>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</si>
  <si>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</si>
  <si>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</si>
  <si>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</si>
  <si>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</si>
  <si>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</si>
  <si>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</si>
  <si>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</si>
  <si>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</si>
  <si>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</si>
  <si>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</si>
  <si>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</si>
  <si>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</si>
  <si>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</si>
  <si>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</si>
  <si>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</si>
  <si>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</si>
  <si>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</si>
  <si>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</si>
  <si>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</si>
  <si>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</si>
  <si>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</si>
  <si>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28 de septiembre de 2026 contra los documentos oficiales de abajo. Ningún blog, ningún resumen de terceros.</t>
  </si>
  <si>
    <t>Documento</t>
  </si>
  <si>
    <t>Link</t>
  </si>
  <si>
    <t>Acuerdo UOCRA-CAMARCO 31/3/2026 (abril-mayo): PDF firmado, CAMARCO</t>
  </si>
  <si>
    <t>https://www.camarco.org.ar/laboral/acuerdo-salarial-uocra-cct-n-76-75-y-577-10-abril-mayo-2026/</t>
  </si>
  <si>
    <t>Acuerdo UOCRA-CAMARCO 19/5/2026 (junio-agosto): PDF firmado, CAMARCO</t>
  </si>
  <si>
    <t>https://www.camarco.org.ar/laboral/acuerdo-salarial-uocra-cct-n-76-75-mayo-2026/</t>
  </si>
  <si>
    <t>UOCRA: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</si>
  <si>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</si>
  <si>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(UOCRA, arts. 10-12, 16 y 52)</t>
  </si>
  <si>
    <t>https://www.uocra.org/pdf/9c21ef_76.75.pdf</t>
  </si>
  <si>
    <t>Ley 22.250: régimen de la construcción (IERIC)</t>
  </si>
  <si>
    <t>https://www.ieric.org.ar/wp-content/uploads/2020/01/Ley22.250.pdf</t>
  </si>
  <si>
    <t>UOCRA: escalas salariales y homologaciones</t>
  </si>
  <si>
    <t>https://www.uocra.org/</t>
  </si>
  <si>
    <t>Homologaciones</t>
  </si>
  <si>
    <t>Disp. 468/2026 (DI-2026-468-APN-DNRYRT#MCH, 7/4/2026): abril y mayo</t>
  </si>
  <si>
    <t>Disp. 712/2026 (DI-2026-712-APN-DNRYRT#MCH):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</si>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</sst>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K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11" width="15" customWidth="1"/>
  </cols>
  <sheetData>
    <row r="1" ht="28" customHeight="1" spans="1:11" x14ac:dyDescent="0.25">
      <c r="A1" s="7" t="s">
        <v>21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ht="22" customHeight="1" spans="1:11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</row>
    <row r="3" spans="1:11" x14ac:dyDescent="0.25">
      <c r="A3" s="9" t="s">
        <v>33</v>
      </c>
      <c r="B3" s="10" t="s">
        <v>34</v>
      </c>
      <c r="C3" s="10" t="s">
        <v>35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  <c r="I3" s="11">
        <v>7561</v>
      </c>
      <c r="J3" s="11">
        <v>7697</v>
      </c>
      <c r="K3" s="11">
        <v>7828</v>
      </c>
    </row>
    <row r="4" spans="1:11" x14ac:dyDescent="0.25">
      <c r="A4" s="12" t="s">
        <v>36</v>
      </c>
      <c r="B4" s="13" t="s">
        <v>34</v>
      </c>
      <c r="C4" s="13" t="s">
        <v>37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  <c r="I4" s="14">
        <v>8393</v>
      </c>
      <c r="J4" s="14">
        <v>8544</v>
      </c>
      <c r="K4" s="14">
        <v>8689</v>
      </c>
    </row>
    <row r="5" spans="1:11" x14ac:dyDescent="0.25">
      <c r="A5" s="9" t="s">
        <v>38</v>
      </c>
      <c r="B5" s="10" t="s">
        <v>34</v>
      </c>
      <c r="C5" s="10" t="s">
        <v>39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  <c r="I5" s="11">
        <v>11608</v>
      </c>
      <c r="J5" s="11">
        <v>11817</v>
      </c>
      <c r="K5" s="11">
        <v>12018</v>
      </c>
    </row>
    <row r="6" spans="1:11" x14ac:dyDescent="0.25">
      <c r="A6" s="12" t="s">
        <v>40</v>
      </c>
      <c r="B6" s="13" t="s">
        <v>34</v>
      </c>
      <c r="C6" s="13" t="s">
        <v>41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  <c r="I6" s="14">
        <v>15123</v>
      </c>
      <c r="J6" s="14">
        <v>15395</v>
      </c>
      <c r="K6" s="14">
        <v>15657</v>
      </c>
    </row>
    <row r="7" spans="1:11" x14ac:dyDescent="0.25">
      <c r="A7" s="9" t="s">
        <v>42</v>
      </c>
      <c r="B7" s="10" t="s">
        <v>43</v>
      </c>
      <c r="C7" s="10" t="s">
        <v>35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  <c r="I7" s="11">
        <v>6468</v>
      </c>
      <c r="J7" s="11">
        <v>6585</v>
      </c>
      <c r="K7" s="11">
        <v>6697</v>
      </c>
    </row>
    <row r="8" spans="1:11" x14ac:dyDescent="0.25">
      <c r="A8" s="12" t="s">
        <v>44</v>
      </c>
      <c r="B8" s="13" t="s">
        <v>43</v>
      </c>
      <c r="C8" s="13" t="s">
        <v>37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  <c r="I8" s="14">
        <v>7183</v>
      </c>
      <c r="J8" s="14">
        <v>7313</v>
      </c>
      <c r="K8" s="14">
        <v>7437</v>
      </c>
    </row>
    <row r="9" spans="1:11" x14ac:dyDescent="0.25">
      <c r="A9" s="9" t="s">
        <v>45</v>
      </c>
      <c r="B9" s="10" t="s">
        <v>43</v>
      </c>
      <c r="C9" s="10" t="s">
        <v>39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  <c r="I9" s="11">
        <v>10883</v>
      </c>
      <c r="J9" s="11">
        <v>11079</v>
      </c>
      <c r="K9" s="11">
        <v>11267</v>
      </c>
    </row>
    <row r="10" spans="1:11" x14ac:dyDescent="0.25">
      <c r="A10" s="12" t="s">
        <v>46</v>
      </c>
      <c r="B10" s="13" t="s">
        <v>43</v>
      </c>
      <c r="C10" s="13" t="s">
        <v>41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  <c r="I10" s="14">
        <v>12936</v>
      </c>
      <c r="J10" s="14">
        <v>13169</v>
      </c>
      <c r="K10" s="14">
        <v>13393</v>
      </c>
    </row>
    <row r="11" spans="1:11" x14ac:dyDescent="0.25">
      <c r="A11" s="9" t="s">
        <v>47</v>
      </c>
      <c r="B11" s="10" t="s">
        <v>48</v>
      </c>
      <c r="C11" s="10" t="s">
        <v>35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  <c r="I11" s="11">
        <v>5977</v>
      </c>
      <c r="J11" s="11">
        <v>6085</v>
      </c>
      <c r="K11" s="11">
        <v>6188</v>
      </c>
    </row>
    <row r="12" spans="1:11" x14ac:dyDescent="0.25">
      <c r="A12" s="12" t="s">
        <v>49</v>
      </c>
      <c r="B12" s="13" t="s">
        <v>48</v>
      </c>
      <c r="C12" s="13" t="s">
        <v>37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  <c r="I12" s="14">
        <v>6626</v>
      </c>
      <c r="J12" s="14">
        <v>6745</v>
      </c>
      <c r="K12" s="14">
        <v>6860</v>
      </c>
    </row>
    <row r="13" spans="1:11" x14ac:dyDescent="0.25">
      <c r="A13" s="9" t="s">
        <v>50</v>
      </c>
      <c r="B13" s="10" t="s">
        <v>48</v>
      </c>
      <c r="C13" s="10" t="s">
        <v>39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  <c r="I13" s="11">
        <v>10502</v>
      </c>
      <c r="J13" s="11">
        <v>10691</v>
      </c>
      <c r="K13" s="11">
        <v>10873</v>
      </c>
    </row>
    <row r="14" spans="1:11" x14ac:dyDescent="0.25">
      <c r="A14" s="12" t="s">
        <v>51</v>
      </c>
      <c r="B14" s="13" t="s">
        <v>48</v>
      </c>
      <c r="C14" s="13" t="s">
        <v>41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  <c r="I14" s="14">
        <v>11955</v>
      </c>
      <c r="J14" s="14">
        <v>12170</v>
      </c>
      <c r="K14" s="14">
        <v>12377</v>
      </c>
    </row>
    <row r="15" spans="1:11" x14ac:dyDescent="0.25">
      <c r="A15" s="9" t="s">
        <v>52</v>
      </c>
      <c r="B15" s="10" t="s">
        <v>53</v>
      </c>
      <c r="C15" s="10" t="s">
        <v>35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  <c r="I15" s="11">
        <v>5502</v>
      </c>
      <c r="J15" s="11">
        <v>5601</v>
      </c>
      <c r="K15" s="11">
        <v>5696</v>
      </c>
    </row>
    <row r="16" spans="1:11" x14ac:dyDescent="0.25">
      <c r="A16" s="12" t="s">
        <v>54</v>
      </c>
      <c r="B16" s="13" t="s">
        <v>53</v>
      </c>
      <c r="C16" s="13" t="s">
        <v>37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  <c r="I16" s="14">
        <v>6135</v>
      </c>
      <c r="J16" s="14">
        <v>6245</v>
      </c>
      <c r="K16" s="14">
        <v>6351</v>
      </c>
    </row>
    <row r="17" spans="1:11" x14ac:dyDescent="0.25">
      <c r="A17" s="9" t="s">
        <v>55</v>
      </c>
      <c r="B17" s="10" t="s">
        <v>53</v>
      </c>
      <c r="C17" s="10" t="s">
        <v>39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  <c r="I17" s="11">
        <v>10197</v>
      </c>
      <c r="J17" s="11">
        <v>10381</v>
      </c>
      <c r="K17" s="11">
        <v>10557</v>
      </c>
    </row>
    <row r="18" spans="1:11" x14ac:dyDescent="0.25">
      <c r="A18" s="12" t="s">
        <v>56</v>
      </c>
      <c r="B18" s="13" t="s">
        <v>53</v>
      </c>
      <c r="C18" s="13" t="s">
        <v>41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  <c r="I18" s="14">
        <v>11003</v>
      </c>
      <c r="J18" s="14">
        <v>11201</v>
      </c>
      <c r="K18" s="14">
        <v>11392</v>
      </c>
    </row>
    <row r="19" spans="1:11" x14ac:dyDescent="0.25">
      <c r="A19" s="9" t="s">
        <v>57</v>
      </c>
      <c r="B19" s="10" t="s">
        <v>58</v>
      </c>
      <c r="C19" s="10" t="s">
        <v>35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  <c r="I19" s="11">
        <v>999495</v>
      </c>
      <c r="J19" s="11">
        <v>1017485</v>
      </c>
      <c r="K19" s="11">
        <v>1034783</v>
      </c>
    </row>
    <row r="20" spans="1:11" x14ac:dyDescent="0.25">
      <c r="A20" s="12" t="s">
        <v>59</v>
      </c>
      <c r="B20" s="13" t="s">
        <v>58</v>
      </c>
      <c r="C20" s="13" t="s">
        <v>37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  <c r="I20" s="14">
        <v>1113481</v>
      </c>
      <c r="J20" s="14">
        <v>1133523</v>
      </c>
      <c r="K20" s="14">
        <v>1152793</v>
      </c>
    </row>
    <row r="21" spans="1:11" x14ac:dyDescent="0.25">
      <c r="A21" s="9" t="s">
        <v>60</v>
      </c>
      <c r="B21" s="10" t="s">
        <v>58</v>
      </c>
      <c r="C21" s="10" t="s">
        <v>39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  <c r="I21" s="11">
        <v>1670938</v>
      </c>
      <c r="J21" s="11">
        <v>1701015</v>
      </c>
      <c r="K21" s="11">
        <v>1729932</v>
      </c>
    </row>
    <row r="22" spans="1:11" x14ac:dyDescent="0.25">
      <c r="A22" s="12" t="s">
        <v>61</v>
      </c>
      <c r="B22" s="13" t="s">
        <v>58</v>
      </c>
      <c r="C22" s="13" t="s">
        <v>41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  <c r="I22" s="14">
        <v>1998989</v>
      </c>
      <c r="J22" s="14">
        <v>2034971</v>
      </c>
      <c r="K22" s="14">
        <v>2069565</v>
      </c>
    </row>
    <row r="23" spans="1:11" x14ac:dyDescent="0.25">
      <c r="A23" s="15" t="s">
        <v>62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</row>
    <row r="24" spans="1:11" x14ac:dyDescent="0.25">
      <c r="A24" s="9" t="s">
        <v>63</v>
      </c>
      <c r="B24" s="10" t="s">
        <v>34</v>
      </c>
      <c r="C24" s="10" t="s">
        <v>35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  <c r="I24" s="11">
        <v>0</v>
      </c>
      <c r="J24" s="11">
        <v>0</v>
      </c>
      <c r="K24" s="11">
        <v>0</v>
      </c>
    </row>
    <row r="25" spans="1:11" x14ac:dyDescent="0.25">
      <c r="A25" s="12" t="s">
        <v>64</v>
      </c>
      <c r="B25" s="13" t="s">
        <v>34</v>
      </c>
      <c r="C25" s="13" t="s">
        <v>37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  <c r="I25" s="14">
        <v>0</v>
      </c>
      <c r="J25" s="14">
        <v>0</v>
      </c>
      <c r="K25" s="14">
        <v>0</v>
      </c>
    </row>
    <row r="26" spans="1:11" x14ac:dyDescent="0.25">
      <c r="A26" s="9" t="s">
        <v>65</v>
      </c>
      <c r="B26" s="10" t="s">
        <v>34</v>
      </c>
      <c r="C26" s="10" t="s">
        <v>39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  <c r="I26" s="11">
        <v>0</v>
      </c>
      <c r="J26" s="11">
        <v>0</v>
      </c>
      <c r="K26" s="11">
        <v>0</v>
      </c>
    </row>
    <row r="27" spans="1:11" x14ac:dyDescent="0.25">
      <c r="A27" s="12" t="s">
        <v>66</v>
      </c>
      <c r="B27" s="13" t="s">
        <v>34</v>
      </c>
      <c r="C27" s="13" t="s">
        <v>41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  <c r="I27" s="14">
        <v>0</v>
      </c>
      <c r="J27" s="14">
        <v>0</v>
      </c>
      <c r="K27" s="14">
        <v>0</v>
      </c>
    </row>
    <row r="28" spans="1:11" x14ac:dyDescent="0.25">
      <c r="A28" s="9" t="s">
        <v>67</v>
      </c>
      <c r="B28" s="10" t="s">
        <v>43</v>
      </c>
      <c r="C28" s="10" t="s">
        <v>35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  <c r="I28" s="11">
        <v>0</v>
      </c>
      <c r="J28" s="11">
        <v>0</v>
      </c>
      <c r="K28" s="11">
        <v>0</v>
      </c>
    </row>
    <row r="29" spans="1:11" x14ac:dyDescent="0.25">
      <c r="A29" s="12" t="s">
        <v>68</v>
      </c>
      <c r="B29" s="13" t="s">
        <v>43</v>
      </c>
      <c r="C29" s="13" t="s">
        <v>37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  <c r="I29" s="14">
        <v>0</v>
      </c>
      <c r="J29" s="14">
        <v>0</v>
      </c>
      <c r="K29" s="14">
        <v>0</v>
      </c>
    </row>
    <row r="30" spans="1:11" x14ac:dyDescent="0.25">
      <c r="A30" s="9" t="s">
        <v>69</v>
      </c>
      <c r="B30" s="10" t="s">
        <v>43</v>
      </c>
      <c r="C30" s="10" t="s">
        <v>39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  <c r="I30" s="11">
        <v>0</v>
      </c>
      <c r="J30" s="11">
        <v>0</v>
      </c>
      <c r="K30" s="11">
        <v>0</v>
      </c>
    </row>
    <row r="31" spans="1:11" x14ac:dyDescent="0.25">
      <c r="A31" s="12" t="s">
        <v>70</v>
      </c>
      <c r="B31" s="13" t="s">
        <v>43</v>
      </c>
      <c r="C31" s="13" t="s">
        <v>41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  <c r="I31" s="14">
        <v>0</v>
      </c>
      <c r="J31" s="14">
        <v>0</v>
      </c>
      <c r="K31" s="14">
        <v>0</v>
      </c>
    </row>
    <row r="32" spans="1:11" x14ac:dyDescent="0.25">
      <c r="A32" s="9" t="s">
        <v>71</v>
      </c>
      <c r="B32" s="10" t="s">
        <v>48</v>
      </c>
      <c r="C32" s="10" t="s">
        <v>35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  <c r="I32" s="11">
        <v>0</v>
      </c>
      <c r="J32" s="11">
        <v>0</v>
      </c>
      <c r="K32" s="11">
        <v>0</v>
      </c>
    </row>
    <row r="33" spans="1:11" x14ac:dyDescent="0.25">
      <c r="A33" s="12" t="s">
        <v>72</v>
      </c>
      <c r="B33" s="13" t="s">
        <v>48</v>
      </c>
      <c r="C33" s="13" t="s">
        <v>37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  <c r="I33" s="14">
        <v>0</v>
      </c>
      <c r="J33" s="14">
        <v>0</v>
      </c>
      <c r="K33" s="14">
        <v>0</v>
      </c>
    </row>
    <row r="34" spans="1:11" x14ac:dyDescent="0.25">
      <c r="A34" s="9" t="s">
        <v>73</v>
      </c>
      <c r="B34" s="10" t="s">
        <v>48</v>
      </c>
      <c r="C34" s="10" t="s">
        <v>39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  <c r="I34" s="11">
        <v>0</v>
      </c>
      <c r="J34" s="11">
        <v>0</v>
      </c>
      <c r="K34" s="11">
        <v>0</v>
      </c>
    </row>
    <row r="35" spans="1:11" x14ac:dyDescent="0.25">
      <c r="A35" s="12" t="s">
        <v>74</v>
      </c>
      <c r="B35" s="13" t="s">
        <v>48</v>
      </c>
      <c r="C35" s="13" t="s">
        <v>41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  <c r="I35" s="14">
        <v>0</v>
      </c>
      <c r="J35" s="14">
        <v>0</v>
      </c>
      <c r="K35" s="14">
        <v>0</v>
      </c>
    </row>
    <row r="36" spans="1:11" x14ac:dyDescent="0.25">
      <c r="A36" s="9" t="s">
        <v>75</v>
      </c>
      <c r="B36" s="10" t="s">
        <v>53</v>
      </c>
      <c r="C36" s="10" t="s">
        <v>35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  <c r="I36" s="11">
        <v>0</v>
      </c>
      <c r="J36" s="11">
        <v>0</v>
      </c>
      <c r="K36" s="11">
        <v>0</v>
      </c>
    </row>
    <row r="37" spans="1:11" x14ac:dyDescent="0.25">
      <c r="A37" s="12" t="s">
        <v>76</v>
      </c>
      <c r="B37" s="13" t="s">
        <v>53</v>
      </c>
      <c r="C37" s="13" t="s">
        <v>37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  <c r="I37" s="14">
        <v>0</v>
      </c>
      <c r="J37" s="14">
        <v>0</v>
      </c>
      <c r="K37" s="14">
        <v>0</v>
      </c>
    </row>
    <row r="38" spans="1:11" x14ac:dyDescent="0.25">
      <c r="A38" s="9" t="s">
        <v>77</v>
      </c>
      <c r="B38" s="10" t="s">
        <v>53</v>
      </c>
      <c r="C38" s="10" t="s">
        <v>39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  <c r="I38" s="11">
        <v>0</v>
      </c>
      <c r="J38" s="11">
        <v>0</v>
      </c>
      <c r="K38" s="11">
        <v>0</v>
      </c>
    </row>
    <row r="39" spans="1:11" x14ac:dyDescent="0.25">
      <c r="A39" s="12" t="s">
        <v>78</v>
      </c>
      <c r="B39" s="13" t="s">
        <v>53</v>
      </c>
      <c r="C39" s="13" t="s">
        <v>41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  <c r="I39" s="14">
        <v>0</v>
      </c>
      <c r="J39" s="14">
        <v>0</v>
      </c>
      <c r="K39" s="14">
        <v>0</v>
      </c>
    </row>
    <row r="40" spans="1:11" x14ac:dyDescent="0.25">
      <c r="A40" s="9" t="s">
        <v>79</v>
      </c>
      <c r="B40" s="10" t="s">
        <v>58</v>
      </c>
      <c r="C40" s="10" t="s">
        <v>35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  <c r="I40" s="11">
        <v>0</v>
      </c>
      <c r="J40" s="11">
        <v>0</v>
      </c>
      <c r="K40" s="11">
        <v>0</v>
      </c>
    </row>
    <row r="41" spans="1:11" x14ac:dyDescent="0.25">
      <c r="A41" s="12" t="s">
        <v>80</v>
      </c>
      <c r="B41" s="13" t="s">
        <v>58</v>
      </c>
      <c r="C41" s="13" t="s">
        <v>37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  <c r="I41" s="14">
        <v>0</v>
      </c>
      <c r="J41" s="14">
        <v>0</v>
      </c>
      <c r="K41" s="14">
        <v>0</v>
      </c>
    </row>
    <row r="42" spans="1:11" x14ac:dyDescent="0.25">
      <c r="A42" s="9" t="s">
        <v>81</v>
      </c>
      <c r="B42" s="10" t="s">
        <v>58</v>
      </c>
      <c r="C42" s="10" t="s">
        <v>39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  <c r="I42" s="11">
        <v>0</v>
      </c>
      <c r="J42" s="11">
        <v>0</v>
      </c>
      <c r="K42" s="11">
        <v>0</v>
      </c>
    </row>
    <row r="43" spans="1:11" x14ac:dyDescent="0.25">
      <c r="A43" s="12" t="s">
        <v>82</v>
      </c>
      <c r="B43" s="13" t="s">
        <v>58</v>
      </c>
      <c r="C43" s="13" t="s">
        <v>41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  <c r="I43" s="14">
        <v>0</v>
      </c>
      <c r="J43" s="14">
        <v>0</v>
      </c>
      <c r="K43" s="14">
        <v>0</v>
      </c>
    </row>
    <row r="45" spans="1:11" x14ac:dyDescent="0.25">
      <c r="A45" s="6" t="s">
        <v>83</v>
      </c>
      <c r="B45" s="6"/>
      <c r="C45" s="6"/>
      <c r="D45" s="6"/>
      <c r="E45" s="6"/>
      <c r="F45" s="6"/>
      <c r="G45" s="6"/>
      <c r="H45" s="6"/>
      <c r="I45" s="6"/>
      <c r="J45" s="6"/>
      <c r="K45" s="6"/>
    </row>
    <row r="46" spans="1:11" x14ac:dyDescent="0.25">
      <c r="A46" s="6" t="s">
        <v>84</v>
      </c>
      <c r="B46" s="6"/>
      <c r="C46" s="6"/>
      <c r="D46" s="6"/>
      <c r="E46" s="6"/>
      <c r="F46" s="6"/>
      <c r="G46" s="6"/>
      <c r="H46" s="6"/>
      <c r="I46" s="6"/>
      <c r="J46" s="6"/>
      <c r="K46" s="6"/>
    </row>
    <row r="47" spans="1:11" x14ac:dyDescent="0.25">
      <c r="A47" s="6" t="s">
        <v>85</v>
      </c>
      <c r="B47" s="6"/>
      <c r="C47" s="6"/>
      <c r="D47" s="6"/>
      <c r="E47" s="6"/>
      <c r="F47" s="6"/>
      <c r="G47" s="6"/>
      <c r="H47" s="6"/>
      <c r="I47" s="6"/>
      <c r="J47" s="6"/>
      <c r="K47" s="6"/>
    </row>
  </sheetData>
  <mergeCells count="5">
    <mergeCell ref="A1:K1"/>
    <mergeCell ref="A23:K23"/>
    <mergeCell ref="A45:K45"/>
    <mergeCell ref="A46:K46"/>
    <mergeCell ref="A47:K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86</v>
      </c>
      <c r="B1" s="16"/>
    </row>
    <row r="2" spans="1:2" x14ac:dyDescent="0.25">
      <c r="A2" s="17" t="s">
        <v>87</v>
      </c>
      <c r="B2" s="17"/>
    </row>
    <row r="4" spans="1:2" x14ac:dyDescent="0.25">
      <c r="A4" s="4" t="s">
        <v>88</v>
      </c>
      <c r="B4" s="4"/>
    </row>
    <row r="5" spans="1:4" x14ac:dyDescent="0.25">
      <c r="A5" s="18" t="s">
        <v>23</v>
      </c>
      <c r="B5" s="19" t="s">
        <v>43</v>
      </c>
      <c r="D5">
        <f>MATCH(B7,'Escala 2026'!$D$2:$K$2,0)</f>
      </c>
    </row>
    <row r="6" spans="1:4" x14ac:dyDescent="0.25">
      <c r="A6" s="18" t="s">
        <v>24</v>
      </c>
      <c r="B6" s="19" t="s">
        <v>35</v>
      </c>
      <c r="D6">
        <f>CONCATENATE("J|",B5,"|",B6)</f>
      </c>
    </row>
    <row r="7" spans="1:4" x14ac:dyDescent="0.25">
      <c r="A7" s="18" t="s">
        <v>89</v>
      </c>
      <c r="B7" s="19" t="s">
        <v>32</v>
      </c>
      <c r="D7">
        <f>INDEX('Escala 2026'!$D$3:$K$22,MATCH(D6,'Escala 2026'!$A$3:$A$22,0),D5)</f>
      </c>
    </row>
    <row r="8" spans="1:4" x14ac:dyDescent="0.25">
      <c r="A8" s="18" t="s">
        <v>90</v>
      </c>
      <c r="B8" s="20">
        <v>190.67</v>
      </c>
      <c r="D8">
        <f>CONCATENATE("S|",B5,"|",B6)</f>
      </c>
    </row>
    <row r="9" spans="1:4" x14ac:dyDescent="0.25">
      <c r="A9" s="18" t="s">
        <v>91</v>
      </c>
      <c r="B9" s="19" t="s">
        <v>92</v>
      </c>
      <c r="D9">
        <f>INDEX('Escala 2026'!$D$24:$K$43,MATCH(D8,'Escala 2026'!$A$24:$A$43,0),D5)</f>
      </c>
    </row>
    <row r="10" spans="1:4" x14ac:dyDescent="0.25">
      <c r="A10" s="18" t="s">
        <v>93</v>
      </c>
      <c r="B10" s="19" t="s">
        <v>92</v>
      </c>
      <c r="D10">
        <f>IF(B5="Sereno",1,0)</f>
      </c>
    </row>
    <row r="11" ht="6" customHeight="1" x14ac:dyDescent="0.25"/>
    <row r="12" spans="1:2" x14ac:dyDescent="0.25">
      <c r="A12" s="4" t="s">
        <v>94</v>
      </c>
      <c r="B12" s="4"/>
    </row>
    <row r="13" spans="1:2" x14ac:dyDescent="0.25">
      <c r="A13" s="21" t="s">
        <v>95</v>
      </c>
      <c r="B13" s="22">
        <f>IF(D10=1,"—",D7)</f>
      </c>
    </row>
    <row r="14" spans="1:2" x14ac:dyDescent="0.25">
      <c r="A14" s="21" t="s">
        <v>96</v>
      </c>
      <c r="B14" s="23">
        <f>IF(D10=1,"—",B8)</f>
      </c>
    </row>
    <row r="15" spans="1:2" x14ac:dyDescent="0.25">
      <c r="A15" s="21" t="s">
        <v>97</v>
      </c>
      <c r="B15" s="22">
        <f>IF(D10=1,D7,D7*B8)</f>
      </c>
    </row>
    <row r="16" spans="1:2" x14ac:dyDescent="0.25">
      <c r="A16" s="21" t="s">
        <v>98</v>
      </c>
      <c r="B16" s="22">
        <f>IF(B9="Sí",B15*0.2,0)</f>
      </c>
    </row>
    <row r="17" spans="1:2" x14ac:dyDescent="0.25">
      <c r="A17" s="21" t="s">
        <v>99</v>
      </c>
      <c r="B17" s="22">
        <f>B15+B16</f>
      </c>
    </row>
    <row r="18" spans="1:2" x14ac:dyDescent="0.25">
      <c r="A18" s="21" t="s">
        <v>100</v>
      </c>
      <c r="B18" s="22">
        <f>D9</f>
      </c>
    </row>
    <row r="19" spans="1:2" x14ac:dyDescent="0.25">
      <c r="A19" s="24" t="s">
        <v>101</v>
      </c>
      <c r="B19" s="25">
        <f>B17+B18</f>
      </c>
    </row>
    <row r="20" spans="1:2" x14ac:dyDescent="0.25">
      <c r="A20" s="21" t="s">
        <v>102</v>
      </c>
      <c r="B20" s="22">
        <f>-(B17*(0.17+IF(B10="Sí",0.02,0))+B18*0.03)</f>
      </c>
    </row>
    <row r="21" spans="1:2" x14ac:dyDescent="0.25">
      <c r="A21" s="24" t="s">
        <v>103</v>
      </c>
      <c r="B21" s="25">
        <f>B19+B20</f>
      </c>
    </row>
    <row r="22" ht="6" customHeight="1" x14ac:dyDescent="0.25"/>
    <row r="23" spans="1:2" x14ac:dyDescent="0.25">
      <c r="A23" s="4" t="s">
        <v>104</v>
      </c>
      <c r="B23" s="4"/>
    </row>
    <row r="24" spans="1:2" x14ac:dyDescent="0.25">
      <c r="A24" s="21" t="s">
        <v>105</v>
      </c>
      <c r="B24" s="22">
        <f>B17*0.12</f>
      </c>
    </row>
    <row r="25" spans="1:2" x14ac:dyDescent="0.25">
      <c r="A25" s="21" t="s">
        <v>106</v>
      </c>
      <c r="B25" s="22">
        <f>B17*0.08</f>
      </c>
    </row>
    <row r="27" spans="1:2" x14ac:dyDescent="0.25">
      <c r="A27" s="6" t="s">
        <v>107</v>
      </c>
      <c r="B27" s="6"/>
    </row>
    <row r="28" spans="1:2" x14ac:dyDescent="0.25">
      <c r="A28" s="6" t="s">
        <v>108</v>
      </c>
      <c r="B28" s="6"/>
    </row>
    <row r="29" spans="1:2" x14ac:dyDescent="0.25">
      <c r="A29" s="6" t="s">
        <v>109</v>
      </c>
      <c r="B29" s="6"/>
    </row>
    <row r="30" spans="1:2" x14ac:dyDescent="0.25">
      <c r="A30" s="6" t="s">
        <v>110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2026,Septiembre 2026,Octubre 2026,Noviembre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111</v>
      </c>
      <c r="B1" s="26"/>
    </row>
    <row r="2" ht="30" customHeight="1" spans="1:2" x14ac:dyDescent="0.25">
      <c r="A2" s="27" t="s">
        <v>112</v>
      </c>
      <c r="B2" s="27"/>
    </row>
    <row r="4" spans="1:2" x14ac:dyDescent="0.25">
      <c r="A4" s="28" t="s">
        <v>113</v>
      </c>
      <c r="B4" s="28" t="s">
        <v>114</v>
      </c>
    </row>
    <row r="5" ht="32" customHeight="1" spans="1:2" x14ac:dyDescent="0.25">
      <c r="A5" s="29" t="s">
        <v>115</v>
      </c>
      <c r="B5" s="30" t="s">
        <v>116</v>
      </c>
    </row>
    <row r="6" ht="32" customHeight="1" spans="1:2" x14ac:dyDescent="0.25">
      <c r="A6" s="31" t="s">
        <v>117</v>
      </c>
      <c r="B6" s="32" t="s">
        <v>118</v>
      </c>
    </row>
    <row r="7" ht="32" customHeight="1" spans="1:2" x14ac:dyDescent="0.25">
      <c r="A7" s="29" t="s">
        <v>119</v>
      </c>
      <c r="B7" s="30" t="s">
        <v>120</v>
      </c>
    </row>
    <row r="8" ht="32" customHeight="1" spans="1:2" x14ac:dyDescent="0.25">
      <c r="A8" s="31" t="s">
        <v>121</v>
      </c>
      <c r="B8" s="32" t="s">
        <v>122</v>
      </c>
    </row>
    <row r="9" ht="32" customHeight="1" spans="1:2" x14ac:dyDescent="0.25">
      <c r="A9" s="29" t="s">
        <v>123</v>
      </c>
      <c r="B9" s="30" t="s">
        <v>124</v>
      </c>
    </row>
    <row r="10" ht="32" customHeight="1" spans="1:2" x14ac:dyDescent="0.25">
      <c r="A10" s="31" t="s">
        <v>125</v>
      </c>
      <c r="B10" s="32" t="s">
        <v>126</v>
      </c>
    </row>
    <row r="12" spans="1:1" x14ac:dyDescent="0.25">
      <c r="A12" s="33" t="s">
        <v>127</v>
      </c>
    </row>
    <row r="13" spans="1:2" x14ac:dyDescent="0.25">
      <c r="A13" s="6" t="s">
        <v>128</v>
      </c>
      <c r="B13" s="6"/>
    </row>
    <row r="14" spans="1:2" x14ac:dyDescent="0.25">
      <c r="A14" s="6" t="s">
        <v>129</v>
      </c>
      <c r="B14" s="6"/>
    </row>
    <row r="16" spans="1:2" x14ac:dyDescent="0.25">
      <c r="A16" s="6" t="s">
        <v>130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2026-10-10T01:16:07Z</dcterms:created>
  <dcterms:modified xsi:type="dcterms:W3CDTF">2026-10-10T01:16:07Z</dcterms:modified>
</cp:coreProperties>
</file>