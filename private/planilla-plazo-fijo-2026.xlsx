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1"/>
  </bookViews>
  <sheets>
    <sheet sheetId="1" name="Cómo usarla" state="visible" r:id="rId4"/>
    <sheet sheetId="2" name="Mis plazos fijos" state="visible" r:id="rId5"/>
    <sheet sheetId="3" name="Calendario" state="visible" r:id="rId6"/>
    <sheet sheetId="4" name="Renovación" state="visible" r:id="rId7"/>
    <sheet sheetId="5" name="Tradicional vs UVA" state="visible" r:id="rId8"/>
    <sheet sheetId="6" name="Escalera" state="visible" r:id="rId9"/>
    <sheet sheetId="7" name="Resumen del año" state="visible" r:id="rId10"/>
    <sheet sheetId="8" name="IPC" state="visible" r:id="rId11"/>
    <sheet sheetId="9" name="Fuentes" state="visible" r:id="rId12"/>
  </sheets>
  <calcPr calcId="171027"/>
</workbook>
</file>

<file path=xl/sharedStrings.xml><?xml version="1.0" encoding="utf-8"?>
<sst xmlns="http://schemas.openxmlformats.org/spreadsheetml/2006/main" count="477" uniqueCount="342">
  <si>
    <t>Cómo usar la planilla de plazos fijos</t>
  </si>
  <si>
    <t>1</t>
  </si>
  <si>
    <t>En «Mis plazos fijos» reemplazá las filas de ejemplo con tus plazos fijos: banco, fecha en que lo armaste, capital, TNA y días. Entran 24, de todos los bancos que uses.</t>
  </si>
  <si>
    <t>2</t>
  </si>
  <si>
    <t>Cada fila te dice cuándo vence, cuánto cobrás, la TEA y si le ganó a la inflación. Cuando el INDEC ya publicó los meses del plazo, usa el IPC oficial; si no, la inflación que estimás en la celda B5.</t>
  </si>
  <si>
    <t>3</t>
  </si>
  <si>
    <t>«Calendario» ordena los vigentes por fecha y te dice cuánto se acredita cada mes de los próximos doce.</t>
  </si>
  <si>
    <t>4</t>
  </si>
  <si>
    <t>«Renovación», «Tradicional vs UVA» y «Escalera» son simuladores: probá renovar todo un año, comparar con un UVA al mismo plazo o partir el capital en escalones.</t>
  </si>
  <si>
    <t>5</t>
  </si>
  <si>
    <t>«Resumen del año» junta lo del año: intereses, ganancia real y la inflación oficial. «IPC» y «Fuentes» muestran de dónde sale cada dato.</t>
  </si>
  <si>
    <t>COLORES</t>
  </si>
  <si>
    <t>Amarillo: lo completás vos.</t>
  </si>
  <si>
    <t>Verde: lo calcula la planilla. Están protegidas para que no se pisen sin querer (Revisar &gt; Desproteger hoja, si alguna vez lo necesitás).</t>
  </si>
  <si>
    <t>LO QUE CONVIENE SABER</t>
  </si>
  <si>
    <t>•  El interés de un plazo fijo tradicional es simple, sobre un año de 365 días: capital × TNA × días ÷ 365. La TEA es lo que rendiría en un año renovando capital + intereses en cada vencimiento.</t>
  </si>
  <si>
    <t>•  La tasa real es la que importa para tu bolsillo: lo que cobrás descontada la inflación del período. Una TNA alta puede tener tasa real negativa si la inflación fue mayor.</t>
  </si>
  <si>
    <t>•  TNA de referencia: el promedio que pagan los bancos por depósitos a 30 días, publicado por el BCRA (22,66% al 16/10/2026). Tu banco puede pagar más o menos: cargá siempre la tuya.</t>
  </si>
  <si>
    <t>•  Plazo fijo UVA (Com. «A» 8246 del BCRA): mínimo 90 días, precancelable desde el día 30 sin el ajuste por inflación.</t>
  </si>
  <si>
    <t>•  Garantía de los depósitos: hasta $ 50.000.000 por persona desde el 1/4/2026 (Com. «A» 8407 del BCRA). La columna «Garantía» de «Mis plazos fijos» te avisa si en un banco te pasás del tope.</t>
  </si>
  <si>
    <t>CÓMO SE MANTIENE AL DÍA</t>
  </si>
  <si>
    <t>•  El enlace de descarga que te llegó por mail no vence y siempre baja la última versión, con el IPC y la TNA de referencia al día. Para pasar tus plazos fijos: copiá las celdas amarillas de «Mis plazos fijos» y pegalas en el mismo lugar del archivo nuevo.</t>
  </si>
  <si>
    <t>•  ¿Preferís no cambiar de archivo? Cuando salga un IPC nuevo, cargá el % del mes en la columna amarilla de la hoja «IPC»: las filas que estaban estimadas pasan solas al dato oficial.</t>
  </si>
  <si>
    <t>Es una herramienta de cálculo y control: no es asesoramiento financiero ni recomienda bancos ni productos. Da los mismos números que la calculadora gratuita de calcular.ar/plazo-fijo; si alguna vez no coinciden, escribinos y lo corregimos.</t>
  </si>
  <si>
    <t>Mis plazos fijos</t>
  </si>
  <si>
    <t>Las dos primeras filas son un ejemplo: reemplazalas con tus plazos fijos. Completás las celdas amarillas (banco, fecha, capital, TNA y días); las verdes se calculan solas.</t>
  </si>
  <si>
    <t>SUPUESTO PARA LO QUE TODAVÍA NO PUBLICÓ EL INDEC</t>
  </si>
  <si>
    <t>Inflación mensual estimada (%)</t>
  </si>
  <si>
    <t>Último dato oficial: 1,7% en agosto 2026 (INDEC). Se usa sólo para los plazos fijos que vencen después del último IPC publicado: cuando salga el dato, la fila pasa sola al IPC del INDEC.</t>
  </si>
  <si>
    <t>Hoy</t>
  </si>
  <si>
    <t>RESUMEN</t>
  </si>
  <si>
    <t>Capital en plazos fijos vigentes</t>
  </si>
  <si>
    <t>Intereses por cobrar de los vigentes</t>
  </si>
  <si>
    <t>Próximo vencimiento</t>
  </si>
  <si>
    <t>Se acredita en los próximos 30 días</t>
  </si>
  <si>
    <t>TUS PLAZOS FIJOS</t>
  </si>
  <si>
    <t>Banco</t>
  </si>
  <si>
    <t>Constituido el</t>
  </si>
  <si>
    <t>Capital</t>
  </si>
  <si>
    <t>TNA (%)</t>
  </si>
  <si>
    <t>Días</t>
  </si>
  <si>
    <t>Vence el</t>
  </si>
  <si>
    <t>Interés</t>
  </si>
  <si>
    <t>Cobrás al vencimiento</t>
  </si>
  <si>
    <t>TEA</t>
  </si>
  <si>
    <t>Inflación del período</t>
  </si>
  <si>
    <t>Inflación según</t>
  </si>
  <si>
    <t>Tasa real</t>
  </si>
  <si>
    <t>¿Le ganó a la inflación?</t>
  </si>
  <si>
    <t>Estado</t>
  </si>
  <si>
    <t>Garantía de los depósitos</t>
  </si>
  <si>
    <t>Banco A (ejemplo)</t>
  </si>
  <si>
    <t>Banco B (ejemplo)</t>
  </si>
  <si>
    <t>Interés = capital × TNA × días ÷ 365, la convención de los bancos argentinos. Tasa real = lo que cobrás descontada la inflación del período: si es positiva, tu plata compra más que el día que la pusiste. «IPC del INDEC»: el INDEC ya publicó todos los meses del plazo fijo (el índice se reparte día por día dentro de cada mes). «Estimada»: falta algún mes y se usa la inflación de la celda B5, igual que la calculadora de calcular.ar.</t>
  </si>
  <si>
    <t>Garantía de los depósitos: hasta $ 50.000.000 por persona, sumando capital e intereses de sus depósitos, desde el 1/4/2026 (Com. «A» 8407 del BCRA). No cubre los plazos fijos pactados a una tasa mayor a la de referencia del BCRA. Si el vencimiento cae en un día no hábil, el banco lo paga el día hábil siguiente.</t>
  </si>
  <si>
    <t>Calendario de vencimientos</t>
  </si>
  <si>
    <t>Se acredita</t>
  </si>
  <si>
    <t>Faltan (días)</t>
  </si>
  <si>
    <t>MES POR MES · LOS PRÓXIMOS 12 MESES</t>
  </si>
  <si>
    <t>Mes</t>
  </si>
  <si>
    <t>Plazos fijos que vencen</t>
  </si>
  <si>
    <t>Simulador de renovación: capital + intereses</t>
  </si>
  <si>
    <t>Qué pasa si al vencer volvés a poner todo (capital + intereses) con la misma TNA. Viene armado para cubrir un año.</t>
  </si>
  <si>
    <t>DATOS</t>
  </si>
  <si>
    <t>TNA promedio de los bancos al 16/10/2026 (BCRA): 22,66%. Poné la de tu banco.</t>
  </si>
  <si>
    <t>Días de cada plazo</t>
  </si>
  <si>
    <t>Renovaciones (veces)</t>
  </si>
  <si>
    <t>30 días renovado 11 veces = 12 plazos, casi un año.</t>
  </si>
  <si>
    <t>EL PRIMER PLAZO</t>
  </si>
  <si>
    <t>Interés del primer plazo</t>
  </si>
  <si>
    <t>Total al vencimiento</t>
  </si>
  <si>
    <t>Tasa del período</t>
  </si>
  <si>
    <t>Tasa efectiva mensual (TEM)</t>
  </si>
  <si>
    <t>Tasa efectiva anual (TEA)</t>
  </si>
  <si>
    <t>RENOVANDO CAPITAL + INTERESES</t>
  </si>
  <si>
    <t>Días en total</t>
  </si>
  <si>
    <t>Terminás con</t>
  </si>
  <si>
    <t>Interés total</t>
  </si>
  <si>
    <t>Rendimiento total</t>
  </si>
  <si>
    <t>Inflación estimada del período</t>
  </si>
  <si>
    <t>En plata de hoy</t>
  </si>
  <si>
    <t>Resultado real</t>
  </si>
  <si>
    <t>Qué dice la cuenta</t>
  </si>
  <si>
    <t>RENOVACIÓN POR RENOVACIÓN</t>
  </si>
  <si>
    <t>Plazo</t>
  </si>
  <si>
    <t>Vence el día</t>
  </si>
  <si>
    <t>Interés del período</t>
  </si>
  <si>
    <t>Acumulado</t>
  </si>
  <si>
    <t>Supone que la TNA se mantiene en cada renovación, algo que nadie puede asegurar: cambiala y mirá cómo cambia el resultado. Es la misma cuenta que la calculadora de calcular.ar/plazo-fijo.</t>
  </si>
  <si>
    <t>Plazo fijo tradicional vs UVA, al mismo plazo</t>
  </si>
  <si>
    <t>El UVA ajusta el capital por inflación y suma una tasa chica; el tradicional paga una TNA fija. Esta hoja te muestra con cuánto terminás en cada uno y qué inflación los empata. No elige por vos.</t>
  </si>
  <si>
    <t>Días de cada plazo tradicional</t>
  </si>
  <si>
    <t>Renovaciones del tradicional (veces)</t>
  </si>
  <si>
    <t>El UVA se compara contra el tradicional renovado hasta el mismo plazo total.</t>
  </si>
  <si>
    <t>TNA del tradicional (%)</t>
  </si>
  <si>
    <t>Tasa adicional del UVA (TNA %)</t>
  </si>
  <si>
    <t>La fija cada banco: fijate la del tuyo el día que lo armes.</t>
  </si>
  <si>
    <t>AL MISMO PLAZO</t>
  </si>
  <si>
    <t>Plazo que se compara (días)</t>
  </si>
  <si>
    <t>Tradicional renovado: terminás con</t>
  </si>
  <si>
    <t>UVA: terminás con</t>
  </si>
  <si>
    <t>Diferencia (UVA − tradicional)</t>
  </si>
  <si>
    <t>Inflación mensual que los empata</t>
  </si>
  <si>
    <t>Cómo se lee</t>
  </si>
  <si>
    <t>Regla del BCRA (Com. «A» 8246, vigente desde el 2/6/2025): el plazo fijo UVA de personas humanas es de 90 días como mínimo y se puede precancelar desde el día 30, a una tasa fija y sin el ajuste por inflación. Acá el UVA se calcula con la inflación que estimaste; en la realidad ajusta por UVA (CER), que sigue al IPC con unas semanas de atraso.</t>
  </si>
  <si>
    <t>Escalera de plazos fijos</t>
  </si>
  <si>
    <t>Partís el capital en varios plazos fijos que vencen uno detrás de otro: así tenés plata disponible seguido sin cortar ninguno antes de tiempo.</t>
  </si>
  <si>
    <t>Capital total</t>
  </si>
  <si>
    <t>Cantidad de escalones</t>
  </si>
  <si>
    <t>Vence uno cada (días)</t>
  </si>
  <si>
    <t>Fecha en que los armás</t>
  </si>
  <si>
    <t>Si tu banco paga otra TNA a plazos más largos, cargala escalón por escalón en la columna amarilla de abajo.</t>
  </si>
  <si>
    <t>Cada escalón</t>
  </si>
  <si>
    <t>Interés de la primera vuelta</t>
  </si>
  <si>
    <t>Cómo sigue</t>
  </si>
  <si>
    <t>Escalón</t>
  </si>
  <si>
    <t>Plazo (días)</t>
  </si>
  <si>
    <t>TNA de este plazo (opcional)</t>
  </si>
  <si>
    <t>TNA que se usa</t>
  </si>
  <si>
    <t>Cobrás</t>
  </si>
  <si>
    <t>Al vencer, renovalo a (días)</t>
  </si>
  <si>
    <t>Cuando armes cada plazo fijo de la escalera, cargalo también en «Mis plazos fijos»: así entra al calendario y al resumen del año.</t>
  </si>
  <si>
    <t>Resumen del año</t>
  </si>
  <si>
    <t>Junta los plazos fijos de «Mis plazos fijos» que vencen en el año que elijas.</t>
  </si>
  <si>
    <t>Año</t>
  </si>
  <si>
    <t>TUS PLAZOS FIJOS QUE VENCEN EN EL AÑO</t>
  </si>
  <si>
    <t>Cantidad</t>
  </si>
  <si>
    <t>Capital que pusiste</t>
  </si>
  <si>
    <t>Intereses (cobrados y por cobrar)</t>
  </si>
  <si>
    <t>Intereses ya cobrados al día de hoy</t>
  </si>
  <si>
    <t>Ganancia real, en pesos del día en que los armaste</t>
  </si>
  <si>
    <t>Lo que cobrás descontada la inflación de cada plazo. Si da negativo, la inflación se comió más que los intereses.</t>
  </si>
  <si>
    <t>LA INFLACIÓN DEL AÑO (IPC DEL INDEC)</t>
  </si>
  <si>
    <t>Inflación acumulada del año</t>
  </si>
  <si>
    <t>Con datos hasta</t>
  </si>
  <si>
    <t>IMPUESTOS · LO QUE DICE LA LEY (DATO, NO CONSEJO)</t>
  </si>
  <si>
    <t>Ganancias: los intereses de plazos fijos de personas humanas están exentos (Ley de Impuesto a las Ganancias, t.o. 2019, art. 26 inc. h; texto según la Ley 27.802, B.O. 6/3/2026).</t>
  </si>
  <si>
    <t>Bienes Personales: los depósitos a plazo fijo están exentos (Ley 23.966, art. 21 inc. h). Si tenés dudas sobre tu situación, consultalo con tu contador.</t>
  </si>
  <si>
    <t>IPC Nacional del INDEC — nivel general (base diciembre 2016 = 100)</t>
  </si>
  <si>
    <t>Serie oficial descargada el 15/10/2026 de la API de series de tiempo del Estado (datos.gob.ar). Último dato: agosto de 2026. Si ya salió un mes que acá no está, cargá su % en la columna amarilla.</t>
  </si>
  <si>
    <t>Período</t>
  </si>
  <si>
    <t>Índice</t>
  </si>
  <si>
    <t>Variación del mes</t>
  </si>
  <si>
    <t>¿Salió y no está? Cargá el % del mes</t>
  </si>
  <si>
    <t>Origen</t>
  </si>
  <si>
    <t>diciembre de 2016</t>
  </si>
  <si>
    <t>INDEC</t>
  </si>
  <si>
    <t>enero</t>
  </si>
  <si>
    <t>enero de 2017</t>
  </si>
  <si>
    <t>febrero</t>
  </si>
  <si>
    <t>febrero de 2017</t>
  </si>
  <si>
    <t>marzo</t>
  </si>
  <si>
    <t>marzo de 2017</t>
  </si>
  <si>
    <t>abril</t>
  </si>
  <si>
    <t>abril de 2017</t>
  </si>
  <si>
    <t>mayo</t>
  </si>
  <si>
    <t>mayo de 2017</t>
  </si>
  <si>
    <t>junio</t>
  </si>
  <si>
    <t>junio de 2017</t>
  </si>
  <si>
    <t>julio</t>
  </si>
  <si>
    <t>julio de 2017</t>
  </si>
  <si>
    <t>agosto</t>
  </si>
  <si>
    <t>agosto de 2017</t>
  </si>
  <si>
    <t>septiembre</t>
  </si>
  <si>
    <t>septiembre de 2017</t>
  </si>
  <si>
    <t>octubre</t>
  </si>
  <si>
    <t>octubre de 2017</t>
  </si>
  <si>
    <t>noviembre</t>
  </si>
  <si>
    <t>noviembre de 2017</t>
  </si>
  <si>
    <t>diciembre</t>
  </si>
  <si>
    <t>diciembre de 2017</t>
  </si>
  <si>
    <t>enero de 2018</t>
  </si>
  <si>
    <t>febrero de 2018</t>
  </si>
  <si>
    <t>marzo de 2018</t>
  </si>
  <si>
    <t>abril de 2018</t>
  </si>
  <si>
    <t>mayo de 2018</t>
  </si>
  <si>
    <t>junio de 2018</t>
  </si>
  <si>
    <t>julio de 2018</t>
  </si>
  <si>
    <t>agosto de 2018</t>
  </si>
  <si>
    <t>septiembre de 2018</t>
  </si>
  <si>
    <t>octubre de 2018</t>
  </si>
  <si>
    <t>noviembre de 2018</t>
  </si>
  <si>
    <t>diciembre de 2018</t>
  </si>
  <si>
    <t>enero de 2019</t>
  </si>
  <si>
    <t>febrero de 2019</t>
  </si>
  <si>
    <t>marzo de 2019</t>
  </si>
  <si>
    <t>abril de 2019</t>
  </si>
  <si>
    <t>mayo de 2019</t>
  </si>
  <si>
    <t>junio de 2019</t>
  </si>
  <si>
    <t>julio de 2019</t>
  </si>
  <si>
    <t>agosto de 2019</t>
  </si>
  <si>
    <t>septiembre de 2019</t>
  </si>
  <si>
    <t>octubre de 2019</t>
  </si>
  <si>
    <t>noviembre de 2019</t>
  </si>
  <si>
    <t>diciembre de 2019</t>
  </si>
  <si>
    <t>enero de 2020</t>
  </si>
  <si>
    <t>febrero de 2020</t>
  </si>
  <si>
    <t>marzo de 2020</t>
  </si>
  <si>
    <t>abril de 2020</t>
  </si>
  <si>
    <t>mayo de 2020</t>
  </si>
  <si>
    <t>junio de 2020</t>
  </si>
  <si>
    <t>julio de 2020</t>
  </si>
  <si>
    <t>agosto de 2020</t>
  </si>
  <si>
    <t>septiembre de 2020</t>
  </si>
  <si>
    <t>octubre de 2020</t>
  </si>
  <si>
    <t>noviembre de 2020</t>
  </si>
  <si>
    <t>diciembre de 2020</t>
  </si>
  <si>
    <t>enero de 2021</t>
  </si>
  <si>
    <t>febrero de 2021</t>
  </si>
  <si>
    <t>marzo de 2021</t>
  </si>
  <si>
    <t>abril de 2021</t>
  </si>
  <si>
    <t>mayo de 2021</t>
  </si>
  <si>
    <t>junio de 2021</t>
  </si>
  <si>
    <t>julio de 2021</t>
  </si>
  <si>
    <t>agosto de 2021</t>
  </si>
  <si>
    <t>septiembre de 2021</t>
  </si>
  <si>
    <t>octubre de 2021</t>
  </si>
  <si>
    <t>noviembre de 2021</t>
  </si>
  <si>
    <t>diciembre de 2021</t>
  </si>
  <si>
    <t>enero de 2022</t>
  </si>
  <si>
    <t>febrero de 2022</t>
  </si>
  <si>
    <t>marzo de 2022</t>
  </si>
  <si>
    <t>abril de 2022</t>
  </si>
  <si>
    <t>mayo de 2022</t>
  </si>
  <si>
    <t>junio de 2022</t>
  </si>
  <si>
    <t>julio de 2022</t>
  </si>
  <si>
    <t>agosto de 2022</t>
  </si>
  <si>
    <t>septiembre de 2022</t>
  </si>
  <si>
    <t>octubre de 2022</t>
  </si>
  <si>
    <t>noviembre de 2022</t>
  </si>
  <si>
    <t>diciembre de 2022</t>
  </si>
  <si>
    <t>enero de 2023</t>
  </si>
  <si>
    <t>febrero de 2023</t>
  </si>
  <si>
    <t>marzo de 2023</t>
  </si>
  <si>
    <t>abril de 2023</t>
  </si>
  <si>
    <t>mayo de 2023</t>
  </si>
  <si>
    <t>junio de 2023</t>
  </si>
  <si>
    <t>julio de 2023</t>
  </si>
  <si>
    <t>agosto de 2023</t>
  </si>
  <si>
    <t>septiembre de 2023</t>
  </si>
  <si>
    <t>octubre de 2023</t>
  </si>
  <si>
    <t>noviembre de 2023</t>
  </si>
  <si>
    <t>diciembre de 2023</t>
  </si>
  <si>
    <t>enero de 2024</t>
  </si>
  <si>
    <t>febrero de 2024</t>
  </si>
  <si>
    <t>marzo de 2024</t>
  </si>
  <si>
    <t>abril de 2024</t>
  </si>
  <si>
    <t>mayo de 2024</t>
  </si>
  <si>
    <t>junio de 2024</t>
  </si>
  <si>
    <t>julio de 2024</t>
  </si>
  <si>
    <t>agosto de 2024</t>
  </si>
  <si>
    <t>septiembre de 2024</t>
  </si>
  <si>
    <t>octubre de 2024</t>
  </si>
  <si>
    <t>noviembre de 2024</t>
  </si>
  <si>
    <t>diciembre de 2024</t>
  </si>
  <si>
    <t>enero de 2025</t>
  </si>
  <si>
    <t>febrero de 2025</t>
  </si>
  <si>
    <t>marzo de 2025</t>
  </si>
  <si>
    <t>abril de 2025</t>
  </si>
  <si>
    <t>mayo de 2025</t>
  </si>
  <si>
    <t>junio de 2025</t>
  </si>
  <si>
    <t>julio de 2025</t>
  </si>
  <si>
    <t>agosto de 2025</t>
  </si>
  <si>
    <t>septiembre de 2025</t>
  </si>
  <si>
    <t>octubre de 2025</t>
  </si>
  <si>
    <t>noviembre de 2025</t>
  </si>
  <si>
    <t>diciembre de 2025</t>
  </si>
  <si>
    <t>enero de 2026</t>
  </si>
  <si>
    <t>febrero de 2026</t>
  </si>
  <si>
    <t>marzo de 2026</t>
  </si>
  <si>
    <t>abril de 2026</t>
  </si>
  <si>
    <t>mayo de 2026</t>
  </si>
  <si>
    <t>junio de 2026</t>
  </si>
  <si>
    <t>julio de 2026</t>
  </si>
  <si>
    <t>agosto de 2026</t>
  </si>
  <si>
    <t>septiembre de 2026</t>
  </si>
  <si>
    <t>octubre de 2026</t>
  </si>
  <si>
    <t>noviembre de 2026</t>
  </si>
  <si>
    <t>diciembre de 2026</t>
  </si>
  <si>
    <t>enero de 2027</t>
  </si>
  <si>
    <t>febrero de 2027</t>
  </si>
  <si>
    <t>marzo de 2027</t>
  </si>
  <si>
    <t>abril de 2027</t>
  </si>
  <si>
    <t>mayo de 2027</t>
  </si>
  <si>
    <t>junio de 2027</t>
  </si>
  <si>
    <t>julio de 2027</t>
  </si>
  <si>
    <t>agosto de 2027</t>
  </si>
  <si>
    <t>septiembre de 2027</t>
  </si>
  <si>
    <t>octubre de 2027</t>
  </si>
  <si>
    <t>noviembre de 2027</t>
  </si>
  <si>
    <t>diciembre de 2027</t>
  </si>
  <si>
    <t>enero de 2028</t>
  </si>
  <si>
    <t>febrero de 2028</t>
  </si>
  <si>
    <t>marzo de 2028</t>
  </si>
  <si>
    <t>abril de 2028</t>
  </si>
  <si>
    <t>mayo de 2028</t>
  </si>
  <si>
    <t>junio de 2028</t>
  </si>
  <si>
    <t>julio de 2028</t>
  </si>
  <si>
    <t>agosto de 2028</t>
  </si>
  <si>
    <t>septiembre de 2028</t>
  </si>
  <si>
    <t>octubre de 2028</t>
  </si>
  <si>
    <t>noviembre de 2028</t>
  </si>
  <si>
    <t>diciembre de 2028</t>
  </si>
  <si>
    <t>enero de 2029</t>
  </si>
  <si>
    <t>febrero de 2029</t>
  </si>
  <si>
    <t>marzo de 2029</t>
  </si>
  <si>
    <t>abril de 2029</t>
  </si>
  <si>
    <t>mayo de 2029</t>
  </si>
  <si>
    <t>junio de 2029</t>
  </si>
  <si>
    <t>julio de 2029</t>
  </si>
  <si>
    <t>agosto de 2029</t>
  </si>
  <si>
    <t>septiembre de 2029</t>
  </si>
  <si>
    <t>octubre de 2029</t>
  </si>
  <si>
    <t>noviembre de 2029</t>
  </si>
  <si>
    <t>diciembre de 2029</t>
  </si>
  <si>
    <t>enero de 2030</t>
  </si>
  <si>
    <t>febrero de 2030</t>
  </si>
  <si>
    <t>marzo de 2030</t>
  </si>
  <si>
    <t>abril de 2030</t>
  </si>
  <si>
    <t>mayo de 2030</t>
  </si>
  <si>
    <t>junio de 2030</t>
  </si>
  <si>
    <t>julio de 2030</t>
  </si>
  <si>
    <t>agosto de 2030</t>
  </si>
  <si>
    <t>septiembre de 2030</t>
  </si>
  <si>
    <t>octubre de 2030</t>
  </si>
  <si>
    <t>noviembre de 2030</t>
  </si>
  <si>
    <t>diciembre de 2030</t>
  </si>
  <si>
    <t>Fuentes oficiales</t>
  </si>
  <si>
    <t>Todos los datos de esta planilla se verificaron el 30 de julio de 2026 contra los documentos oficiales de abajo. Ningún blog, ningún resumen de terceros.</t>
  </si>
  <si>
    <t>Documento</t>
  </si>
  <si>
    <t>Link</t>
  </si>
  <si>
    <t>BCRA: Estadísticas monetarias, tasa de depósitos a 30 días (serie 12)</t>
  </si>
  <si>
    <t>https://api.bcra.gob.ar/estadisticas/v4.0/monetarias/12</t>
  </si>
  <si>
    <t>BCRA: Comunicación «A» 8246/2025 (plazo fijo UVA: mínimo 90 días)</t>
  </si>
  <si>
    <t>https://www.bcra.gob.ar/Pdfs/comytexord/A8246.pdf</t>
  </si>
  <si>
    <t>BCRA: Comunicación «A» 8407 (garantía de los depósitos: $50.000.000)</t>
  </si>
  <si>
    <t>https://www.bcra.gob.ar/archivos/Pdfs/comytexord/A8407.pdf</t>
  </si>
  <si>
    <t>INDEC: IPC Nacional, nivel general (API oficial de series de tiempo)</t>
  </si>
  <si>
    <t>https://datos.gob.ar/series/api/series/?ids=148.3_INIVELNAL_DICI_M_26&amp;format=json</t>
  </si>
  <si>
    <t>Ley de Impuesto a las Ganancias t.o. 2019, art. 26 inc. h (Infoleg)</t>
  </si>
  <si>
    <t>https://servicios.infoleg.gob.ar/infolegInternet/anexos/330000-334999/332890/texact.htm</t>
  </si>
  <si>
    <t>Planilla de calcular.ar. Serie del IPC descargada el 15/10/2026; TNA de referencia del BCRA al 16/10/2026. Cada vez que el INDEC publica un IPC nuevo regeneramos el archivo: el mismo enlace de descarga te baja la versión al día, sin costo.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</si>
</sst>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"/>
    <numFmt numFmtId="165" formatCode="&quot;$&quot;#,##0"/>
    <numFmt numFmtId="166" formatCode="#,##0.0000"/>
    <numFmt numFmtId="167" formatCode="0.0%"/>
    <numFmt numFmtId="168" formatCode="0.0"/>
  </numFmts>
  <fonts count="11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b/>
      <color rgb="FFFFFFFF"/>
      <sz val="11"/>
    </font>
    <font>
      <i/>
      <color rgb="FF777777"/>
      <sz val="9"/>
    </font>
    <font>
      <i/>
      <color rgb="FF555555"/>
      <sz val="10"/>
    </font>
    <font>
      <b/>
    </font>
    <font>
      <color rgb="FF777777"/>
      <sz val="9"/>
    </font>
    <font/>
    <font>
      <i/>
      <color rgb="FF555555"/>
      <sz val="9"/>
    </font>
    <font>
      <u/>
      <color rgb="FF1565C0"/>
    </font>
  </fonts>
  <fills count="15">
    <fill>
      <patternFill patternType="none"/>
    </fill>
    <fill>
      <patternFill patternType="gray125"/>
    </fill>
    <fill>
      <patternFill patternType="solid">
        <fgColor rgb="FFF57C00"/>
      </patternFill>
    </fill>
    <fill>
      <patternFill patternType="solid">
        <fgColor rgb="FF1B5E20"/>
      </patternFill>
    </fill>
    <fill>
      <patternFill patternType="solid">
        <fgColor rgb="FFFFFDE7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C8E6C9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3F8FF"/>
      </patternFill>
    </fill>
    <fill>
      <patternFill patternType="solid">
        <fgColor rgb="FF37474F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546E7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 indent="1"/>
    </xf>
    <xf numFmtId="0" fontId="3" fillId="3" borderId="0" xfId="0" applyFont="1" applyFill="1" applyAlignment="1">
      <alignment horizontal="left" indent="1"/>
    </xf>
    <xf numFmtId="0" fontId="0" fillId="4" borderId="1" xfId="0" applyFill="1" applyBorder="1"/>
    <xf numFmtId="0" fontId="0" fillId="0" borderId="0" xfId="0" applyAlignment="1">
      <alignment wrapText="1" indent="1"/>
    </xf>
    <xf numFmtId="0" fontId="0" fillId="5" borderId="1" xfId="0" applyFill="1" applyBorder="1"/>
    <xf numFmtId="0" fontId="0" fillId="0" borderId="0" xfId="0" applyAlignment="1">
      <alignment vertical="top" wrapText="1" indent="1"/>
    </xf>
    <xf numFmtId="0" fontId="4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wrapText="1" indent="1"/>
    </xf>
    <xf numFmtId="0" fontId="0" fillId="6" borderId="1" xfId="0" applyFill="1" applyBorder="1" applyAlignment="1">
      <alignment horizontal="left" indent="1"/>
    </xf>
    <xf numFmtId="2" fontId="6" fillId="4" borderId="1" xfId="0" applyNumberFormat="1" applyFont="1" applyFill="1" applyBorder="1" applyAlignment="1" applyProtection="1">
      <alignment horizontal="right"/>
      <protection locked="0"/>
    </xf>
    <xf numFmtId="0" fontId="7" fillId="0" borderId="0" xfId="0" applyFont="1" applyAlignment="1">
      <alignment vertical="center" wrapText="1" indent="1"/>
    </xf>
    <xf numFmtId="164" fontId="8" fillId="5" borderId="1" xfId="0" applyNumberFormat="1" applyFont="1" applyFill="1" applyBorder="1" applyAlignment="1">
      <alignment horizontal="right" vertical="center"/>
    </xf>
    <xf numFmtId="165" fontId="6" fillId="7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 applyProtection="1">
      <alignment horizontal="left" indent="1"/>
      <protection locked="0"/>
    </xf>
    <xf numFmtId="164" fontId="6" fillId="4" borderId="1" xfId="0" applyNumberFormat="1" applyFont="1" applyFill="1" applyBorder="1" applyAlignment="1" applyProtection="1">
      <alignment horizontal="right"/>
      <protection locked="0"/>
    </xf>
    <xf numFmtId="165" fontId="6" fillId="4" borderId="1" xfId="0" applyNumberFormat="1" applyFont="1" applyFill="1" applyBorder="1" applyAlignment="1" applyProtection="1">
      <alignment horizontal="right"/>
      <protection locked="0"/>
    </xf>
    <xf numFmtId="1" fontId="6" fillId="4" borderId="1" xfId="0" applyNumberFormat="1" applyFont="1" applyFill="1" applyBorder="1" applyAlignment="1" applyProtection="1">
      <alignment horizontal="right"/>
      <protection locked="0"/>
    </xf>
    <xf numFmtId="164" fontId="8" fillId="9" borderId="1" xfId="0" applyNumberFormat="1" applyFont="1" applyFill="1" applyBorder="1" applyAlignment="1">
      <alignment horizontal="right" vertical="center"/>
    </xf>
    <xf numFmtId="165" fontId="8" fillId="9" borderId="1" xfId="0" applyNumberFormat="1" applyFont="1" applyFill="1" applyBorder="1" applyAlignment="1">
      <alignment horizontal="right" vertical="center"/>
    </xf>
    <xf numFmtId="10" fontId="8" fillId="9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wrapText="1" indent="1"/>
    </xf>
    <xf numFmtId="164" fontId="8" fillId="10" borderId="1" xfId="0" applyNumberFormat="1" applyFont="1" applyFill="1" applyBorder="1" applyAlignment="1">
      <alignment horizontal="right" vertical="center"/>
    </xf>
    <xf numFmtId="165" fontId="8" fillId="10" borderId="1" xfId="0" applyNumberFormat="1" applyFont="1" applyFill="1" applyBorder="1" applyAlignment="1">
      <alignment horizontal="right" vertical="center"/>
    </xf>
    <xf numFmtId="10" fontId="8" fillId="10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left" vertical="center" indent="1"/>
    </xf>
    <xf numFmtId="0" fontId="8" fillId="10" borderId="1" xfId="0" applyFont="1" applyFill="1" applyBorder="1" applyAlignment="1">
      <alignment horizontal="left" vertical="center" wrapText="1" indent="1"/>
    </xf>
    <xf numFmtId="165" fontId="6" fillId="9" borderId="1" xfId="0" applyNumberFormat="1" applyFont="1" applyFill="1" applyBorder="1" applyAlignment="1">
      <alignment horizontal="right" vertical="center"/>
    </xf>
    <xf numFmtId="1" fontId="8" fillId="9" borderId="1" xfId="0" applyNumberFormat="1" applyFont="1" applyFill="1" applyBorder="1" applyAlignment="1">
      <alignment horizontal="right" vertical="center"/>
    </xf>
    <xf numFmtId="165" fontId="6" fillId="10" borderId="1" xfId="0" applyNumberFormat="1" applyFont="1" applyFill="1" applyBorder="1" applyAlignment="1">
      <alignment horizontal="right" vertical="center"/>
    </xf>
    <xf numFmtId="1" fontId="8" fillId="10" borderId="1" xfId="0" applyNumberFormat="1" applyFont="1" applyFill="1" applyBorder="1" applyAlignment="1">
      <alignment horizontal="right" vertical="center"/>
    </xf>
    <xf numFmtId="10" fontId="8" fillId="5" borderId="1" xfId="0" applyNumberFormat="1" applyFont="1" applyFill="1" applyBorder="1" applyAlignment="1">
      <alignment horizontal="right" vertical="center"/>
    </xf>
    <xf numFmtId="1" fontId="8" fillId="5" borderId="1" xfId="0" applyNumberFormat="1" applyFont="1" applyFill="1" applyBorder="1" applyAlignment="1">
      <alignment horizontal="right" vertical="center"/>
    </xf>
    <xf numFmtId="10" fontId="6" fillId="7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top" wrapText="1" indent="1"/>
    </xf>
    <xf numFmtId="2" fontId="8" fillId="9" borderId="1" xfId="0" applyNumberFormat="1" applyFont="1" applyFill="1" applyBorder="1" applyAlignment="1">
      <alignment horizontal="right" vertical="center"/>
    </xf>
    <xf numFmtId="2" fontId="8" fillId="10" borderId="1" xfId="0" applyNumberFormat="1" applyFont="1" applyFill="1" applyBorder="1" applyAlignment="1">
      <alignment horizontal="right" vertical="center"/>
    </xf>
    <xf numFmtId="0" fontId="1" fillId="11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 indent="1"/>
    </xf>
    <xf numFmtId="0" fontId="1" fillId="12" borderId="0" xfId="0" applyFont="1" applyFill="1" applyAlignment="1">
      <alignment horizontal="center" vertical="center"/>
    </xf>
    <xf numFmtId="0" fontId="9" fillId="0" borderId="0" xfId="0" applyFont="1" applyAlignment="1">
      <alignment vertical="top" wrapText="1"/>
    </xf>
    <xf numFmtId="0" fontId="2" fillId="13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166" fontId="0" fillId="9" borderId="1" xfId="0" applyNumberFormat="1" applyFill="1" applyBorder="1"/>
    <xf numFmtId="167" fontId="0" fillId="9" borderId="1" xfId="0" applyNumberFormat="1" applyFill="1" applyBorder="1"/>
    <xf numFmtId="0" fontId="0" fillId="6" borderId="1" xfId="0" applyFill="1" applyBorder="1"/>
    <xf numFmtId="0" fontId="0" fillId="10" borderId="1" xfId="0" applyFill="1" applyBorder="1"/>
    <xf numFmtId="166" fontId="0" fillId="10" borderId="1" xfId="0" applyNumberFormat="1" applyFill="1" applyBorder="1"/>
    <xf numFmtId="167" fontId="0" fillId="10" borderId="1" xfId="0" applyNumberFormat="1" applyFill="1" applyBorder="1"/>
    <xf numFmtId="168" fontId="0" fillId="4" borderId="1" xfId="0" applyNumberFormat="1" applyFill="1" applyBorder="1" applyProtection="1">
      <protection locked="0"/>
    </xf>
    <xf numFmtId="0" fontId="5" fillId="0" borderId="0" xfId="0" applyFont="1" applyAlignment="1">
      <alignment vertical="top" wrapText="1"/>
    </xf>
    <xf numFmtId="0" fontId="2" fillId="14" borderId="1" xfId="0" applyFont="1" applyFill="1" applyBorder="1"/>
    <xf numFmtId="0" fontId="0" fillId="9" borderId="1" xfId="0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api.bcra.gob.ar/estadisticas/v4.0/monetarias/12" TargetMode="External"/><Relationship Id="rId2" Type="http://schemas.openxmlformats.org/officeDocument/2006/relationships/hyperlink" Target="https://www.bcra.gob.ar/Pdfs/comytexord/A8246.pdf" TargetMode="External"/><Relationship Id="rId3" Type="http://schemas.openxmlformats.org/officeDocument/2006/relationships/hyperlink" Target="https://www.bcra.gob.ar/archivos/Pdfs/comytexord/A8407.pdf" TargetMode="External"/><Relationship Id="rId4" Type="http://schemas.openxmlformats.org/officeDocument/2006/relationships/hyperlink" Target="https://datos.gob.ar/series/api/series/?ids=148.3_INIVELNAL_DICI_M_26&amp;format=json" TargetMode="External"/><Relationship Id="rId5" Type="http://schemas.openxmlformats.org/officeDocument/2006/relationships/hyperlink" Target="https://servicios.infoleg.gob.ar/infolegInternet/anexos/330000-334999/332890/texac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C00"/>
  </sheetPr>
  <dimension ref="A1:B24"/>
  <sheetFormatPr defaultRowHeight="15" outlineLevelRow="0" outlineLevelCol="0" x14ac:dyDescent="55"/>
  <cols>
    <col min="1" max="1" width="4" customWidth="1"/>
    <col min="2" max="2" width="110" customWidth="1"/>
  </cols>
  <sheetData>
    <row r="1" ht="28" customHeight="1" spans="1:2" x14ac:dyDescent="0.25">
      <c r="A1" s="1" t="s">
        <v>0</v>
      </c>
      <c r="B1" s="1"/>
    </row>
    <row r="3" ht="36" customHeight="1" spans="1:2" x14ac:dyDescent="0.25">
      <c r="A3" s="2" t="s">
        <v>1</v>
      </c>
      <c r="B3" s="3" t="s">
        <v>2</v>
      </c>
    </row>
    <row r="4" ht="36" customHeight="1" spans="1:2" x14ac:dyDescent="0.25">
      <c r="A4" s="2" t="s">
        <v>3</v>
      </c>
      <c r="B4" s="3" t="s">
        <v>4</v>
      </c>
    </row>
    <row r="5" ht="36" customHeight="1" spans="1:2" x14ac:dyDescent="0.25">
      <c r="A5" s="2" t="s">
        <v>5</v>
      </c>
      <c r="B5" s="3" t="s">
        <v>6</v>
      </c>
    </row>
    <row r="6" ht="36" customHeight="1" spans="1:2" x14ac:dyDescent="0.25">
      <c r="A6" s="2" t="s">
        <v>7</v>
      </c>
      <c r="B6" s="3" t="s">
        <v>8</v>
      </c>
    </row>
    <row r="7" ht="36" customHeight="1" spans="1:2" x14ac:dyDescent="0.25">
      <c r="A7" s="2" t="s">
        <v>9</v>
      </c>
      <c r="B7" s="3" t="s">
        <v>10</v>
      </c>
    </row>
    <row r="9" spans="1:2" x14ac:dyDescent="0.25">
      <c r="A9" s="4" t="s">
        <v>11</v>
      </c>
      <c r="B9" s="4"/>
    </row>
    <row r="10" ht="22" customHeight="1" spans="1:2" x14ac:dyDescent="0.25">
      <c r="A10" s="5"/>
      <c r="B10" s="6" t="s">
        <v>12</v>
      </c>
    </row>
    <row r="11" ht="22" customHeight="1" spans="1:2" x14ac:dyDescent="0.25">
      <c r="A11" s="7"/>
      <c r="B11" s="6" t="s">
        <v>13</v>
      </c>
    </row>
    <row r="13" spans="1:2" x14ac:dyDescent="0.25">
      <c r="A13" s="4" t="s">
        <v>14</v>
      </c>
      <c r="B13" s="4"/>
    </row>
    <row r="14" ht="34" customHeight="1" spans="2:2" x14ac:dyDescent="0.25">
      <c r="B14" s="8" t="s">
        <v>15</v>
      </c>
    </row>
    <row r="15" ht="34" customHeight="1" spans="2:2" x14ac:dyDescent="0.25">
      <c r="B15" s="8" t="s">
        <v>16</v>
      </c>
    </row>
    <row r="16" ht="34" customHeight="1" spans="2:2" x14ac:dyDescent="0.25">
      <c r="B16" s="8" t="s">
        <v>17</v>
      </c>
    </row>
    <row r="17" ht="34" customHeight="1" spans="2:2" x14ac:dyDescent="0.25">
      <c r="B17" s="8" t="s">
        <v>18</v>
      </c>
    </row>
    <row r="18" ht="34" customHeight="1" spans="2:2" x14ac:dyDescent="0.25">
      <c r="B18" s="8" t="s">
        <v>19</v>
      </c>
    </row>
    <row r="20" spans="1:2" x14ac:dyDescent="0.25">
      <c r="A20" s="4" t="s">
        <v>20</v>
      </c>
      <c r="B20" s="4"/>
    </row>
    <row r="21" ht="34" customHeight="1" spans="2:2" x14ac:dyDescent="0.25">
      <c r="B21" s="8" t="s">
        <v>21</v>
      </c>
    </row>
    <row r="22" ht="34" customHeight="1" spans="2:2" x14ac:dyDescent="0.25">
      <c r="B22" s="8" t="s">
        <v>22</v>
      </c>
    </row>
    <row r="24" ht="30" customHeight="1" spans="1:2" x14ac:dyDescent="0.25">
      <c r="A24" s="9" t="s">
        <v>23</v>
      </c>
      <c r="B24" s="9"/>
    </row>
  </sheetData>
  <mergeCells count="5">
    <mergeCell ref="A1:B1"/>
    <mergeCell ref="A9:B9"/>
    <mergeCell ref="A13:B13"/>
    <mergeCell ref="A20:B20"/>
    <mergeCell ref="A24:B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AB41"/>
  <sheetViews>
    <sheetView workbookViewId="0">
      <pane xSplit="1" ySplit="14" topLeftCell="B15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5" max="5" width="8" customWidth="1"/>
    <col min="6" max="6" width="13" customWidth="1"/>
    <col min="7" max="7" width="14" customWidth="1"/>
    <col min="8" max="8" width="16" customWidth="1"/>
    <col min="9" max="9" width="10" customWidth="1"/>
    <col min="10" max="10" width="11" customWidth="1"/>
    <col min="11" max="11" width="14" customWidth="1"/>
    <col min="12" max="12" width="11" customWidth="1"/>
    <col min="13" max="13" width="34" customWidth="1"/>
    <col min="14" max="14" width="16" customWidth="1"/>
    <col min="15" max="15" width="30" customWidth="1"/>
    <col min="16" max="16" width="9" hidden="1" customWidth="1"/>
    <col min="17" max="17" width="9" hidden="1" customWidth="1"/>
    <col min="18" max="18" width="9" hidden="1" customWidth="1"/>
    <col min="19" max="19" width="9" hidden="1" customWidth="1"/>
    <col min="20" max="20" width="9" hidden="1" customWidth="1"/>
    <col min="21" max="21" width="9" hidden="1" customWidth="1"/>
    <col min="22" max="22" width="9" hidden="1" customWidth="1"/>
    <col min="23" max="23" width="9" hidden="1" customWidth="1"/>
    <col min="24" max="24" width="9" hidden="1" customWidth="1"/>
    <col min="25" max="25" width="9" hidden="1" customWidth="1"/>
    <col min="26" max="26" width="9" hidden="1" customWidth="1"/>
    <col min="27" max="27" width="9" hidden="1" customWidth="1"/>
    <col min="28" max="28" width="9" hidden="1" customWidth="1"/>
  </cols>
  <sheetData>
    <row r="1" ht="28" customHeight="1" spans="1:15" x14ac:dyDescent="0.25">
      <c r="A1" s="10" t="s">
        <v>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ht="30" customHeight="1" spans="1:15" x14ac:dyDescent="0.2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2" x14ac:dyDescent="0.25">
      <c r="A4" s="4" t="s">
        <v>26</v>
      </c>
      <c r="B4" s="4"/>
    </row>
    <row r="5" ht="30" customHeight="1" spans="1:15" x14ac:dyDescent="0.25">
      <c r="A5" s="12" t="s">
        <v>27</v>
      </c>
      <c r="B5" s="13">
        <v>1.7</v>
      </c>
      <c r="C5" s="14" t="s">
        <v>28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2" x14ac:dyDescent="0.25">
      <c r="A6" s="12" t="s">
        <v>29</v>
      </c>
      <c r="B6" s="15">
        <f>TODAY()</f>
      </c>
    </row>
    <row r="8" spans="1:2" x14ac:dyDescent="0.25">
      <c r="A8" s="4" t="s">
        <v>30</v>
      </c>
      <c r="B8" s="4"/>
    </row>
    <row r="9" spans="1:2" x14ac:dyDescent="0.25">
      <c r="A9" s="12" t="s">
        <v>31</v>
      </c>
      <c r="B9" s="16">
        <f>SUM($AA$15:$AA$38)</f>
      </c>
    </row>
    <row r="10" spans="1:2" x14ac:dyDescent="0.25">
      <c r="A10" s="12" t="s">
        <v>32</v>
      </c>
      <c r="B10" s="17">
        <f>SUM($AB$15:$AB$38)</f>
      </c>
    </row>
    <row r="11" spans="1:6" x14ac:dyDescent="0.25">
      <c r="A11" s="12" t="s">
        <v>33</v>
      </c>
      <c r="B11" s="15">
        <f>IFERROR(INT(SMALL($V$15:$V$38,1)),"")</f>
      </c>
      <c r="C11" s="18">
        <f>IF(ISNUMBER(B11),INDEX($A$1:$A$38,ROUND(MOD(SMALL($V$15:$V$38,1),1)*100000,0))&amp;"","No hay plazos fijos vigentes cargados")</f>
      </c>
      <c r="D11" s="18"/>
      <c r="E11" s="18"/>
      <c r="F11" s="18"/>
    </row>
    <row r="12" spans="1:2" x14ac:dyDescent="0.25">
      <c r="A12" s="12" t="s">
        <v>34</v>
      </c>
      <c r="B12" s="17">
        <f>SUMIFS($X$15:$X$38,$F$15:$F$38,"&lt;="&amp;(B6+30))</f>
      </c>
    </row>
    <row r="13" spans="1:15" x14ac:dyDescent="0.25">
      <c r="A13" s="4" t="s">
        <v>35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44" customHeight="1" spans="1:15" x14ac:dyDescent="0.25">
      <c r="A14" s="19" t="s">
        <v>36</v>
      </c>
      <c r="B14" s="19" t="s">
        <v>37</v>
      </c>
      <c r="C14" s="19" t="s">
        <v>38</v>
      </c>
      <c r="D14" s="19" t="s">
        <v>39</v>
      </c>
      <c r="E14" s="19" t="s">
        <v>40</v>
      </c>
      <c r="F14" s="19" t="s">
        <v>41</v>
      </c>
      <c r="G14" s="19" t="s">
        <v>42</v>
      </c>
      <c r="H14" s="19" t="s">
        <v>43</v>
      </c>
      <c r="I14" s="19" t="s">
        <v>44</v>
      </c>
      <c r="J14" s="19" t="s">
        <v>45</v>
      </c>
      <c r="K14" s="19" t="s">
        <v>46</v>
      </c>
      <c r="L14" s="19" t="s">
        <v>47</v>
      </c>
      <c r="M14" s="19" t="s">
        <v>48</v>
      </c>
      <c r="N14" s="19" t="s">
        <v>49</v>
      </c>
      <c r="O14" s="19" t="s">
        <v>50</v>
      </c>
    </row>
    <row r="15" ht="30" customHeight="1" spans="1:28" x14ac:dyDescent="0.25">
      <c r="A15" s="20" t="s">
        <v>51</v>
      </c>
      <c r="B15" s="21">
        <v>46208</v>
      </c>
      <c r="C15" s="22">
        <v>1000000</v>
      </c>
      <c r="D15" s="13">
        <v>22.66</v>
      </c>
      <c r="E15" s="23">
        <v>30</v>
      </c>
      <c r="F15" s="24">
        <f>IF(P15=1,B15+E15,"")</f>
      </c>
      <c r="G15" s="25">
        <f>IF(P15=1,C15*D15/100*E15/365,"")</f>
      </c>
      <c r="H15" s="25">
        <f>IF(P15=1,C15+G15,"")</f>
      </c>
      <c r="I15" s="26">
        <f>IF(P15=1,(1+D15/100*E15/365)^(365/E15)-1,"")</f>
      </c>
      <c r="J15" s="26">
        <f>IF(P15=1,IF(S15=1,U15/T15-1,(1+B5/100)^(E15/30)-1),"")</f>
      </c>
      <c r="K15" s="27">
        <f>IF(P15=1,IF(S15=1,"IPC del INDEC","Estimada"),"")</f>
      </c>
      <c r="L15" s="26">
        <f>IF(P15=1,H15/(1+J15)/C15-1,"")</f>
      </c>
      <c r="M15" s="28">
        <f>IF(P15=0,IF(OR(A15&lt;&gt;"",ISNUMBER(B15),ISNUMBER(C15),ISNUMBER(D15),ISNUMBER(E15)),"Faltan datos: fecha, capital, TNA y días (mínimo 30)",""),IF(S15=1,IF(L15&gt;=0,"Le ganó a la inflación","Perdió contra la inflación"),IF(L15&gt;=0,"Le gana, si la inflación es la estimada","Pierde, si la inflación es la estimada")))</f>
      </c>
      <c r="N15" s="27">
        <f>IF(P15=0,"",IF(F15&lt;$B$6,"Vencido",IF(F15=$B$6,"Vence hoy","Faltan "&amp;(F15-$B$6)&amp;IF(F15-$B$6=1," día"," días"))))</f>
      </c>
      <c r="O15" s="28">
        <f>IF(OR(P15=0,F15&lt;$B$6),"",IF(A15="","Cargá el banco para controlarla",IF(SUMIFS($X$15:$X$38,$A$15:$A$38,A15)&gt;50000000,"Supera el tope en este banco","Dentro del tope")))</f>
      </c>
      <c r="P15">
        <f>IF(AND(ISNUMBER(B15),ISNUMBER(C15),C15&gt;0,ISNUMBER(D15),D15&gt;=0,ISNUMBER(E15),E15&gt;=30),1,0)</f>
      </c>
      <c r="Q15">
        <f>IF(P15=1,YEAR(B15)*12+MONTH(B15)-1,"")</f>
      </c>
      <c r="R15">
        <f>IF(P15=1,YEAR(F15)*12+MONTH(F15)-1,"")</f>
      </c>
      <c r="S15">
        <f>IF(P15=1,IF(AND(Q15-1&gt;=IPC!$J$2,R15&lt;=IPC!$J$3),1,0),0)</f>
      </c>
      <c r="T15">
        <f>IF(S15=1,INDEX(IPC!$D$5:$D$173,(Q15-1)-IPC!$J$2+1)*(INDEX(IPC!$D$5:$D$173,(Q15)-IPC!$J$2+1)/INDEX(IPC!$D$5:$D$173,(Q15-1)-IPC!$J$2+1))^(DAY(B15)/DAY(EOMONTH(B15,0))),"")</f>
      </c>
      <c r="U15">
        <f>IF(S15=1,INDEX(IPC!$D$5:$D$173,(R15-1)-IPC!$J$2+1)*(INDEX(IPC!$D$5:$D$173,(R15)-IPC!$J$2+1)/INDEX(IPC!$D$5:$D$173,(R15-1)-IPC!$J$2+1))^(DAY(F15)/DAY(EOMONTH(F15,0))),"")</f>
      </c>
      <c r="V15">
        <f>IF(AND(P15=1,F15&gt;=$B$6),F15+ROW()/100000,"")</f>
      </c>
      <c r="W15">
        <f>IF(P15=1,H15/(1+J15)-C15,"")</f>
      </c>
      <c r="X15">
        <f>IF(AND(P15=1,F15&gt;=$B$6),H15,"")</f>
      </c>
      <c r="Y15">
        <f>IF(P15=1,YEAR(F15),"")</f>
      </c>
      <c r="Z15">
        <f>IF(AND(P15=1,F15&lt;=$B$6),G15,"")</f>
      </c>
      <c r="AA15">
        <f>IF(AND(P15=1,F15&gt;=$B$6),C15,"")</f>
      </c>
      <c r="AB15">
        <f>IF(AND(P15=1,F15&gt;=$B$6),G15,"")</f>
      </c>
    </row>
    <row r="16" ht="30" customHeight="1" spans="1:28" x14ac:dyDescent="0.25">
      <c r="A16" s="20" t="s">
        <v>52</v>
      </c>
      <c r="B16" s="21">
        <v>46314</v>
      </c>
      <c r="C16" s="22">
        <v>2500000</v>
      </c>
      <c r="D16" s="13">
        <v>22.66</v>
      </c>
      <c r="E16" s="23">
        <v>60</v>
      </c>
      <c r="F16" s="29">
        <f>IF(P16=1,B16+E16,"")</f>
      </c>
      <c r="G16" s="30">
        <f>IF(P16=1,C16*D16/100*E16/365,"")</f>
      </c>
      <c r="H16" s="30">
        <f>IF(P16=1,C16+G16,"")</f>
      </c>
      <c r="I16" s="31">
        <f>IF(P16=1,(1+D16/100*E16/365)^(365/E16)-1,"")</f>
      </c>
      <c r="J16" s="31">
        <f>IF(P16=1,IF(S16=1,U16/T16-1,(1+B5/100)^(E16/30)-1),"")</f>
      </c>
      <c r="K16" s="32">
        <f>IF(P16=1,IF(S16=1,"IPC del INDEC","Estimada"),"")</f>
      </c>
      <c r="L16" s="31">
        <f>IF(P16=1,H16/(1+J16)/C16-1,"")</f>
      </c>
      <c r="M16" s="33">
        <f>IF(P16=0,IF(OR(A16&lt;&gt;"",ISNUMBER(B16),ISNUMBER(C16),ISNUMBER(D16),ISNUMBER(E16)),"Faltan datos: fecha, capital, TNA y días (mínimo 30)",""),IF(S16=1,IF(L16&gt;=0,"Le ganó a la inflación","Perdió contra la inflación"),IF(L16&gt;=0,"Le gana, si la inflación es la estimada","Pierde, si la inflación es la estimada")))</f>
      </c>
      <c r="N16" s="32">
        <f>IF(P16=0,"",IF(F16&lt;$B$6,"Vencido",IF(F16=$B$6,"Vence hoy","Faltan "&amp;(F16-$B$6)&amp;IF(F16-$B$6=1," día"," días"))))</f>
      </c>
      <c r="O16" s="33">
        <f>IF(OR(P16=0,F16&lt;$B$6),"",IF(A16="","Cargá el banco para controlarla",IF(SUMIFS($X$15:$X$38,$A$15:$A$38,A16)&gt;50000000,"Supera el tope en este banco","Dentro del tope")))</f>
      </c>
      <c r="P16">
        <f>IF(AND(ISNUMBER(B16),ISNUMBER(C16),C16&gt;0,ISNUMBER(D16),D16&gt;=0,ISNUMBER(E16),E16&gt;=30),1,0)</f>
      </c>
      <c r="Q16">
        <f>IF(P16=1,YEAR(B16)*12+MONTH(B16)-1,"")</f>
      </c>
      <c r="R16">
        <f>IF(P16=1,YEAR(F16)*12+MONTH(F16)-1,"")</f>
      </c>
      <c r="S16">
        <f>IF(P16=1,IF(AND(Q16-1&gt;=IPC!$J$2,R16&lt;=IPC!$J$3),1,0),0)</f>
      </c>
      <c r="T16">
        <f>IF(S16=1,INDEX(IPC!$D$5:$D$173,(Q16-1)-IPC!$J$2+1)*(INDEX(IPC!$D$5:$D$173,(Q16)-IPC!$J$2+1)/INDEX(IPC!$D$5:$D$173,(Q16-1)-IPC!$J$2+1))^(DAY(B16)/DAY(EOMONTH(B16,0))),"")</f>
      </c>
      <c r="U16">
        <f>IF(S16=1,INDEX(IPC!$D$5:$D$173,(R16-1)-IPC!$J$2+1)*(INDEX(IPC!$D$5:$D$173,(R16)-IPC!$J$2+1)/INDEX(IPC!$D$5:$D$173,(R16-1)-IPC!$J$2+1))^(DAY(F16)/DAY(EOMONTH(F16,0))),"")</f>
      </c>
      <c r="V16">
        <f>IF(AND(P16=1,F16&gt;=$B$6),F16+ROW()/100000,"")</f>
      </c>
      <c r="W16">
        <f>IF(P16=1,H16/(1+J16)-C16,"")</f>
      </c>
      <c r="X16">
        <f>IF(AND(P16=1,F16&gt;=$B$6),H16,"")</f>
      </c>
      <c r="Y16">
        <f>IF(P16=1,YEAR(F16),"")</f>
      </c>
      <c r="Z16">
        <f>IF(AND(P16=1,F16&lt;=$B$6),G16,"")</f>
      </c>
      <c r="AA16">
        <f>IF(AND(P16=1,F16&gt;=$B$6),C16,"")</f>
      </c>
      <c r="AB16">
        <f>IF(AND(P16=1,F16&gt;=$B$6),G16,"")</f>
      </c>
    </row>
    <row r="17" ht="30" customHeight="1" spans="1:28" x14ac:dyDescent="0.25">
      <c r="A17" s="20"/>
      <c r="B17" s="21"/>
      <c r="C17" s="22"/>
      <c r="D17" s="13"/>
      <c r="E17" s="23"/>
      <c r="F17" s="24">
        <f>IF(P17=1,B17+E17,"")</f>
      </c>
      <c r="G17" s="25">
        <f>IF(P17=1,C17*D17/100*E17/365,"")</f>
      </c>
      <c r="H17" s="25">
        <f>IF(P17=1,C17+G17,"")</f>
      </c>
      <c r="I17" s="26">
        <f>IF(P17=1,(1+D17/100*E17/365)^(365/E17)-1,"")</f>
      </c>
      <c r="J17" s="26">
        <f>IF(P17=1,IF(S17=1,U17/T17-1,(1+B5/100)^(E17/30)-1),"")</f>
      </c>
      <c r="K17" s="27">
        <f>IF(P17=1,IF(S17=1,"IPC del INDEC","Estimada"),"")</f>
      </c>
      <c r="L17" s="26">
        <f>IF(P17=1,H17/(1+J17)/C17-1,"")</f>
      </c>
      <c r="M17" s="28">
        <f>IF(P17=0,IF(OR(A17&lt;&gt;"",ISNUMBER(B17),ISNUMBER(C17),ISNUMBER(D17),ISNUMBER(E17)),"Faltan datos: fecha, capital, TNA y días (mínimo 30)",""),IF(S17=1,IF(L17&gt;=0,"Le ganó a la inflación","Perdió contra la inflación"),IF(L17&gt;=0,"Le gana, si la inflación es la estimada","Pierde, si la inflación es la estimada")))</f>
      </c>
      <c r="N17" s="27">
        <f>IF(P17=0,"",IF(F17&lt;$B$6,"Vencido",IF(F17=$B$6,"Vence hoy","Faltan "&amp;(F17-$B$6)&amp;IF(F17-$B$6=1," día"," días"))))</f>
      </c>
      <c r="O17" s="28">
        <f>IF(OR(P17=0,F17&lt;$B$6),"",IF(A17="","Cargá el banco para controlarla",IF(SUMIFS($X$15:$X$38,$A$15:$A$38,A17)&gt;50000000,"Supera el tope en este banco","Dentro del tope")))</f>
      </c>
      <c r="P17">
        <f>IF(AND(ISNUMBER(B17),ISNUMBER(C17),C17&gt;0,ISNUMBER(D17),D17&gt;=0,ISNUMBER(E17),E17&gt;=30),1,0)</f>
      </c>
      <c r="Q17">
        <f>IF(P17=1,YEAR(B17)*12+MONTH(B17)-1,"")</f>
      </c>
      <c r="R17">
        <f>IF(P17=1,YEAR(F17)*12+MONTH(F17)-1,"")</f>
      </c>
      <c r="S17">
        <f>IF(P17=1,IF(AND(Q17-1&gt;=IPC!$J$2,R17&lt;=IPC!$J$3),1,0),0)</f>
      </c>
      <c r="T17">
        <f>IF(S17=1,INDEX(IPC!$D$5:$D$173,(Q17-1)-IPC!$J$2+1)*(INDEX(IPC!$D$5:$D$173,(Q17)-IPC!$J$2+1)/INDEX(IPC!$D$5:$D$173,(Q17-1)-IPC!$J$2+1))^(DAY(B17)/DAY(EOMONTH(B17,0))),"")</f>
      </c>
      <c r="U17">
        <f>IF(S17=1,INDEX(IPC!$D$5:$D$173,(R17-1)-IPC!$J$2+1)*(INDEX(IPC!$D$5:$D$173,(R17)-IPC!$J$2+1)/INDEX(IPC!$D$5:$D$173,(R17-1)-IPC!$J$2+1))^(DAY(F17)/DAY(EOMONTH(F17,0))),"")</f>
      </c>
      <c r="V17">
        <f>IF(AND(P17=1,F17&gt;=$B$6),F17+ROW()/100000,"")</f>
      </c>
      <c r="W17">
        <f>IF(P17=1,H17/(1+J17)-C17,"")</f>
      </c>
      <c r="X17">
        <f>IF(AND(P17=1,F17&gt;=$B$6),H17,"")</f>
      </c>
      <c r="Y17">
        <f>IF(P17=1,YEAR(F17),"")</f>
      </c>
      <c r="Z17">
        <f>IF(AND(P17=1,F17&lt;=$B$6),G17,"")</f>
      </c>
      <c r="AA17">
        <f>IF(AND(P17=1,F17&gt;=$B$6),C17,"")</f>
      </c>
      <c r="AB17">
        <f>IF(AND(P17=1,F17&gt;=$B$6),G17,"")</f>
      </c>
    </row>
    <row r="18" ht="30" customHeight="1" spans="1:28" x14ac:dyDescent="0.25">
      <c r="A18" s="20"/>
      <c r="B18" s="21"/>
      <c r="C18" s="22"/>
      <c r="D18" s="13"/>
      <c r="E18" s="23"/>
      <c r="F18" s="29">
        <f>IF(P18=1,B18+E18,"")</f>
      </c>
      <c r="G18" s="30">
        <f>IF(P18=1,C18*D18/100*E18/365,"")</f>
      </c>
      <c r="H18" s="30">
        <f>IF(P18=1,C18+G18,"")</f>
      </c>
      <c r="I18" s="31">
        <f>IF(P18=1,(1+D18/100*E18/365)^(365/E18)-1,"")</f>
      </c>
      <c r="J18" s="31">
        <f>IF(P18=1,IF(S18=1,U18/T18-1,(1+B5/100)^(E18/30)-1),"")</f>
      </c>
      <c r="K18" s="32">
        <f>IF(P18=1,IF(S18=1,"IPC del INDEC","Estimada"),"")</f>
      </c>
      <c r="L18" s="31">
        <f>IF(P18=1,H18/(1+J18)/C18-1,"")</f>
      </c>
      <c r="M18" s="33">
        <f>IF(P18=0,IF(OR(A18&lt;&gt;"",ISNUMBER(B18),ISNUMBER(C18),ISNUMBER(D18),ISNUMBER(E18)),"Faltan datos: fecha, capital, TNA y días (mínimo 30)",""),IF(S18=1,IF(L18&gt;=0,"Le ganó a la inflación","Perdió contra la inflación"),IF(L18&gt;=0,"Le gana, si la inflación es la estimada","Pierde, si la inflación es la estimada")))</f>
      </c>
      <c r="N18" s="32">
        <f>IF(P18=0,"",IF(F18&lt;$B$6,"Vencido",IF(F18=$B$6,"Vence hoy","Faltan "&amp;(F18-$B$6)&amp;IF(F18-$B$6=1," día"," días"))))</f>
      </c>
      <c r="O18" s="33">
        <f>IF(OR(P18=0,F18&lt;$B$6),"",IF(A18="","Cargá el banco para controlarla",IF(SUMIFS($X$15:$X$38,$A$15:$A$38,A18)&gt;50000000,"Supera el tope en este banco","Dentro del tope")))</f>
      </c>
      <c r="P18">
        <f>IF(AND(ISNUMBER(B18),ISNUMBER(C18),C18&gt;0,ISNUMBER(D18),D18&gt;=0,ISNUMBER(E18),E18&gt;=30),1,0)</f>
      </c>
      <c r="Q18">
        <f>IF(P18=1,YEAR(B18)*12+MONTH(B18)-1,"")</f>
      </c>
      <c r="R18">
        <f>IF(P18=1,YEAR(F18)*12+MONTH(F18)-1,"")</f>
      </c>
      <c r="S18">
        <f>IF(P18=1,IF(AND(Q18-1&gt;=IPC!$J$2,R18&lt;=IPC!$J$3),1,0),0)</f>
      </c>
      <c r="T18">
        <f>IF(S18=1,INDEX(IPC!$D$5:$D$173,(Q18-1)-IPC!$J$2+1)*(INDEX(IPC!$D$5:$D$173,(Q18)-IPC!$J$2+1)/INDEX(IPC!$D$5:$D$173,(Q18-1)-IPC!$J$2+1))^(DAY(B18)/DAY(EOMONTH(B18,0))),"")</f>
      </c>
      <c r="U18">
        <f>IF(S18=1,INDEX(IPC!$D$5:$D$173,(R18-1)-IPC!$J$2+1)*(INDEX(IPC!$D$5:$D$173,(R18)-IPC!$J$2+1)/INDEX(IPC!$D$5:$D$173,(R18-1)-IPC!$J$2+1))^(DAY(F18)/DAY(EOMONTH(F18,0))),"")</f>
      </c>
      <c r="V18">
        <f>IF(AND(P18=1,F18&gt;=$B$6),F18+ROW()/100000,"")</f>
      </c>
      <c r="W18">
        <f>IF(P18=1,H18/(1+J18)-C18,"")</f>
      </c>
      <c r="X18">
        <f>IF(AND(P18=1,F18&gt;=$B$6),H18,"")</f>
      </c>
      <c r="Y18">
        <f>IF(P18=1,YEAR(F18),"")</f>
      </c>
      <c r="Z18">
        <f>IF(AND(P18=1,F18&lt;=$B$6),G18,"")</f>
      </c>
      <c r="AA18">
        <f>IF(AND(P18=1,F18&gt;=$B$6),C18,"")</f>
      </c>
      <c r="AB18">
        <f>IF(AND(P18=1,F18&gt;=$B$6),G18,"")</f>
      </c>
    </row>
    <row r="19" ht="30" customHeight="1" spans="1:28" x14ac:dyDescent="0.25">
      <c r="A19" s="20"/>
      <c r="B19" s="21"/>
      <c r="C19" s="22"/>
      <c r="D19" s="13"/>
      <c r="E19" s="23"/>
      <c r="F19" s="24">
        <f>IF(P19=1,B19+E19,"")</f>
      </c>
      <c r="G19" s="25">
        <f>IF(P19=1,C19*D19/100*E19/365,"")</f>
      </c>
      <c r="H19" s="25">
        <f>IF(P19=1,C19+G19,"")</f>
      </c>
      <c r="I19" s="26">
        <f>IF(P19=1,(1+D19/100*E19/365)^(365/E19)-1,"")</f>
      </c>
      <c r="J19" s="26">
        <f>IF(P19=1,IF(S19=1,U19/T19-1,(1+B5/100)^(E19/30)-1),"")</f>
      </c>
      <c r="K19" s="27">
        <f>IF(P19=1,IF(S19=1,"IPC del INDEC","Estimada"),"")</f>
      </c>
      <c r="L19" s="26">
        <f>IF(P19=1,H19/(1+J19)/C19-1,"")</f>
      </c>
      <c r="M19" s="28">
        <f>IF(P19=0,IF(OR(A19&lt;&gt;"",ISNUMBER(B19),ISNUMBER(C19),ISNUMBER(D19),ISNUMBER(E19)),"Faltan datos: fecha, capital, TNA y días (mínimo 30)",""),IF(S19=1,IF(L19&gt;=0,"Le ganó a la inflación","Perdió contra la inflación"),IF(L19&gt;=0,"Le gana, si la inflación es la estimada","Pierde, si la inflación es la estimada")))</f>
      </c>
      <c r="N19" s="27">
        <f>IF(P19=0,"",IF(F19&lt;$B$6,"Vencido",IF(F19=$B$6,"Vence hoy","Faltan "&amp;(F19-$B$6)&amp;IF(F19-$B$6=1," día"," días"))))</f>
      </c>
      <c r="O19" s="28">
        <f>IF(OR(P19=0,F19&lt;$B$6),"",IF(A19="","Cargá el banco para controlarla",IF(SUMIFS($X$15:$X$38,$A$15:$A$38,A19)&gt;50000000,"Supera el tope en este banco","Dentro del tope")))</f>
      </c>
      <c r="P19">
        <f>IF(AND(ISNUMBER(B19),ISNUMBER(C19),C19&gt;0,ISNUMBER(D19),D19&gt;=0,ISNUMBER(E19),E19&gt;=30),1,0)</f>
      </c>
      <c r="Q19">
        <f>IF(P19=1,YEAR(B19)*12+MONTH(B19)-1,"")</f>
      </c>
      <c r="R19">
        <f>IF(P19=1,YEAR(F19)*12+MONTH(F19)-1,"")</f>
      </c>
      <c r="S19">
        <f>IF(P19=1,IF(AND(Q19-1&gt;=IPC!$J$2,R19&lt;=IPC!$J$3),1,0),0)</f>
      </c>
      <c r="T19">
        <f>IF(S19=1,INDEX(IPC!$D$5:$D$173,(Q19-1)-IPC!$J$2+1)*(INDEX(IPC!$D$5:$D$173,(Q19)-IPC!$J$2+1)/INDEX(IPC!$D$5:$D$173,(Q19-1)-IPC!$J$2+1))^(DAY(B19)/DAY(EOMONTH(B19,0))),"")</f>
      </c>
      <c r="U19">
        <f>IF(S19=1,INDEX(IPC!$D$5:$D$173,(R19-1)-IPC!$J$2+1)*(INDEX(IPC!$D$5:$D$173,(R19)-IPC!$J$2+1)/INDEX(IPC!$D$5:$D$173,(R19-1)-IPC!$J$2+1))^(DAY(F19)/DAY(EOMONTH(F19,0))),"")</f>
      </c>
      <c r="V19">
        <f>IF(AND(P19=1,F19&gt;=$B$6),F19+ROW()/100000,"")</f>
      </c>
      <c r="W19">
        <f>IF(P19=1,H19/(1+J19)-C19,"")</f>
      </c>
      <c r="X19">
        <f>IF(AND(P19=1,F19&gt;=$B$6),H19,"")</f>
      </c>
      <c r="Y19">
        <f>IF(P19=1,YEAR(F19),"")</f>
      </c>
      <c r="Z19">
        <f>IF(AND(P19=1,F19&lt;=$B$6),G19,"")</f>
      </c>
      <c r="AA19">
        <f>IF(AND(P19=1,F19&gt;=$B$6),C19,"")</f>
      </c>
      <c r="AB19">
        <f>IF(AND(P19=1,F19&gt;=$B$6),G19,"")</f>
      </c>
    </row>
    <row r="20" ht="30" customHeight="1" spans="1:28" x14ac:dyDescent="0.25">
      <c r="A20" s="20"/>
      <c r="B20" s="21"/>
      <c r="C20" s="22"/>
      <c r="D20" s="13"/>
      <c r="E20" s="23"/>
      <c r="F20" s="29">
        <f>IF(P20=1,B20+E20,"")</f>
      </c>
      <c r="G20" s="30">
        <f>IF(P20=1,C20*D20/100*E20/365,"")</f>
      </c>
      <c r="H20" s="30">
        <f>IF(P20=1,C20+G20,"")</f>
      </c>
      <c r="I20" s="31">
        <f>IF(P20=1,(1+D20/100*E20/365)^(365/E20)-1,"")</f>
      </c>
      <c r="J20" s="31">
        <f>IF(P20=1,IF(S20=1,U20/T20-1,(1+B5/100)^(E20/30)-1),"")</f>
      </c>
      <c r="K20" s="32">
        <f>IF(P20=1,IF(S20=1,"IPC del INDEC","Estimada"),"")</f>
      </c>
      <c r="L20" s="31">
        <f>IF(P20=1,H20/(1+J20)/C20-1,"")</f>
      </c>
      <c r="M20" s="33">
        <f>IF(P20=0,IF(OR(A20&lt;&gt;"",ISNUMBER(B20),ISNUMBER(C20),ISNUMBER(D20),ISNUMBER(E20)),"Faltan datos: fecha, capital, TNA y días (mínimo 30)",""),IF(S20=1,IF(L20&gt;=0,"Le ganó a la inflación","Perdió contra la inflación"),IF(L20&gt;=0,"Le gana, si la inflación es la estimada","Pierde, si la inflación es la estimada")))</f>
      </c>
      <c r="N20" s="32">
        <f>IF(P20=0,"",IF(F20&lt;$B$6,"Vencido",IF(F20=$B$6,"Vence hoy","Faltan "&amp;(F20-$B$6)&amp;IF(F20-$B$6=1," día"," días"))))</f>
      </c>
      <c r="O20" s="33">
        <f>IF(OR(P20=0,F20&lt;$B$6),"",IF(A20="","Cargá el banco para controlarla",IF(SUMIFS($X$15:$X$38,$A$15:$A$38,A20)&gt;50000000,"Supera el tope en este banco","Dentro del tope")))</f>
      </c>
      <c r="P20">
        <f>IF(AND(ISNUMBER(B20),ISNUMBER(C20),C20&gt;0,ISNUMBER(D20),D20&gt;=0,ISNUMBER(E20),E20&gt;=30),1,0)</f>
      </c>
      <c r="Q20">
        <f>IF(P20=1,YEAR(B20)*12+MONTH(B20)-1,"")</f>
      </c>
      <c r="R20">
        <f>IF(P20=1,YEAR(F20)*12+MONTH(F20)-1,"")</f>
      </c>
      <c r="S20">
        <f>IF(P20=1,IF(AND(Q20-1&gt;=IPC!$J$2,R20&lt;=IPC!$J$3),1,0),0)</f>
      </c>
      <c r="T20">
        <f>IF(S20=1,INDEX(IPC!$D$5:$D$173,(Q20-1)-IPC!$J$2+1)*(INDEX(IPC!$D$5:$D$173,(Q20)-IPC!$J$2+1)/INDEX(IPC!$D$5:$D$173,(Q20-1)-IPC!$J$2+1))^(DAY(B20)/DAY(EOMONTH(B20,0))),"")</f>
      </c>
      <c r="U20">
        <f>IF(S20=1,INDEX(IPC!$D$5:$D$173,(R20-1)-IPC!$J$2+1)*(INDEX(IPC!$D$5:$D$173,(R20)-IPC!$J$2+1)/INDEX(IPC!$D$5:$D$173,(R20-1)-IPC!$J$2+1))^(DAY(F20)/DAY(EOMONTH(F20,0))),"")</f>
      </c>
      <c r="V20">
        <f>IF(AND(P20=1,F20&gt;=$B$6),F20+ROW()/100000,"")</f>
      </c>
      <c r="W20">
        <f>IF(P20=1,H20/(1+J20)-C20,"")</f>
      </c>
      <c r="X20">
        <f>IF(AND(P20=1,F20&gt;=$B$6),H20,"")</f>
      </c>
      <c r="Y20">
        <f>IF(P20=1,YEAR(F20),"")</f>
      </c>
      <c r="Z20">
        <f>IF(AND(P20=1,F20&lt;=$B$6),G20,"")</f>
      </c>
      <c r="AA20">
        <f>IF(AND(P20=1,F20&gt;=$B$6),C20,"")</f>
      </c>
      <c r="AB20">
        <f>IF(AND(P20=1,F20&gt;=$B$6),G20,"")</f>
      </c>
    </row>
    <row r="21" ht="30" customHeight="1" spans="1:28" x14ac:dyDescent="0.25">
      <c r="A21" s="20"/>
      <c r="B21" s="21"/>
      <c r="C21" s="22"/>
      <c r="D21" s="13"/>
      <c r="E21" s="23"/>
      <c r="F21" s="24">
        <f>IF(P21=1,B21+E21,"")</f>
      </c>
      <c r="G21" s="25">
        <f>IF(P21=1,C21*D21/100*E21/365,"")</f>
      </c>
      <c r="H21" s="25">
        <f>IF(P21=1,C21+G21,"")</f>
      </c>
      <c r="I21" s="26">
        <f>IF(P21=1,(1+D21/100*E21/365)^(365/E21)-1,"")</f>
      </c>
      <c r="J21" s="26">
        <f>IF(P21=1,IF(S21=1,U21/T21-1,(1+B5/100)^(E21/30)-1),"")</f>
      </c>
      <c r="K21" s="27">
        <f>IF(P21=1,IF(S21=1,"IPC del INDEC","Estimada"),"")</f>
      </c>
      <c r="L21" s="26">
        <f>IF(P21=1,H21/(1+J21)/C21-1,"")</f>
      </c>
      <c r="M21" s="28">
        <f>IF(P21=0,IF(OR(A21&lt;&gt;"",ISNUMBER(B21),ISNUMBER(C21),ISNUMBER(D21),ISNUMBER(E21)),"Faltan datos: fecha, capital, TNA y días (mínimo 30)",""),IF(S21=1,IF(L21&gt;=0,"Le ganó a la inflación","Perdió contra la inflación"),IF(L21&gt;=0,"Le gana, si la inflación es la estimada","Pierde, si la inflación es la estimada")))</f>
      </c>
      <c r="N21" s="27">
        <f>IF(P21=0,"",IF(F21&lt;$B$6,"Vencido",IF(F21=$B$6,"Vence hoy","Faltan "&amp;(F21-$B$6)&amp;IF(F21-$B$6=1," día"," días"))))</f>
      </c>
      <c r="O21" s="28">
        <f>IF(OR(P21=0,F21&lt;$B$6),"",IF(A21="","Cargá el banco para controlarla",IF(SUMIFS($X$15:$X$38,$A$15:$A$38,A21)&gt;50000000,"Supera el tope en este banco","Dentro del tope")))</f>
      </c>
      <c r="P21">
        <f>IF(AND(ISNUMBER(B21),ISNUMBER(C21),C21&gt;0,ISNUMBER(D21),D21&gt;=0,ISNUMBER(E21),E21&gt;=30),1,0)</f>
      </c>
      <c r="Q21">
        <f>IF(P21=1,YEAR(B21)*12+MONTH(B21)-1,"")</f>
      </c>
      <c r="R21">
        <f>IF(P21=1,YEAR(F21)*12+MONTH(F21)-1,"")</f>
      </c>
      <c r="S21">
        <f>IF(P21=1,IF(AND(Q21-1&gt;=IPC!$J$2,R21&lt;=IPC!$J$3),1,0),0)</f>
      </c>
      <c r="T21">
        <f>IF(S21=1,INDEX(IPC!$D$5:$D$173,(Q21-1)-IPC!$J$2+1)*(INDEX(IPC!$D$5:$D$173,(Q21)-IPC!$J$2+1)/INDEX(IPC!$D$5:$D$173,(Q21-1)-IPC!$J$2+1))^(DAY(B21)/DAY(EOMONTH(B21,0))),"")</f>
      </c>
      <c r="U21">
        <f>IF(S21=1,INDEX(IPC!$D$5:$D$173,(R21-1)-IPC!$J$2+1)*(INDEX(IPC!$D$5:$D$173,(R21)-IPC!$J$2+1)/INDEX(IPC!$D$5:$D$173,(R21-1)-IPC!$J$2+1))^(DAY(F21)/DAY(EOMONTH(F21,0))),"")</f>
      </c>
      <c r="V21">
        <f>IF(AND(P21=1,F21&gt;=$B$6),F21+ROW()/100000,"")</f>
      </c>
      <c r="W21">
        <f>IF(P21=1,H21/(1+J21)-C21,"")</f>
      </c>
      <c r="X21">
        <f>IF(AND(P21=1,F21&gt;=$B$6),H21,"")</f>
      </c>
      <c r="Y21">
        <f>IF(P21=1,YEAR(F21),"")</f>
      </c>
      <c r="Z21">
        <f>IF(AND(P21=1,F21&lt;=$B$6),G21,"")</f>
      </c>
      <c r="AA21">
        <f>IF(AND(P21=1,F21&gt;=$B$6),C21,"")</f>
      </c>
      <c r="AB21">
        <f>IF(AND(P21=1,F21&gt;=$B$6),G21,"")</f>
      </c>
    </row>
    <row r="22" ht="30" customHeight="1" spans="1:28" x14ac:dyDescent="0.25">
      <c r="A22" s="20"/>
      <c r="B22" s="21"/>
      <c r="C22" s="22"/>
      <c r="D22" s="13"/>
      <c r="E22" s="23"/>
      <c r="F22" s="29">
        <f>IF(P22=1,B22+E22,"")</f>
      </c>
      <c r="G22" s="30">
        <f>IF(P22=1,C22*D22/100*E22/365,"")</f>
      </c>
      <c r="H22" s="30">
        <f>IF(P22=1,C22+G22,"")</f>
      </c>
      <c r="I22" s="31">
        <f>IF(P22=1,(1+D22/100*E22/365)^(365/E22)-1,"")</f>
      </c>
      <c r="J22" s="31">
        <f>IF(P22=1,IF(S22=1,U22/T22-1,(1+B5/100)^(E22/30)-1),"")</f>
      </c>
      <c r="K22" s="32">
        <f>IF(P22=1,IF(S22=1,"IPC del INDEC","Estimada"),"")</f>
      </c>
      <c r="L22" s="31">
        <f>IF(P22=1,H22/(1+J22)/C22-1,"")</f>
      </c>
      <c r="M22" s="33">
        <f>IF(P22=0,IF(OR(A22&lt;&gt;"",ISNUMBER(B22),ISNUMBER(C22),ISNUMBER(D22),ISNUMBER(E22)),"Faltan datos: fecha, capital, TNA y días (mínimo 30)",""),IF(S22=1,IF(L22&gt;=0,"Le ganó a la inflación","Perdió contra la inflación"),IF(L22&gt;=0,"Le gana, si la inflación es la estimada","Pierde, si la inflación es la estimada")))</f>
      </c>
      <c r="N22" s="32">
        <f>IF(P22=0,"",IF(F22&lt;$B$6,"Vencido",IF(F22=$B$6,"Vence hoy","Faltan "&amp;(F22-$B$6)&amp;IF(F22-$B$6=1," día"," días"))))</f>
      </c>
      <c r="O22" s="33">
        <f>IF(OR(P22=0,F22&lt;$B$6),"",IF(A22="","Cargá el banco para controlarla",IF(SUMIFS($X$15:$X$38,$A$15:$A$38,A22)&gt;50000000,"Supera el tope en este banco","Dentro del tope")))</f>
      </c>
      <c r="P22">
        <f>IF(AND(ISNUMBER(B22),ISNUMBER(C22),C22&gt;0,ISNUMBER(D22),D22&gt;=0,ISNUMBER(E22),E22&gt;=30),1,0)</f>
      </c>
      <c r="Q22">
        <f>IF(P22=1,YEAR(B22)*12+MONTH(B22)-1,"")</f>
      </c>
      <c r="R22">
        <f>IF(P22=1,YEAR(F22)*12+MONTH(F22)-1,"")</f>
      </c>
      <c r="S22">
        <f>IF(P22=1,IF(AND(Q22-1&gt;=IPC!$J$2,R22&lt;=IPC!$J$3),1,0),0)</f>
      </c>
      <c r="T22">
        <f>IF(S22=1,INDEX(IPC!$D$5:$D$173,(Q22-1)-IPC!$J$2+1)*(INDEX(IPC!$D$5:$D$173,(Q22)-IPC!$J$2+1)/INDEX(IPC!$D$5:$D$173,(Q22-1)-IPC!$J$2+1))^(DAY(B22)/DAY(EOMONTH(B22,0))),"")</f>
      </c>
      <c r="U22">
        <f>IF(S22=1,INDEX(IPC!$D$5:$D$173,(R22-1)-IPC!$J$2+1)*(INDEX(IPC!$D$5:$D$173,(R22)-IPC!$J$2+1)/INDEX(IPC!$D$5:$D$173,(R22-1)-IPC!$J$2+1))^(DAY(F22)/DAY(EOMONTH(F22,0))),"")</f>
      </c>
      <c r="V22">
        <f>IF(AND(P22=1,F22&gt;=$B$6),F22+ROW()/100000,"")</f>
      </c>
      <c r="W22">
        <f>IF(P22=1,H22/(1+J22)-C22,"")</f>
      </c>
      <c r="X22">
        <f>IF(AND(P22=1,F22&gt;=$B$6),H22,"")</f>
      </c>
      <c r="Y22">
        <f>IF(P22=1,YEAR(F22),"")</f>
      </c>
      <c r="Z22">
        <f>IF(AND(P22=1,F22&lt;=$B$6),G22,"")</f>
      </c>
      <c r="AA22">
        <f>IF(AND(P22=1,F22&gt;=$B$6),C22,"")</f>
      </c>
      <c r="AB22">
        <f>IF(AND(P22=1,F22&gt;=$B$6),G22,"")</f>
      </c>
    </row>
    <row r="23" ht="30" customHeight="1" spans="1:28" x14ac:dyDescent="0.25">
      <c r="A23" s="20"/>
      <c r="B23" s="21"/>
      <c r="C23" s="22"/>
      <c r="D23" s="13"/>
      <c r="E23" s="23"/>
      <c r="F23" s="24">
        <f>IF(P23=1,B23+E23,"")</f>
      </c>
      <c r="G23" s="25">
        <f>IF(P23=1,C23*D23/100*E23/365,"")</f>
      </c>
      <c r="H23" s="25">
        <f>IF(P23=1,C23+G23,"")</f>
      </c>
      <c r="I23" s="26">
        <f>IF(P23=1,(1+D23/100*E23/365)^(365/E23)-1,"")</f>
      </c>
      <c r="J23" s="26">
        <f>IF(P23=1,IF(S23=1,U23/T23-1,(1+B5/100)^(E23/30)-1),"")</f>
      </c>
      <c r="K23" s="27">
        <f>IF(P23=1,IF(S23=1,"IPC del INDEC","Estimada"),"")</f>
      </c>
      <c r="L23" s="26">
        <f>IF(P23=1,H23/(1+J23)/C23-1,"")</f>
      </c>
      <c r="M23" s="28">
        <f>IF(P23=0,IF(OR(A23&lt;&gt;"",ISNUMBER(B23),ISNUMBER(C23),ISNUMBER(D23),ISNUMBER(E23)),"Faltan datos: fecha, capital, TNA y días (mínimo 30)",""),IF(S23=1,IF(L23&gt;=0,"Le ganó a la inflación","Perdió contra la inflación"),IF(L23&gt;=0,"Le gana, si la inflación es la estimada","Pierde, si la inflación es la estimada")))</f>
      </c>
      <c r="N23" s="27">
        <f>IF(P23=0,"",IF(F23&lt;$B$6,"Vencido",IF(F23=$B$6,"Vence hoy","Faltan "&amp;(F23-$B$6)&amp;IF(F23-$B$6=1," día"," días"))))</f>
      </c>
      <c r="O23" s="28">
        <f>IF(OR(P23=0,F23&lt;$B$6),"",IF(A23="","Cargá el banco para controlarla",IF(SUMIFS($X$15:$X$38,$A$15:$A$38,A23)&gt;50000000,"Supera el tope en este banco","Dentro del tope")))</f>
      </c>
      <c r="P23">
        <f>IF(AND(ISNUMBER(B23),ISNUMBER(C23),C23&gt;0,ISNUMBER(D23),D23&gt;=0,ISNUMBER(E23),E23&gt;=30),1,0)</f>
      </c>
      <c r="Q23">
        <f>IF(P23=1,YEAR(B23)*12+MONTH(B23)-1,"")</f>
      </c>
      <c r="R23">
        <f>IF(P23=1,YEAR(F23)*12+MONTH(F23)-1,"")</f>
      </c>
      <c r="S23">
        <f>IF(P23=1,IF(AND(Q23-1&gt;=IPC!$J$2,R23&lt;=IPC!$J$3),1,0),0)</f>
      </c>
      <c r="T23">
        <f>IF(S23=1,INDEX(IPC!$D$5:$D$173,(Q23-1)-IPC!$J$2+1)*(INDEX(IPC!$D$5:$D$173,(Q23)-IPC!$J$2+1)/INDEX(IPC!$D$5:$D$173,(Q23-1)-IPC!$J$2+1))^(DAY(B23)/DAY(EOMONTH(B23,0))),"")</f>
      </c>
      <c r="U23">
        <f>IF(S23=1,INDEX(IPC!$D$5:$D$173,(R23-1)-IPC!$J$2+1)*(INDEX(IPC!$D$5:$D$173,(R23)-IPC!$J$2+1)/INDEX(IPC!$D$5:$D$173,(R23-1)-IPC!$J$2+1))^(DAY(F23)/DAY(EOMONTH(F23,0))),"")</f>
      </c>
      <c r="V23">
        <f>IF(AND(P23=1,F23&gt;=$B$6),F23+ROW()/100000,"")</f>
      </c>
      <c r="W23">
        <f>IF(P23=1,H23/(1+J23)-C23,"")</f>
      </c>
      <c r="X23">
        <f>IF(AND(P23=1,F23&gt;=$B$6),H23,"")</f>
      </c>
      <c r="Y23">
        <f>IF(P23=1,YEAR(F23),"")</f>
      </c>
      <c r="Z23">
        <f>IF(AND(P23=1,F23&lt;=$B$6),G23,"")</f>
      </c>
      <c r="AA23">
        <f>IF(AND(P23=1,F23&gt;=$B$6),C23,"")</f>
      </c>
      <c r="AB23">
        <f>IF(AND(P23=1,F23&gt;=$B$6),G23,"")</f>
      </c>
    </row>
    <row r="24" ht="30" customHeight="1" spans="1:28" x14ac:dyDescent="0.25">
      <c r="A24" s="20"/>
      <c r="B24" s="21"/>
      <c r="C24" s="22"/>
      <c r="D24" s="13"/>
      <c r="E24" s="23"/>
      <c r="F24" s="29">
        <f>IF(P24=1,B24+E24,"")</f>
      </c>
      <c r="G24" s="30">
        <f>IF(P24=1,C24*D24/100*E24/365,"")</f>
      </c>
      <c r="H24" s="30">
        <f>IF(P24=1,C24+G24,"")</f>
      </c>
      <c r="I24" s="31">
        <f>IF(P24=1,(1+D24/100*E24/365)^(365/E24)-1,"")</f>
      </c>
      <c r="J24" s="31">
        <f>IF(P24=1,IF(S24=1,U24/T24-1,(1+B5/100)^(E24/30)-1),"")</f>
      </c>
      <c r="K24" s="32">
        <f>IF(P24=1,IF(S24=1,"IPC del INDEC","Estimada"),"")</f>
      </c>
      <c r="L24" s="31">
        <f>IF(P24=1,H24/(1+J24)/C24-1,"")</f>
      </c>
      <c r="M24" s="33">
        <f>IF(P24=0,IF(OR(A24&lt;&gt;"",ISNUMBER(B24),ISNUMBER(C24),ISNUMBER(D24),ISNUMBER(E24)),"Faltan datos: fecha, capital, TNA y días (mínimo 30)",""),IF(S24=1,IF(L24&gt;=0,"Le ganó a la inflación","Perdió contra la inflación"),IF(L24&gt;=0,"Le gana, si la inflación es la estimada","Pierde, si la inflación es la estimada")))</f>
      </c>
      <c r="N24" s="32">
        <f>IF(P24=0,"",IF(F24&lt;$B$6,"Vencido",IF(F24=$B$6,"Vence hoy","Faltan "&amp;(F24-$B$6)&amp;IF(F24-$B$6=1," día"," días"))))</f>
      </c>
      <c r="O24" s="33">
        <f>IF(OR(P24=0,F24&lt;$B$6),"",IF(A24="","Cargá el banco para controlarla",IF(SUMIFS($X$15:$X$38,$A$15:$A$38,A24)&gt;50000000,"Supera el tope en este banco","Dentro del tope")))</f>
      </c>
      <c r="P24">
        <f>IF(AND(ISNUMBER(B24),ISNUMBER(C24),C24&gt;0,ISNUMBER(D24),D24&gt;=0,ISNUMBER(E24),E24&gt;=30),1,0)</f>
      </c>
      <c r="Q24">
        <f>IF(P24=1,YEAR(B24)*12+MONTH(B24)-1,"")</f>
      </c>
      <c r="R24">
        <f>IF(P24=1,YEAR(F24)*12+MONTH(F24)-1,"")</f>
      </c>
      <c r="S24">
        <f>IF(P24=1,IF(AND(Q24-1&gt;=IPC!$J$2,R24&lt;=IPC!$J$3),1,0),0)</f>
      </c>
      <c r="T24">
        <f>IF(S24=1,INDEX(IPC!$D$5:$D$173,(Q24-1)-IPC!$J$2+1)*(INDEX(IPC!$D$5:$D$173,(Q24)-IPC!$J$2+1)/INDEX(IPC!$D$5:$D$173,(Q24-1)-IPC!$J$2+1))^(DAY(B24)/DAY(EOMONTH(B24,0))),"")</f>
      </c>
      <c r="U24">
        <f>IF(S24=1,INDEX(IPC!$D$5:$D$173,(R24-1)-IPC!$J$2+1)*(INDEX(IPC!$D$5:$D$173,(R24)-IPC!$J$2+1)/INDEX(IPC!$D$5:$D$173,(R24-1)-IPC!$J$2+1))^(DAY(F24)/DAY(EOMONTH(F24,0))),"")</f>
      </c>
      <c r="V24">
        <f>IF(AND(P24=1,F24&gt;=$B$6),F24+ROW()/100000,"")</f>
      </c>
      <c r="W24">
        <f>IF(P24=1,H24/(1+J24)-C24,"")</f>
      </c>
      <c r="X24">
        <f>IF(AND(P24=1,F24&gt;=$B$6),H24,"")</f>
      </c>
      <c r="Y24">
        <f>IF(P24=1,YEAR(F24),"")</f>
      </c>
      <c r="Z24">
        <f>IF(AND(P24=1,F24&lt;=$B$6),G24,"")</f>
      </c>
      <c r="AA24">
        <f>IF(AND(P24=1,F24&gt;=$B$6),C24,"")</f>
      </c>
      <c r="AB24">
        <f>IF(AND(P24=1,F24&gt;=$B$6),G24,"")</f>
      </c>
    </row>
    <row r="25" ht="30" customHeight="1" spans="1:28" x14ac:dyDescent="0.25">
      <c r="A25" s="20"/>
      <c r="B25" s="21"/>
      <c r="C25" s="22"/>
      <c r="D25" s="13"/>
      <c r="E25" s="23"/>
      <c r="F25" s="24">
        <f>IF(P25=1,B25+E25,"")</f>
      </c>
      <c r="G25" s="25">
        <f>IF(P25=1,C25*D25/100*E25/365,"")</f>
      </c>
      <c r="H25" s="25">
        <f>IF(P25=1,C25+G25,"")</f>
      </c>
      <c r="I25" s="26">
        <f>IF(P25=1,(1+D25/100*E25/365)^(365/E25)-1,"")</f>
      </c>
      <c r="J25" s="26">
        <f>IF(P25=1,IF(S25=1,U25/T25-1,(1+B5/100)^(E25/30)-1),"")</f>
      </c>
      <c r="K25" s="27">
        <f>IF(P25=1,IF(S25=1,"IPC del INDEC","Estimada"),"")</f>
      </c>
      <c r="L25" s="26">
        <f>IF(P25=1,H25/(1+J25)/C25-1,"")</f>
      </c>
      <c r="M25" s="28">
        <f>IF(P25=0,IF(OR(A25&lt;&gt;"",ISNUMBER(B25),ISNUMBER(C25),ISNUMBER(D25),ISNUMBER(E25)),"Faltan datos: fecha, capital, TNA y días (mínimo 30)",""),IF(S25=1,IF(L25&gt;=0,"Le ganó a la inflación","Perdió contra la inflación"),IF(L25&gt;=0,"Le gana, si la inflación es la estimada","Pierde, si la inflación es la estimada")))</f>
      </c>
      <c r="N25" s="27">
        <f>IF(P25=0,"",IF(F25&lt;$B$6,"Vencido",IF(F25=$B$6,"Vence hoy","Faltan "&amp;(F25-$B$6)&amp;IF(F25-$B$6=1," día"," días"))))</f>
      </c>
      <c r="O25" s="28">
        <f>IF(OR(P25=0,F25&lt;$B$6),"",IF(A25="","Cargá el banco para controlarla",IF(SUMIFS($X$15:$X$38,$A$15:$A$38,A25)&gt;50000000,"Supera el tope en este banco","Dentro del tope")))</f>
      </c>
      <c r="P25">
        <f>IF(AND(ISNUMBER(B25),ISNUMBER(C25),C25&gt;0,ISNUMBER(D25),D25&gt;=0,ISNUMBER(E25),E25&gt;=30),1,0)</f>
      </c>
      <c r="Q25">
        <f>IF(P25=1,YEAR(B25)*12+MONTH(B25)-1,"")</f>
      </c>
      <c r="R25">
        <f>IF(P25=1,YEAR(F25)*12+MONTH(F25)-1,"")</f>
      </c>
      <c r="S25">
        <f>IF(P25=1,IF(AND(Q25-1&gt;=IPC!$J$2,R25&lt;=IPC!$J$3),1,0),0)</f>
      </c>
      <c r="T25">
        <f>IF(S25=1,INDEX(IPC!$D$5:$D$173,(Q25-1)-IPC!$J$2+1)*(INDEX(IPC!$D$5:$D$173,(Q25)-IPC!$J$2+1)/INDEX(IPC!$D$5:$D$173,(Q25-1)-IPC!$J$2+1))^(DAY(B25)/DAY(EOMONTH(B25,0))),"")</f>
      </c>
      <c r="U25">
        <f>IF(S25=1,INDEX(IPC!$D$5:$D$173,(R25-1)-IPC!$J$2+1)*(INDEX(IPC!$D$5:$D$173,(R25)-IPC!$J$2+1)/INDEX(IPC!$D$5:$D$173,(R25-1)-IPC!$J$2+1))^(DAY(F25)/DAY(EOMONTH(F25,0))),"")</f>
      </c>
      <c r="V25">
        <f>IF(AND(P25=1,F25&gt;=$B$6),F25+ROW()/100000,"")</f>
      </c>
      <c r="W25">
        <f>IF(P25=1,H25/(1+J25)-C25,"")</f>
      </c>
      <c r="X25">
        <f>IF(AND(P25=1,F25&gt;=$B$6),H25,"")</f>
      </c>
      <c r="Y25">
        <f>IF(P25=1,YEAR(F25),"")</f>
      </c>
      <c r="Z25">
        <f>IF(AND(P25=1,F25&lt;=$B$6),G25,"")</f>
      </c>
      <c r="AA25">
        <f>IF(AND(P25=1,F25&gt;=$B$6),C25,"")</f>
      </c>
      <c r="AB25">
        <f>IF(AND(P25=1,F25&gt;=$B$6),G25,"")</f>
      </c>
    </row>
    <row r="26" ht="30" customHeight="1" spans="1:28" x14ac:dyDescent="0.25">
      <c r="A26" s="20"/>
      <c r="B26" s="21"/>
      <c r="C26" s="22"/>
      <c r="D26" s="13"/>
      <c r="E26" s="23"/>
      <c r="F26" s="29">
        <f>IF(P26=1,B26+E26,"")</f>
      </c>
      <c r="G26" s="30">
        <f>IF(P26=1,C26*D26/100*E26/365,"")</f>
      </c>
      <c r="H26" s="30">
        <f>IF(P26=1,C26+G26,"")</f>
      </c>
      <c r="I26" s="31">
        <f>IF(P26=1,(1+D26/100*E26/365)^(365/E26)-1,"")</f>
      </c>
      <c r="J26" s="31">
        <f>IF(P26=1,IF(S26=1,U26/T26-1,(1+B5/100)^(E26/30)-1),"")</f>
      </c>
      <c r="K26" s="32">
        <f>IF(P26=1,IF(S26=1,"IPC del INDEC","Estimada"),"")</f>
      </c>
      <c r="L26" s="31">
        <f>IF(P26=1,H26/(1+J26)/C26-1,"")</f>
      </c>
      <c r="M26" s="33">
        <f>IF(P26=0,IF(OR(A26&lt;&gt;"",ISNUMBER(B26),ISNUMBER(C26),ISNUMBER(D26),ISNUMBER(E26)),"Faltan datos: fecha, capital, TNA y días (mínimo 30)",""),IF(S26=1,IF(L26&gt;=0,"Le ganó a la inflación","Perdió contra la inflación"),IF(L26&gt;=0,"Le gana, si la inflación es la estimada","Pierde, si la inflación es la estimada")))</f>
      </c>
      <c r="N26" s="32">
        <f>IF(P26=0,"",IF(F26&lt;$B$6,"Vencido",IF(F26=$B$6,"Vence hoy","Faltan "&amp;(F26-$B$6)&amp;IF(F26-$B$6=1," día"," días"))))</f>
      </c>
      <c r="O26" s="33">
        <f>IF(OR(P26=0,F26&lt;$B$6),"",IF(A26="","Cargá el banco para controlarla",IF(SUMIFS($X$15:$X$38,$A$15:$A$38,A26)&gt;50000000,"Supera el tope en este banco","Dentro del tope")))</f>
      </c>
      <c r="P26">
        <f>IF(AND(ISNUMBER(B26),ISNUMBER(C26),C26&gt;0,ISNUMBER(D26),D26&gt;=0,ISNUMBER(E26),E26&gt;=30),1,0)</f>
      </c>
      <c r="Q26">
        <f>IF(P26=1,YEAR(B26)*12+MONTH(B26)-1,"")</f>
      </c>
      <c r="R26">
        <f>IF(P26=1,YEAR(F26)*12+MONTH(F26)-1,"")</f>
      </c>
      <c r="S26">
        <f>IF(P26=1,IF(AND(Q26-1&gt;=IPC!$J$2,R26&lt;=IPC!$J$3),1,0),0)</f>
      </c>
      <c r="T26">
        <f>IF(S26=1,INDEX(IPC!$D$5:$D$173,(Q26-1)-IPC!$J$2+1)*(INDEX(IPC!$D$5:$D$173,(Q26)-IPC!$J$2+1)/INDEX(IPC!$D$5:$D$173,(Q26-1)-IPC!$J$2+1))^(DAY(B26)/DAY(EOMONTH(B26,0))),"")</f>
      </c>
      <c r="U26">
        <f>IF(S26=1,INDEX(IPC!$D$5:$D$173,(R26-1)-IPC!$J$2+1)*(INDEX(IPC!$D$5:$D$173,(R26)-IPC!$J$2+1)/INDEX(IPC!$D$5:$D$173,(R26-1)-IPC!$J$2+1))^(DAY(F26)/DAY(EOMONTH(F26,0))),"")</f>
      </c>
      <c r="V26">
        <f>IF(AND(P26=1,F26&gt;=$B$6),F26+ROW()/100000,"")</f>
      </c>
      <c r="W26">
        <f>IF(P26=1,H26/(1+J26)-C26,"")</f>
      </c>
      <c r="X26">
        <f>IF(AND(P26=1,F26&gt;=$B$6),H26,"")</f>
      </c>
      <c r="Y26">
        <f>IF(P26=1,YEAR(F26),"")</f>
      </c>
      <c r="Z26">
        <f>IF(AND(P26=1,F26&lt;=$B$6),G26,"")</f>
      </c>
      <c r="AA26">
        <f>IF(AND(P26=1,F26&gt;=$B$6),C26,"")</f>
      </c>
      <c r="AB26">
        <f>IF(AND(P26=1,F26&gt;=$B$6),G26,"")</f>
      </c>
    </row>
    <row r="27" ht="30" customHeight="1" spans="1:28" x14ac:dyDescent="0.25">
      <c r="A27" s="20"/>
      <c r="B27" s="21"/>
      <c r="C27" s="22"/>
      <c r="D27" s="13"/>
      <c r="E27" s="23"/>
      <c r="F27" s="24">
        <f>IF(P27=1,B27+E27,"")</f>
      </c>
      <c r="G27" s="25">
        <f>IF(P27=1,C27*D27/100*E27/365,"")</f>
      </c>
      <c r="H27" s="25">
        <f>IF(P27=1,C27+G27,"")</f>
      </c>
      <c r="I27" s="26">
        <f>IF(P27=1,(1+D27/100*E27/365)^(365/E27)-1,"")</f>
      </c>
      <c r="J27" s="26">
        <f>IF(P27=1,IF(S27=1,U27/T27-1,(1+B5/100)^(E27/30)-1),"")</f>
      </c>
      <c r="K27" s="27">
        <f>IF(P27=1,IF(S27=1,"IPC del INDEC","Estimada"),"")</f>
      </c>
      <c r="L27" s="26">
        <f>IF(P27=1,H27/(1+J27)/C27-1,"")</f>
      </c>
      <c r="M27" s="28">
        <f>IF(P27=0,IF(OR(A27&lt;&gt;"",ISNUMBER(B27),ISNUMBER(C27),ISNUMBER(D27),ISNUMBER(E27)),"Faltan datos: fecha, capital, TNA y días (mínimo 30)",""),IF(S27=1,IF(L27&gt;=0,"Le ganó a la inflación","Perdió contra la inflación"),IF(L27&gt;=0,"Le gana, si la inflación es la estimada","Pierde, si la inflación es la estimada")))</f>
      </c>
      <c r="N27" s="27">
        <f>IF(P27=0,"",IF(F27&lt;$B$6,"Vencido",IF(F27=$B$6,"Vence hoy","Faltan "&amp;(F27-$B$6)&amp;IF(F27-$B$6=1," día"," días"))))</f>
      </c>
      <c r="O27" s="28">
        <f>IF(OR(P27=0,F27&lt;$B$6),"",IF(A27="","Cargá el banco para controlarla",IF(SUMIFS($X$15:$X$38,$A$15:$A$38,A27)&gt;50000000,"Supera el tope en este banco","Dentro del tope")))</f>
      </c>
      <c r="P27">
        <f>IF(AND(ISNUMBER(B27),ISNUMBER(C27),C27&gt;0,ISNUMBER(D27),D27&gt;=0,ISNUMBER(E27),E27&gt;=30),1,0)</f>
      </c>
      <c r="Q27">
        <f>IF(P27=1,YEAR(B27)*12+MONTH(B27)-1,"")</f>
      </c>
      <c r="R27">
        <f>IF(P27=1,YEAR(F27)*12+MONTH(F27)-1,"")</f>
      </c>
      <c r="S27">
        <f>IF(P27=1,IF(AND(Q27-1&gt;=IPC!$J$2,R27&lt;=IPC!$J$3),1,0),0)</f>
      </c>
      <c r="T27">
        <f>IF(S27=1,INDEX(IPC!$D$5:$D$173,(Q27-1)-IPC!$J$2+1)*(INDEX(IPC!$D$5:$D$173,(Q27)-IPC!$J$2+1)/INDEX(IPC!$D$5:$D$173,(Q27-1)-IPC!$J$2+1))^(DAY(B27)/DAY(EOMONTH(B27,0))),"")</f>
      </c>
      <c r="U27">
        <f>IF(S27=1,INDEX(IPC!$D$5:$D$173,(R27-1)-IPC!$J$2+1)*(INDEX(IPC!$D$5:$D$173,(R27)-IPC!$J$2+1)/INDEX(IPC!$D$5:$D$173,(R27-1)-IPC!$J$2+1))^(DAY(F27)/DAY(EOMONTH(F27,0))),"")</f>
      </c>
      <c r="V27">
        <f>IF(AND(P27=1,F27&gt;=$B$6),F27+ROW()/100000,"")</f>
      </c>
      <c r="W27">
        <f>IF(P27=1,H27/(1+J27)-C27,"")</f>
      </c>
      <c r="X27">
        <f>IF(AND(P27=1,F27&gt;=$B$6),H27,"")</f>
      </c>
      <c r="Y27">
        <f>IF(P27=1,YEAR(F27),"")</f>
      </c>
      <c r="Z27">
        <f>IF(AND(P27=1,F27&lt;=$B$6),G27,"")</f>
      </c>
      <c r="AA27">
        <f>IF(AND(P27=1,F27&gt;=$B$6),C27,"")</f>
      </c>
      <c r="AB27">
        <f>IF(AND(P27=1,F27&gt;=$B$6),G27,"")</f>
      </c>
    </row>
    <row r="28" ht="30" customHeight="1" spans="1:28" x14ac:dyDescent="0.25">
      <c r="A28" s="20"/>
      <c r="B28" s="21"/>
      <c r="C28" s="22"/>
      <c r="D28" s="13"/>
      <c r="E28" s="23"/>
      <c r="F28" s="29">
        <f>IF(P28=1,B28+E28,"")</f>
      </c>
      <c r="G28" s="30">
        <f>IF(P28=1,C28*D28/100*E28/365,"")</f>
      </c>
      <c r="H28" s="30">
        <f>IF(P28=1,C28+G28,"")</f>
      </c>
      <c r="I28" s="31">
        <f>IF(P28=1,(1+D28/100*E28/365)^(365/E28)-1,"")</f>
      </c>
      <c r="J28" s="31">
        <f>IF(P28=1,IF(S28=1,U28/T28-1,(1+B5/100)^(E28/30)-1),"")</f>
      </c>
      <c r="K28" s="32">
        <f>IF(P28=1,IF(S28=1,"IPC del INDEC","Estimada"),"")</f>
      </c>
      <c r="L28" s="31">
        <f>IF(P28=1,H28/(1+J28)/C28-1,"")</f>
      </c>
      <c r="M28" s="33">
        <f>IF(P28=0,IF(OR(A28&lt;&gt;"",ISNUMBER(B28),ISNUMBER(C28),ISNUMBER(D28),ISNUMBER(E28)),"Faltan datos: fecha, capital, TNA y días (mínimo 30)",""),IF(S28=1,IF(L28&gt;=0,"Le ganó a la inflación","Perdió contra la inflación"),IF(L28&gt;=0,"Le gana, si la inflación es la estimada","Pierde, si la inflación es la estimada")))</f>
      </c>
      <c r="N28" s="32">
        <f>IF(P28=0,"",IF(F28&lt;$B$6,"Vencido",IF(F28=$B$6,"Vence hoy","Faltan "&amp;(F28-$B$6)&amp;IF(F28-$B$6=1," día"," días"))))</f>
      </c>
      <c r="O28" s="33">
        <f>IF(OR(P28=0,F28&lt;$B$6),"",IF(A28="","Cargá el banco para controlarla",IF(SUMIFS($X$15:$X$38,$A$15:$A$38,A28)&gt;50000000,"Supera el tope en este banco","Dentro del tope")))</f>
      </c>
      <c r="P28">
        <f>IF(AND(ISNUMBER(B28),ISNUMBER(C28),C28&gt;0,ISNUMBER(D28),D28&gt;=0,ISNUMBER(E28),E28&gt;=30),1,0)</f>
      </c>
      <c r="Q28">
        <f>IF(P28=1,YEAR(B28)*12+MONTH(B28)-1,"")</f>
      </c>
      <c r="R28">
        <f>IF(P28=1,YEAR(F28)*12+MONTH(F28)-1,"")</f>
      </c>
      <c r="S28">
        <f>IF(P28=1,IF(AND(Q28-1&gt;=IPC!$J$2,R28&lt;=IPC!$J$3),1,0),0)</f>
      </c>
      <c r="T28">
        <f>IF(S28=1,INDEX(IPC!$D$5:$D$173,(Q28-1)-IPC!$J$2+1)*(INDEX(IPC!$D$5:$D$173,(Q28)-IPC!$J$2+1)/INDEX(IPC!$D$5:$D$173,(Q28-1)-IPC!$J$2+1))^(DAY(B28)/DAY(EOMONTH(B28,0))),"")</f>
      </c>
      <c r="U28">
        <f>IF(S28=1,INDEX(IPC!$D$5:$D$173,(R28-1)-IPC!$J$2+1)*(INDEX(IPC!$D$5:$D$173,(R28)-IPC!$J$2+1)/INDEX(IPC!$D$5:$D$173,(R28-1)-IPC!$J$2+1))^(DAY(F28)/DAY(EOMONTH(F28,0))),"")</f>
      </c>
      <c r="V28">
        <f>IF(AND(P28=1,F28&gt;=$B$6),F28+ROW()/100000,"")</f>
      </c>
      <c r="W28">
        <f>IF(P28=1,H28/(1+J28)-C28,"")</f>
      </c>
      <c r="X28">
        <f>IF(AND(P28=1,F28&gt;=$B$6),H28,"")</f>
      </c>
      <c r="Y28">
        <f>IF(P28=1,YEAR(F28),"")</f>
      </c>
      <c r="Z28">
        <f>IF(AND(P28=1,F28&lt;=$B$6),G28,"")</f>
      </c>
      <c r="AA28">
        <f>IF(AND(P28=1,F28&gt;=$B$6),C28,"")</f>
      </c>
      <c r="AB28">
        <f>IF(AND(P28=1,F28&gt;=$B$6),G28,"")</f>
      </c>
    </row>
    <row r="29" ht="30" customHeight="1" spans="1:28" x14ac:dyDescent="0.25">
      <c r="A29" s="20"/>
      <c r="B29" s="21"/>
      <c r="C29" s="22"/>
      <c r="D29" s="13"/>
      <c r="E29" s="23"/>
      <c r="F29" s="24">
        <f>IF(P29=1,B29+E29,"")</f>
      </c>
      <c r="G29" s="25">
        <f>IF(P29=1,C29*D29/100*E29/365,"")</f>
      </c>
      <c r="H29" s="25">
        <f>IF(P29=1,C29+G29,"")</f>
      </c>
      <c r="I29" s="26">
        <f>IF(P29=1,(1+D29/100*E29/365)^(365/E29)-1,"")</f>
      </c>
      <c r="J29" s="26">
        <f>IF(P29=1,IF(S29=1,U29/T29-1,(1+B5/100)^(E29/30)-1),"")</f>
      </c>
      <c r="K29" s="27">
        <f>IF(P29=1,IF(S29=1,"IPC del INDEC","Estimada"),"")</f>
      </c>
      <c r="L29" s="26">
        <f>IF(P29=1,H29/(1+J29)/C29-1,"")</f>
      </c>
      <c r="M29" s="28">
        <f>IF(P29=0,IF(OR(A29&lt;&gt;"",ISNUMBER(B29),ISNUMBER(C29),ISNUMBER(D29),ISNUMBER(E29)),"Faltan datos: fecha, capital, TNA y días (mínimo 30)",""),IF(S29=1,IF(L29&gt;=0,"Le ganó a la inflación","Perdió contra la inflación"),IF(L29&gt;=0,"Le gana, si la inflación es la estimada","Pierde, si la inflación es la estimada")))</f>
      </c>
      <c r="N29" s="27">
        <f>IF(P29=0,"",IF(F29&lt;$B$6,"Vencido",IF(F29=$B$6,"Vence hoy","Faltan "&amp;(F29-$B$6)&amp;IF(F29-$B$6=1," día"," días"))))</f>
      </c>
      <c r="O29" s="28">
        <f>IF(OR(P29=0,F29&lt;$B$6),"",IF(A29="","Cargá el banco para controlarla",IF(SUMIFS($X$15:$X$38,$A$15:$A$38,A29)&gt;50000000,"Supera el tope en este banco","Dentro del tope")))</f>
      </c>
      <c r="P29">
        <f>IF(AND(ISNUMBER(B29),ISNUMBER(C29),C29&gt;0,ISNUMBER(D29),D29&gt;=0,ISNUMBER(E29),E29&gt;=30),1,0)</f>
      </c>
      <c r="Q29">
        <f>IF(P29=1,YEAR(B29)*12+MONTH(B29)-1,"")</f>
      </c>
      <c r="R29">
        <f>IF(P29=1,YEAR(F29)*12+MONTH(F29)-1,"")</f>
      </c>
      <c r="S29">
        <f>IF(P29=1,IF(AND(Q29-1&gt;=IPC!$J$2,R29&lt;=IPC!$J$3),1,0),0)</f>
      </c>
      <c r="T29">
        <f>IF(S29=1,INDEX(IPC!$D$5:$D$173,(Q29-1)-IPC!$J$2+1)*(INDEX(IPC!$D$5:$D$173,(Q29)-IPC!$J$2+1)/INDEX(IPC!$D$5:$D$173,(Q29-1)-IPC!$J$2+1))^(DAY(B29)/DAY(EOMONTH(B29,0))),"")</f>
      </c>
      <c r="U29">
        <f>IF(S29=1,INDEX(IPC!$D$5:$D$173,(R29-1)-IPC!$J$2+1)*(INDEX(IPC!$D$5:$D$173,(R29)-IPC!$J$2+1)/INDEX(IPC!$D$5:$D$173,(R29-1)-IPC!$J$2+1))^(DAY(F29)/DAY(EOMONTH(F29,0))),"")</f>
      </c>
      <c r="V29">
        <f>IF(AND(P29=1,F29&gt;=$B$6),F29+ROW()/100000,"")</f>
      </c>
      <c r="W29">
        <f>IF(P29=1,H29/(1+J29)-C29,"")</f>
      </c>
      <c r="X29">
        <f>IF(AND(P29=1,F29&gt;=$B$6),H29,"")</f>
      </c>
      <c r="Y29">
        <f>IF(P29=1,YEAR(F29),"")</f>
      </c>
      <c r="Z29">
        <f>IF(AND(P29=1,F29&lt;=$B$6),G29,"")</f>
      </c>
      <c r="AA29">
        <f>IF(AND(P29=1,F29&gt;=$B$6),C29,"")</f>
      </c>
      <c r="AB29">
        <f>IF(AND(P29=1,F29&gt;=$B$6),G29,"")</f>
      </c>
    </row>
    <row r="30" ht="30" customHeight="1" spans="1:28" x14ac:dyDescent="0.25">
      <c r="A30" s="20"/>
      <c r="B30" s="21"/>
      <c r="C30" s="22"/>
      <c r="D30" s="13"/>
      <c r="E30" s="23"/>
      <c r="F30" s="29">
        <f>IF(P30=1,B30+E30,"")</f>
      </c>
      <c r="G30" s="30">
        <f>IF(P30=1,C30*D30/100*E30/365,"")</f>
      </c>
      <c r="H30" s="30">
        <f>IF(P30=1,C30+G30,"")</f>
      </c>
      <c r="I30" s="31">
        <f>IF(P30=1,(1+D30/100*E30/365)^(365/E30)-1,"")</f>
      </c>
      <c r="J30" s="31">
        <f>IF(P30=1,IF(S30=1,U30/T30-1,(1+B5/100)^(E30/30)-1),"")</f>
      </c>
      <c r="K30" s="32">
        <f>IF(P30=1,IF(S30=1,"IPC del INDEC","Estimada"),"")</f>
      </c>
      <c r="L30" s="31">
        <f>IF(P30=1,H30/(1+J30)/C30-1,"")</f>
      </c>
      <c r="M30" s="33">
        <f>IF(P30=0,IF(OR(A30&lt;&gt;"",ISNUMBER(B30),ISNUMBER(C30),ISNUMBER(D30),ISNUMBER(E30)),"Faltan datos: fecha, capital, TNA y días (mínimo 30)",""),IF(S30=1,IF(L30&gt;=0,"Le ganó a la inflación","Perdió contra la inflación"),IF(L30&gt;=0,"Le gana, si la inflación es la estimada","Pierde, si la inflación es la estimada")))</f>
      </c>
      <c r="N30" s="32">
        <f>IF(P30=0,"",IF(F30&lt;$B$6,"Vencido",IF(F30=$B$6,"Vence hoy","Faltan "&amp;(F30-$B$6)&amp;IF(F30-$B$6=1," día"," días"))))</f>
      </c>
      <c r="O30" s="33">
        <f>IF(OR(P30=0,F30&lt;$B$6),"",IF(A30="","Cargá el banco para controlarla",IF(SUMIFS($X$15:$X$38,$A$15:$A$38,A30)&gt;50000000,"Supera el tope en este banco","Dentro del tope")))</f>
      </c>
      <c r="P30">
        <f>IF(AND(ISNUMBER(B30),ISNUMBER(C30),C30&gt;0,ISNUMBER(D30),D30&gt;=0,ISNUMBER(E30),E30&gt;=30),1,0)</f>
      </c>
      <c r="Q30">
        <f>IF(P30=1,YEAR(B30)*12+MONTH(B30)-1,"")</f>
      </c>
      <c r="R30">
        <f>IF(P30=1,YEAR(F30)*12+MONTH(F30)-1,"")</f>
      </c>
      <c r="S30">
        <f>IF(P30=1,IF(AND(Q30-1&gt;=IPC!$J$2,R30&lt;=IPC!$J$3),1,0),0)</f>
      </c>
      <c r="T30">
        <f>IF(S30=1,INDEX(IPC!$D$5:$D$173,(Q30-1)-IPC!$J$2+1)*(INDEX(IPC!$D$5:$D$173,(Q30)-IPC!$J$2+1)/INDEX(IPC!$D$5:$D$173,(Q30-1)-IPC!$J$2+1))^(DAY(B30)/DAY(EOMONTH(B30,0))),"")</f>
      </c>
      <c r="U30">
        <f>IF(S30=1,INDEX(IPC!$D$5:$D$173,(R30-1)-IPC!$J$2+1)*(INDEX(IPC!$D$5:$D$173,(R30)-IPC!$J$2+1)/INDEX(IPC!$D$5:$D$173,(R30-1)-IPC!$J$2+1))^(DAY(F30)/DAY(EOMONTH(F30,0))),"")</f>
      </c>
      <c r="V30">
        <f>IF(AND(P30=1,F30&gt;=$B$6),F30+ROW()/100000,"")</f>
      </c>
      <c r="W30">
        <f>IF(P30=1,H30/(1+J30)-C30,"")</f>
      </c>
      <c r="X30">
        <f>IF(AND(P30=1,F30&gt;=$B$6),H30,"")</f>
      </c>
      <c r="Y30">
        <f>IF(P30=1,YEAR(F30),"")</f>
      </c>
      <c r="Z30">
        <f>IF(AND(P30=1,F30&lt;=$B$6),G30,"")</f>
      </c>
      <c r="AA30">
        <f>IF(AND(P30=1,F30&gt;=$B$6),C30,"")</f>
      </c>
      <c r="AB30">
        <f>IF(AND(P30=1,F30&gt;=$B$6),G30,"")</f>
      </c>
    </row>
    <row r="31" ht="30" customHeight="1" spans="1:28" x14ac:dyDescent="0.25">
      <c r="A31" s="20"/>
      <c r="B31" s="21"/>
      <c r="C31" s="22"/>
      <c r="D31" s="13"/>
      <c r="E31" s="23"/>
      <c r="F31" s="24">
        <f>IF(P31=1,B31+E31,"")</f>
      </c>
      <c r="G31" s="25">
        <f>IF(P31=1,C31*D31/100*E31/365,"")</f>
      </c>
      <c r="H31" s="25">
        <f>IF(P31=1,C31+G31,"")</f>
      </c>
      <c r="I31" s="26">
        <f>IF(P31=1,(1+D31/100*E31/365)^(365/E31)-1,"")</f>
      </c>
      <c r="J31" s="26">
        <f>IF(P31=1,IF(S31=1,U31/T31-1,(1+B5/100)^(E31/30)-1),"")</f>
      </c>
      <c r="K31" s="27">
        <f>IF(P31=1,IF(S31=1,"IPC del INDEC","Estimada"),"")</f>
      </c>
      <c r="L31" s="26">
        <f>IF(P31=1,H31/(1+J31)/C31-1,"")</f>
      </c>
      <c r="M31" s="28">
        <f>IF(P31=0,IF(OR(A31&lt;&gt;"",ISNUMBER(B31),ISNUMBER(C31),ISNUMBER(D31),ISNUMBER(E31)),"Faltan datos: fecha, capital, TNA y días (mínimo 30)",""),IF(S31=1,IF(L31&gt;=0,"Le ganó a la inflación","Perdió contra la inflación"),IF(L31&gt;=0,"Le gana, si la inflación es la estimada","Pierde, si la inflación es la estimada")))</f>
      </c>
      <c r="N31" s="27">
        <f>IF(P31=0,"",IF(F31&lt;$B$6,"Vencido",IF(F31=$B$6,"Vence hoy","Faltan "&amp;(F31-$B$6)&amp;IF(F31-$B$6=1," día"," días"))))</f>
      </c>
      <c r="O31" s="28">
        <f>IF(OR(P31=0,F31&lt;$B$6),"",IF(A31="","Cargá el banco para controlarla",IF(SUMIFS($X$15:$X$38,$A$15:$A$38,A31)&gt;50000000,"Supera el tope en este banco","Dentro del tope")))</f>
      </c>
      <c r="P31">
        <f>IF(AND(ISNUMBER(B31),ISNUMBER(C31),C31&gt;0,ISNUMBER(D31),D31&gt;=0,ISNUMBER(E31),E31&gt;=30),1,0)</f>
      </c>
      <c r="Q31">
        <f>IF(P31=1,YEAR(B31)*12+MONTH(B31)-1,"")</f>
      </c>
      <c r="R31">
        <f>IF(P31=1,YEAR(F31)*12+MONTH(F31)-1,"")</f>
      </c>
      <c r="S31">
        <f>IF(P31=1,IF(AND(Q31-1&gt;=IPC!$J$2,R31&lt;=IPC!$J$3),1,0),0)</f>
      </c>
      <c r="T31">
        <f>IF(S31=1,INDEX(IPC!$D$5:$D$173,(Q31-1)-IPC!$J$2+1)*(INDEX(IPC!$D$5:$D$173,(Q31)-IPC!$J$2+1)/INDEX(IPC!$D$5:$D$173,(Q31-1)-IPC!$J$2+1))^(DAY(B31)/DAY(EOMONTH(B31,0))),"")</f>
      </c>
      <c r="U31">
        <f>IF(S31=1,INDEX(IPC!$D$5:$D$173,(R31-1)-IPC!$J$2+1)*(INDEX(IPC!$D$5:$D$173,(R31)-IPC!$J$2+1)/INDEX(IPC!$D$5:$D$173,(R31-1)-IPC!$J$2+1))^(DAY(F31)/DAY(EOMONTH(F31,0))),"")</f>
      </c>
      <c r="V31">
        <f>IF(AND(P31=1,F31&gt;=$B$6),F31+ROW()/100000,"")</f>
      </c>
      <c r="W31">
        <f>IF(P31=1,H31/(1+J31)-C31,"")</f>
      </c>
      <c r="X31">
        <f>IF(AND(P31=1,F31&gt;=$B$6),H31,"")</f>
      </c>
      <c r="Y31">
        <f>IF(P31=1,YEAR(F31),"")</f>
      </c>
      <c r="Z31">
        <f>IF(AND(P31=1,F31&lt;=$B$6),G31,"")</f>
      </c>
      <c r="AA31">
        <f>IF(AND(P31=1,F31&gt;=$B$6),C31,"")</f>
      </c>
      <c r="AB31">
        <f>IF(AND(P31=1,F31&gt;=$B$6),G31,"")</f>
      </c>
    </row>
    <row r="32" ht="30" customHeight="1" spans="1:28" x14ac:dyDescent="0.25">
      <c r="A32" s="20"/>
      <c r="B32" s="21"/>
      <c r="C32" s="22"/>
      <c r="D32" s="13"/>
      <c r="E32" s="23"/>
      <c r="F32" s="29">
        <f>IF(P32=1,B32+E32,"")</f>
      </c>
      <c r="G32" s="30">
        <f>IF(P32=1,C32*D32/100*E32/365,"")</f>
      </c>
      <c r="H32" s="30">
        <f>IF(P32=1,C32+G32,"")</f>
      </c>
      <c r="I32" s="31">
        <f>IF(P32=1,(1+D32/100*E32/365)^(365/E32)-1,"")</f>
      </c>
      <c r="J32" s="31">
        <f>IF(P32=1,IF(S32=1,U32/T32-1,(1+B5/100)^(E32/30)-1),"")</f>
      </c>
      <c r="K32" s="32">
        <f>IF(P32=1,IF(S32=1,"IPC del INDEC","Estimada"),"")</f>
      </c>
      <c r="L32" s="31">
        <f>IF(P32=1,H32/(1+J32)/C32-1,"")</f>
      </c>
      <c r="M32" s="33">
        <f>IF(P32=0,IF(OR(A32&lt;&gt;"",ISNUMBER(B32),ISNUMBER(C32),ISNUMBER(D32),ISNUMBER(E32)),"Faltan datos: fecha, capital, TNA y días (mínimo 30)",""),IF(S32=1,IF(L32&gt;=0,"Le ganó a la inflación","Perdió contra la inflación"),IF(L32&gt;=0,"Le gana, si la inflación es la estimada","Pierde, si la inflación es la estimada")))</f>
      </c>
      <c r="N32" s="32">
        <f>IF(P32=0,"",IF(F32&lt;$B$6,"Vencido",IF(F32=$B$6,"Vence hoy","Faltan "&amp;(F32-$B$6)&amp;IF(F32-$B$6=1," día"," días"))))</f>
      </c>
      <c r="O32" s="33">
        <f>IF(OR(P32=0,F32&lt;$B$6),"",IF(A32="","Cargá el banco para controlarla",IF(SUMIFS($X$15:$X$38,$A$15:$A$38,A32)&gt;50000000,"Supera el tope en este banco","Dentro del tope")))</f>
      </c>
      <c r="P32">
        <f>IF(AND(ISNUMBER(B32),ISNUMBER(C32),C32&gt;0,ISNUMBER(D32),D32&gt;=0,ISNUMBER(E32),E32&gt;=30),1,0)</f>
      </c>
      <c r="Q32">
        <f>IF(P32=1,YEAR(B32)*12+MONTH(B32)-1,"")</f>
      </c>
      <c r="R32">
        <f>IF(P32=1,YEAR(F32)*12+MONTH(F32)-1,"")</f>
      </c>
      <c r="S32">
        <f>IF(P32=1,IF(AND(Q32-1&gt;=IPC!$J$2,R32&lt;=IPC!$J$3),1,0),0)</f>
      </c>
      <c r="T32">
        <f>IF(S32=1,INDEX(IPC!$D$5:$D$173,(Q32-1)-IPC!$J$2+1)*(INDEX(IPC!$D$5:$D$173,(Q32)-IPC!$J$2+1)/INDEX(IPC!$D$5:$D$173,(Q32-1)-IPC!$J$2+1))^(DAY(B32)/DAY(EOMONTH(B32,0))),"")</f>
      </c>
      <c r="U32">
        <f>IF(S32=1,INDEX(IPC!$D$5:$D$173,(R32-1)-IPC!$J$2+1)*(INDEX(IPC!$D$5:$D$173,(R32)-IPC!$J$2+1)/INDEX(IPC!$D$5:$D$173,(R32-1)-IPC!$J$2+1))^(DAY(F32)/DAY(EOMONTH(F32,0))),"")</f>
      </c>
      <c r="V32">
        <f>IF(AND(P32=1,F32&gt;=$B$6),F32+ROW()/100000,"")</f>
      </c>
      <c r="W32">
        <f>IF(P32=1,H32/(1+J32)-C32,"")</f>
      </c>
      <c r="X32">
        <f>IF(AND(P32=1,F32&gt;=$B$6),H32,"")</f>
      </c>
      <c r="Y32">
        <f>IF(P32=1,YEAR(F32),"")</f>
      </c>
      <c r="Z32">
        <f>IF(AND(P32=1,F32&lt;=$B$6),G32,"")</f>
      </c>
      <c r="AA32">
        <f>IF(AND(P32=1,F32&gt;=$B$6),C32,"")</f>
      </c>
      <c r="AB32">
        <f>IF(AND(P32=1,F32&gt;=$B$6),G32,"")</f>
      </c>
    </row>
    <row r="33" ht="30" customHeight="1" spans="1:28" x14ac:dyDescent="0.25">
      <c r="A33" s="20"/>
      <c r="B33" s="21"/>
      <c r="C33" s="22"/>
      <c r="D33" s="13"/>
      <c r="E33" s="23"/>
      <c r="F33" s="24">
        <f>IF(P33=1,B33+E33,"")</f>
      </c>
      <c r="G33" s="25">
        <f>IF(P33=1,C33*D33/100*E33/365,"")</f>
      </c>
      <c r="H33" s="25">
        <f>IF(P33=1,C33+G33,"")</f>
      </c>
      <c r="I33" s="26">
        <f>IF(P33=1,(1+D33/100*E33/365)^(365/E33)-1,"")</f>
      </c>
      <c r="J33" s="26">
        <f>IF(P33=1,IF(S33=1,U33/T33-1,(1+B5/100)^(E33/30)-1),"")</f>
      </c>
      <c r="K33" s="27">
        <f>IF(P33=1,IF(S33=1,"IPC del INDEC","Estimada"),"")</f>
      </c>
      <c r="L33" s="26">
        <f>IF(P33=1,H33/(1+J33)/C33-1,"")</f>
      </c>
      <c r="M33" s="28">
        <f>IF(P33=0,IF(OR(A33&lt;&gt;"",ISNUMBER(B33),ISNUMBER(C33),ISNUMBER(D33),ISNUMBER(E33)),"Faltan datos: fecha, capital, TNA y días (mínimo 30)",""),IF(S33=1,IF(L33&gt;=0,"Le ganó a la inflación","Perdió contra la inflación"),IF(L33&gt;=0,"Le gana, si la inflación es la estimada","Pierde, si la inflación es la estimada")))</f>
      </c>
      <c r="N33" s="27">
        <f>IF(P33=0,"",IF(F33&lt;$B$6,"Vencido",IF(F33=$B$6,"Vence hoy","Faltan "&amp;(F33-$B$6)&amp;IF(F33-$B$6=1," día"," días"))))</f>
      </c>
      <c r="O33" s="28">
        <f>IF(OR(P33=0,F33&lt;$B$6),"",IF(A33="","Cargá el banco para controlarla",IF(SUMIFS($X$15:$X$38,$A$15:$A$38,A33)&gt;50000000,"Supera el tope en este banco","Dentro del tope")))</f>
      </c>
      <c r="P33">
        <f>IF(AND(ISNUMBER(B33),ISNUMBER(C33),C33&gt;0,ISNUMBER(D33),D33&gt;=0,ISNUMBER(E33),E33&gt;=30),1,0)</f>
      </c>
      <c r="Q33">
        <f>IF(P33=1,YEAR(B33)*12+MONTH(B33)-1,"")</f>
      </c>
      <c r="R33">
        <f>IF(P33=1,YEAR(F33)*12+MONTH(F33)-1,"")</f>
      </c>
      <c r="S33">
        <f>IF(P33=1,IF(AND(Q33-1&gt;=IPC!$J$2,R33&lt;=IPC!$J$3),1,0),0)</f>
      </c>
      <c r="T33">
        <f>IF(S33=1,INDEX(IPC!$D$5:$D$173,(Q33-1)-IPC!$J$2+1)*(INDEX(IPC!$D$5:$D$173,(Q33)-IPC!$J$2+1)/INDEX(IPC!$D$5:$D$173,(Q33-1)-IPC!$J$2+1))^(DAY(B33)/DAY(EOMONTH(B33,0))),"")</f>
      </c>
      <c r="U33">
        <f>IF(S33=1,INDEX(IPC!$D$5:$D$173,(R33-1)-IPC!$J$2+1)*(INDEX(IPC!$D$5:$D$173,(R33)-IPC!$J$2+1)/INDEX(IPC!$D$5:$D$173,(R33-1)-IPC!$J$2+1))^(DAY(F33)/DAY(EOMONTH(F33,0))),"")</f>
      </c>
      <c r="V33">
        <f>IF(AND(P33=1,F33&gt;=$B$6),F33+ROW()/100000,"")</f>
      </c>
      <c r="W33">
        <f>IF(P33=1,H33/(1+J33)-C33,"")</f>
      </c>
      <c r="X33">
        <f>IF(AND(P33=1,F33&gt;=$B$6),H33,"")</f>
      </c>
      <c r="Y33">
        <f>IF(P33=1,YEAR(F33),"")</f>
      </c>
      <c r="Z33">
        <f>IF(AND(P33=1,F33&lt;=$B$6),G33,"")</f>
      </c>
      <c r="AA33">
        <f>IF(AND(P33=1,F33&gt;=$B$6),C33,"")</f>
      </c>
      <c r="AB33">
        <f>IF(AND(P33=1,F33&gt;=$B$6),G33,"")</f>
      </c>
    </row>
    <row r="34" ht="30" customHeight="1" spans="1:28" x14ac:dyDescent="0.25">
      <c r="A34" s="20"/>
      <c r="B34" s="21"/>
      <c r="C34" s="22"/>
      <c r="D34" s="13"/>
      <c r="E34" s="23"/>
      <c r="F34" s="29">
        <f>IF(P34=1,B34+E34,"")</f>
      </c>
      <c r="G34" s="30">
        <f>IF(P34=1,C34*D34/100*E34/365,"")</f>
      </c>
      <c r="H34" s="30">
        <f>IF(P34=1,C34+G34,"")</f>
      </c>
      <c r="I34" s="31">
        <f>IF(P34=1,(1+D34/100*E34/365)^(365/E34)-1,"")</f>
      </c>
      <c r="J34" s="31">
        <f>IF(P34=1,IF(S34=1,U34/T34-1,(1+B5/100)^(E34/30)-1),"")</f>
      </c>
      <c r="K34" s="32">
        <f>IF(P34=1,IF(S34=1,"IPC del INDEC","Estimada"),"")</f>
      </c>
      <c r="L34" s="31">
        <f>IF(P34=1,H34/(1+J34)/C34-1,"")</f>
      </c>
      <c r="M34" s="33">
        <f>IF(P34=0,IF(OR(A34&lt;&gt;"",ISNUMBER(B34),ISNUMBER(C34),ISNUMBER(D34),ISNUMBER(E34)),"Faltan datos: fecha, capital, TNA y días (mínimo 30)",""),IF(S34=1,IF(L34&gt;=0,"Le ganó a la inflación","Perdió contra la inflación"),IF(L34&gt;=0,"Le gana, si la inflación es la estimada","Pierde, si la inflación es la estimada")))</f>
      </c>
      <c r="N34" s="32">
        <f>IF(P34=0,"",IF(F34&lt;$B$6,"Vencido",IF(F34=$B$6,"Vence hoy","Faltan "&amp;(F34-$B$6)&amp;IF(F34-$B$6=1," día"," días"))))</f>
      </c>
      <c r="O34" s="33">
        <f>IF(OR(P34=0,F34&lt;$B$6),"",IF(A34="","Cargá el banco para controlarla",IF(SUMIFS($X$15:$X$38,$A$15:$A$38,A34)&gt;50000000,"Supera el tope en este banco","Dentro del tope")))</f>
      </c>
      <c r="P34">
        <f>IF(AND(ISNUMBER(B34),ISNUMBER(C34),C34&gt;0,ISNUMBER(D34),D34&gt;=0,ISNUMBER(E34),E34&gt;=30),1,0)</f>
      </c>
      <c r="Q34">
        <f>IF(P34=1,YEAR(B34)*12+MONTH(B34)-1,"")</f>
      </c>
      <c r="R34">
        <f>IF(P34=1,YEAR(F34)*12+MONTH(F34)-1,"")</f>
      </c>
      <c r="S34">
        <f>IF(P34=1,IF(AND(Q34-1&gt;=IPC!$J$2,R34&lt;=IPC!$J$3),1,0),0)</f>
      </c>
      <c r="T34">
        <f>IF(S34=1,INDEX(IPC!$D$5:$D$173,(Q34-1)-IPC!$J$2+1)*(INDEX(IPC!$D$5:$D$173,(Q34)-IPC!$J$2+1)/INDEX(IPC!$D$5:$D$173,(Q34-1)-IPC!$J$2+1))^(DAY(B34)/DAY(EOMONTH(B34,0))),"")</f>
      </c>
      <c r="U34">
        <f>IF(S34=1,INDEX(IPC!$D$5:$D$173,(R34-1)-IPC!$J$2+1)*(INDEX(IPC!$D$5:$D$173,(R34)-IPC!$J$2+1)/INDEX(IPC!$D$5:$D$173,(R34-1)-IPC!$J$2+1))^(DAY(F34)/DAY(EOMONTH(F34,0))),"")</f>
      </c>
      <c r="V34">
        <f>IF(AND(P34=1,F34&gt;=$B$6),F34+ROW()/100000,"")</f>
      </c>
      <c r="W34">
        <f>IF(P34=1,H34/(1+J34)-C34,"")</f>
      </c>
      <c r="X34">
        <f>IF(AND(P34=1,F34&gt;=$B$6),H34,"")</f>
      </c>
      <c r="Y34">
        <f>IF(P34=1,YEAR(F34),"")</f>
      </c>
      <c r="Z34">
        <f>IF(AND(P34=1,F34&lt;=$B$6),G34,"")</f>
      </c>
      <c r="AA34">
        <f>IF(AND(P34=1,F34&gt;=$B$6),C34,"")</f>
      </c>
      <c r="AB34">
        <f>IF(AND(P34=1,F34&gt;=$B$6),G34,"")</f>
      </c>
    </row>
    <row r="35" ht="30" customHeight="1" spans="1:28" x14ac:dyDescent="0.25">
      <c r="A35" s="20"/>
      <c r="B35" s="21"/>
      <c r="C35" s="22"/>
      <c r="D35" s="13"/>
      <c r="E35" s="23"/>
      <c r="F35" s="24">
        <f>IF(P35=1,B35+E35,"")</f>
      </c>
      <c r="G35" s="25">
        <f>IF(P35=1,C35*D35/100*E35/365,"")</f>
      </c>
      <c r="H35" s="25">
        <f>IF(P35=1,C35+G35,"")</f>
      </c>
      <c r="I35" s="26">
        <f>IF(P35=1,(1+D35/100*E35/365)^(365/E35)-1,"")</f>
      </c>
      <c r="J35" s="26">
        <f>IF(P35=1,IF(S35=1,U35/T35-1,(1+B5/100)^(E35/30)-1),"")</f>
      </c>
      <c r="K35" s="27">
        <f>IF(P35=1,IF(S35=1,"IPC del INDEC","Estimada"),"")</f>
      </c>
      <c r="L35" s="26">
        <f>IF(P35=1,H35/(1+J35)/C35-1,"")</f>
      </c>
      <c r="M35" s="28">
        <f>IF(P35=0,IF(OR(A35&lt;&gt;"",ISNUMBER(B35),ISNUMBER(C35),ISNUMBER(D35),ISNUMBER(E35)),"Faltan datos: fecha, capital, TNA y días (mínimo 30)",""),IF(S35=1,IF(L35&gt;=0,"Le ganó a la inflación","Perdió contra la inflación"),IF(L35&gt;=0,"Le gana, si la inflación es la estimada","Pierde, si la inflación es la estimada")))</f>
      </c>
      <c r="N35" s="27">
        <f>IF(P35=0,"",IF(F35&lt;$B$6,"Vencido",IF(F35=$B$6,"Vence hoy","Faltan "&amp;(F35-$B$6)&amp;IF(F35-$B$6=1," día"," días"))))</f>
      </c>
      <c r="O35" s="28">
        <f>IF(OR(P35=0,F35&lt;$B$6),"",IF(A35="","Cargá el banco para controlarla",IF(SUMIFS($X$15:$X$38,$A$15:$A$38,A35)&gt;50000000,"Supera el tope en este banco","Dentro del tope")))</f>
      </c>
      <c r="P35">
        <f>IF(AND(ISNUMBER(B35),ISNUMBER(C35),C35&gt;0,ISNUMBER(D35),D35&gt;=0,ISNUMBER(E35),E35&gt;=30),1,0)</f>
      </c>
      <c r="Q35">
        <f>IF(P35=1,YEAR(B35)*12+MONTH(B35)-1,"")</f>
      </c>
      <c r="R35">
        <f>IF(P35=1,YEAR(F35)*12+MONTH(F35)-1,"")</f>
      </c>
      <c r="S35">
        <f>IF(P35=1,IF(AND(Q35-1&gt;=IPC!$J$2,R35&lt;=IPC!$J$3),1,0),0)</f>
      </c>
      <c r="T35">
        <f>IF(S35=1,INDEX(IPC!$D$5:$D$173,(Q35-1)-IPC!$J$2+1)*(INDEX(IPC!$D$5:$D$173,(Q35)-IPC!$J$2+1)/INDEX(IPC!$D$5:$D$173,(Q35-1)-IPC!$J$2+1))^(DAY(B35)/DAY(EOMONTH(B35,0))),"")</f>
      </c>
      <c r="U35">
        <f>IF(S35=1,INDEX(IPC!$D$5:$D$173,(R35-1)-IPC!$J$2+1)*(INDEX(IPC!$D$5:$D$173,(R35)-IPC!$J$2+1)/INDEX(IPC!$D$5:$D$173,(R35-1)-IPC!$J$2+1))^(DAY(F35)/DAY(EOMONTH(F35,0))),"")</f>
      </c>
      <c r="V35">
        <f>IF(AND(P35=1,F35&gt;=$B$6),F35+ROW()/100000,"")</f>
      </c>
      <c r="W35">
        <f>IF(P35=1,H35/(1+J35)-C35,"")</f>
      </c>
      <c r="X35">
        <f>IF(AND(P35=1,F35&gt;=$B$6),H35,"")</f>
      </c>
      <c r="Y35">
        <f>IF(P35=1,YEAR(F35),"")</f>
      </c>
      <c r="Z35">
        <f>IF(AND(P35=1,F35&lt;=$B$6),G35,"")</f>
      </c>
      <c r="AA35">
        <f>IF(AND(P35=1,F35&gt;=$B$6),C35,"")</f>
      </c>
      <c r="AB35">
        <f>IF(AND(P35=1,F35&gt;=$B$6),G35,"")</f>
      </c>
    </row>
    <row r="36" ht="30" customHeight="1" spans="1:28" x14ac:dyDescent="0.25">
      <c r="A36" s="20"/>
      <c r="B36" s="21"/>
      <c r="C36" s="22"/>
      <c r="D36" s="13"/>
      <c r="E36" s="23"/>
      <c r="F36" s="29">
        <f>IF(P36=1,B36+E36,"")</f>
      </c>
      <c r="G36" s="30">
        <f>IF(P36=1,C36*D36/100*E36/365,"")</f>
      </c>
      <c r="H36" s="30">
        <f>IF(P36=1,C36+G36,"")</f>
      </c>
      <c r="I36" s="31">
        <f>IF(P36=1,(1+D36/100*E36/365)^(365/E36)-1,"")</f>
      </c>
      <c r="J36" s="31">
        <f>IF(P36=1,IF(S36=1,U36/T36-1,(1+B5/100)^(E36/30)-1),"")</f>
      </c>
      <c r="K36" s="32">
        <f>IF(P36=1,IF(S36=1,"IPC del INDEC","Estimada"),"")</f>
      </c>
      <c r="L36" s="31">
        <f>IF(P36=1,H36/(1+J36)/C36-1,"")</f>
      </c>
      <c r="M36" s="33">
        <f>IF(P36=0,IF(OR(A36&lt;&gt;"",ISNUMBER(B36),ISNUMBER(C36),ISNUMBER(D36),ISNUMBER(E36)),"Faltan datos: fecha, capital, TNA y días (mínimo 30)",""),IF(S36=1,IF(L36&gt;=0,"Le ganó a la inflación","Perdió contra la inflación"),IF(L36&gt;=0,"Le gana, si la inflación es la estimada","Pierde, si la inflación es la estimada")))</f>
      </c>
      <c r="N36" s="32">
        <f>IF(P36=0,"",IF(F36&lt;$B$6,"Vencido",IF(F36=$B$6,"Vence hoy","Faltan "&amp;(F36-$B$6)&amp;IF(F36-$B$6=1," día"," días"))))</f>
      </c>
      <c r="O36" s="33">
        <f>IF(OR(P36=0,F36&lt;$B$6),"",IF(A36="","Cargá el banco para controlarla",IF(SUMIFS($X$15:$X$38,$A$15:$A$38,A36)&gt;50000000,"Supera el tope en este banco","Dentro del tope")))</f>
      </c>
      <c r="P36">
        <f>IF(AND(ISNUMBER(B36),ISNUMBER(C36),C36&gt;0,ISNUMBER(D36),D36&gt;=0,ISNUMBER(E36),E36&gt;=30),1,0)</f>
      </c>
      <c r="Q36">
        <f>IF(P36=1,YEAR(B36)*12+MONTH(B36)-1,"")</f>
      </c>
      <c r="R36">
        <f>IF(P36=1,YEAR(F36)*12+MONTH(F36)-1,"")</f>
      </c>
      <c r="S36">
        <f>IF(P36=1,IF(AND(Q36-1&gt;=IPC!$J$2,R36&lt;=IPC!$J$3),1,0),0)</f>
      </c>
      <c r="T36">
        <f>IF(S36=1,INDEX(IPC!$D$5:$D$173,(Q36-1)-IPC!$J$2+1)*(INDEX(IPC!$D$5:$D$173,(Q36)-IPC!$J$2+1)/INDEX(IPC!$D$5:$D$173,(Q36-1)-IPC!$J$2+1))^(DAY(B36)/DAY(EOMONTH(B36,0))),"")</f>
      </c>
      <c r="U36">
        <f>IF(S36=1,INDEX(IPC!$D$5:$D$173,(R36-1)-IPC!$J$2+1)*(INDEX(IPC!$D$5:$D$173,(R36)-IPC!$J$2+1)/INDEX(IPC!$D$5:$D$173,(R36-1)-IPC!$J$2+1))^(DAY(F36)/DAY(EOMONTH(F36,0))),"")</f>
      </c>
      <c r="V36">
        <f>IF(AND(P36=1,F36&gt;=$B$6),F36+ROW()/100000,"")</f>
      </c>
      <c r="W36">
        <f>IF(P36=1,H36/(1+J36)-C36,"")</f>
      </c>
      <c r="X36">
        <f>IF(AND(P36=1,F36&gt;=$B$6),H36,"")</f>
      </c>
      <c r="Y36">
        <f>IF(P36=1,YEAR(F36),"")</f>
      </c>
      <c r="Z36">
        <f>IF(AND(P36=1,F36&lt;=$B$6),G36,"")</f>
      </c>
      <c r="AA36">
        <f>IF(AND(P36=1,F36&gt;=$B$6),C36,"")</f>
      </c>
      <c r="AB36">
        <f>IF(AND(P36=1,F36&gt;=$B$6),G36,"")</f>
      </c>
    </row>
    <row r="37" ht="30" customHeight="1" spans="1:28" x14ac:dyDescent="0.25">
      <c r="A37" s="20"/>
      <c r="B37" s="21"/>
      <c r="C37" s="22"/>
      <c r="D37" s="13"/>
      <c r="E37" s="23"/>
      <c r="F37" s="24">
        <f>IF(P37=1,B37+E37,"")</f>
      </c>
      <c r="G37" s="25">
        <f>IF(P37=1,C37*D37/100*E37/365,"")</f>
      </c>
      <c r="H37" s="25">
        <f>IF(P37=1,C37+G37,"")</f>
      </c>
      <c r="I37" s="26">
        <f>IF(P37=1,(1+D37/100*E37/365)^(365/E37)-1,"")</f>
      </c>
      <c r="J37" s="26">
        <f>IF(P37=1,IF(S37=1,U37/T37-1,(1+B5/100)^(E37/30)-1),"")</f>
      </c>
      <c r="K37" s="27">
        <f>IF(P37=1,IF(S37=1,"IPC del INDEC","Estimada"),"")</f>
      </c>
      <c r="L37" s="26">
        <f>IF(P37=1,H37/(1+J37)/C37-1,"")</f>
      </c>
      <c r="M37" s="28">
        <f>IF(P37=0,IF(OR(A37&lt;&gt;"",ISNUMBER(B37),ISNUMBER(C37),ISNUMBER(D37),ISNUMBER(E37)),"Faltan datos: fecha, capital, TNA y días (mínimo 30)",""),IF(S37=1,IF(L37&gt;=0,"Le ganó a la inflación","Perdió contra la inflación"),IF(L37&gt;=0,"Le gana, si la inflación es la estimada","Pierde, si la inflación es la estimada")))</f>
      </c>
      <c r="N37" s="27">
        <f>IF(P37=0,"",IF(F37&lt;$B$6,"Vencido",IF(F37=$B$6,"Vence hoy","Faltan "&amp;(F37-$B$6)&amp;IF(F37-$B$6=1," día"," días"))))</f>
      </c>
      <c r="O37" s="28">
        <f>IF(OR(P37=0,F37&lt;$B$6),"",IF(A37="","Cargá el banco para controlarla",IF(SUMIFS($X$15:$X$38,$A$15:$A$38,A37)&gt;50000000,"Supera el tope en este banco","Dentro del tope")))</f>
      </c>
      <c r="P37">
        <f>IF(AND(ISNUMBER(B37),ISNUMBER(C37),C37&gt;0,ISNUMBER(D37),D37&gt;=0,ISNUMBER(E37),E37&gt;=30),1,0)</f>
      </c>
      <c r="Q37">
        <f>IF(P37=1,YEAR(B37)*12+MONTH(B37)-1,"")</f>
      </c>
      <c r="R37">
        <f>IF(P37=1,YEAR(F37)*12+MONTH(F37)-1,"")</f>
      </c>
      <c r="S37">
        <f>IF(P37=1,IF(AND(Q37-1&gt;=IPC!$J$2,R37&lt;=IPC!$J$3),1,0),0)</f>
      </c>
      <c r="T37">
        <f>IF(S37=1,INDEX(IPC!$D$5:$D$173,(Q37-1)-IPC!$J$2+1)*(INDEX(IPC!$D$5:$D$173,(Q37)-IPC!$J$2+1)/INDEX(IPC!$D$5:$D$173,(Q37-1)-IPC!$J$2+1))^(DAY(B37)/DAY(EOMONTH(B37,0))),"")</f>
      </c>
      <c r="U37">
        <f>IF(S37=1,INDEX(IPC!$D$5:$D$173,(R37-1)-IPC!$J$2+1)*(INDEX(IPC!$D$5:$D$173,(R37)-IPC!$J$2+1)/INDEX(IPC!$D$5:$D$173,(R37-1)-IPC!$J$2+1))^(DAY(F37)/DAY(EOMONTH(F37,0))),"")</f>
      </c>
      <c r="V37">
        <f>IF(AND(P37=1,F37&gt;=$B$6),F37+ROW()/100000,"")</f>
      </c>
      <c r="W37">
        <f>IF(P37=1,H37/(1+J37)-C37,"")</f>
      </c>
      <c r="X37">
        <f>IF(AND(P37=1,F37&gt;=$B$6),H37,"")</f>
      </c>
      <c r="Y37">
        <f>IF(P37=1,YEAR(F37),"")</f>
      </c>
      <c r="Z37">
        <f>IF(AND(P37=1,F37&lt;=$B$6),G37,"")</f>
      </c>
      <c r="AA37">
        <f>IF(AND(P37=1,F37&gt;=$B$6),C37,"")</f>
      </c>
      <c r="AB37">
        <f>IF(AND(P37=1,F37&gt;=$B$6),G37,"")</f>
      </c>
    </row>
    <row r="38" ht="30" customHeight="1" spans="1:28" x14ac:dyDescent="0.25">
      <c r="A38" s="20"/>
      <c r="B38" s="21"/>
      <c r="C38" s="22"/>
      <c r="D38" s="13"/>
      <c r="E38" s="23"/>
      <c r="F38" s="29">
        <f>IF(P38=1,B38+E38,"")</f>
      </c>
      <c r="G38" s="30">
        <f>IF(P38=1,C38*D38/100*E38/365,"")</f>
      </c>
      <c r="H38" s="30">
        <f>IF(P38=1,C38+G38,"")</f>
      </c>
      <c r="I38" s="31">
        <f>IF(P38=1,(1+D38/100*E38/365)^(365/E38)-1,"")</f>
      </c>
      <c r="J38" s="31">
        <f>IF(P38=1,IF(S38=1,U38/T38-1,(1+B5/100)^(E38/30)-1),"")</f>
      </c>
      <c r="K38" s="32">
        <f>IF(P38=1,IF(S38=1,"IPC del INDEC","Estimada"),"")</f>
      </c>
      <c r="L38" s="31">
        <f>IF(P38=1,H38/(1+J38)/C38-1,"")</f>
      </c>
      <c r="M38" s="33">
        <f>IF(P38=0,IF(OR(A38&lt;&gt;"",ISNUMBER(B38),ISNUMBER(C38),ISNUMBER(D38),ISNUMBER(E38)),"Faltan datos: fecha, capital, TNA y días (mínimo 30)",""),IF(S38=1,IF(L38&gt;=0,"Le ganó a la inflación","Perdió contra la inflación"),IF(L38&gt;=0,"Le gana, si la inflación es la estimada","Pierde, si la inflación es la estimada")))</f>
      </c>
      <c r="N38" s="32">
        <f>IF(P38=0,"",IF(F38&lt;$B$6,"Vencido",IF(F38=$B$6,"Vence hoy","Faltan "&amp;(F38-$B$6)&amp;IF(F38-$B$6=1," día"," días"))))</f>
      </c>
      <c r="O38" s="33">
        <f>IF(OR(P38=0,F38&lt;$B$6),"",IF(A38="","Cargá el banco para controlarla",IF(SUMIFS($X$15:$X$38,$A$15:$A$38,A38)&gt;50000000,"Supera el tope en este banco","Dentro del tope")))</f>
      </c>
      <c r="P38">
        <f>IF(AND(ISNUMBER(B38),ISNUMBER(C38),C38&gt;0,ISNUMBER(D38),D38&gt;=0,ISNUMBER(E38),E38&gt;=30),1,0)</f>
      </c>
      <c r="Q38">
        <f>IF(P38=1,YEAR(B38)*12+MONTH(B38)-1,"")</f>
      </c>
      <c r="R38">
        <f>IF(P38=1,YEAR(F38)*12+MONTH(F38)-1,"")</f>
      </c>
      <c r="S38">
        <f>IF(P38=1,IF(AND(Q38-1&gt;=IPC!$J$2,R38&lt;=IPC!$J$3),1,0),0)</f>
      </c>
      <c r="T38">
        <f>IF(S38=1,INDEX(IPC!$D$5:$D$173,(Q38-1)-IPC!$J$2+1)*(INDEX(IPC!$D$5:$D$173,(Q38)-IPC!$J$2+1)/INDEX(IPC!$D$5:$D$173,(Q38-1)-IPC!$J$2+1))^(DAY(B38)/DAY(EOMONTH(B38,0))),"")</f>
      </c>
      <c r="U38">
        <f>IF(S38=1,INDEX(IPC!$D$5:$D$173,(R38-1)-IPC!$J$2+1)*(INDEX(IPC!$D$5:$D$173,(R38)-IPC!$J$2+1)/INDEX(IPC!$D$5:$D$173,(R38-1)-IPC!$J$2+1))^(DAY(F38)/DAY(EOMONTH(F38,0))),"")</f>
      </c>
      <c r="V38">
        <f>IF(AND(P38=1,F38&gt;=$B$6),F38+ROW()/100000,"")</f>
      </c>
      <c r="W38">
        <f>IF(P38=1,H38/(1+J38)-C38,"")</f>
      </c>
      <c r="X38">
        <f>IF(AND(P38=1,F38&gt;=$B$6),H38,"")</f>
      </c>
      <c r="Y38">
        <f>IF(P38=1,YEAR(F38),"")</f>
      </c>
      <c r="Z38">
        <f>IF(AND(P38=1,F38&lt;=$B$6),G38,"")</f>
      </c>
      <c r="AA38">
        <f>IF(AND(P38=1,F38&gt;=$B$6),C38,"")</f>
      </c>
      <c r="AB38">
        <f>IF(AND(P38=1,F38&gt;=$B$6),G38,"")</f>
      </c>
    </row>
    <row r="40" ht="42" customHeight="1" spans="1:15" x14ac:dyDescent="0.25">
      <c r="A40" s="9" t="s">
        <v>53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ht="30" customHeight="1" spans="1:15" x14ac:dyDescent="0.25">
      <c r="A41" s="9" t="s">
        <v>54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</sheetData>
  <sheetProtection sheet="1" formatColumns="0" formatRows="0"/>
  <mergeCells count="9">
    <mergeCell ref="A1:O1"/>
    <mergeCell ref="A2:O2"/>
    <mergeCell ref="A4:B4"/>
    <mergeCell ref="C5:O5"/>
    <mergeCell ref="A8:B8"/>
    <mergeCell ref="C11:F11"/>
    <mergeCell ref="A13:O13"/>
    <mergeCell ref="A40:O40"/>
    <mergeCell ref="A41:O41"/>
  </mergeCells>
  <dataValidations count="5">
    <dataValidation type="decimal" allowBlank="1" showErrorMessage="1" error="Escribí la fecha como dd/mm/aaaa, por ejemplo 15/10/2026." sqref="B15:B38">
      <formula1>42736</formula1>
      <formula2>51501</formula2>
    </dataValidation>
    <dataValidation type="decimal" showErrorMessage="1" error="Escribí la inflación mensual como número: 1,7 para 1,7%." sqref="B5">
      <formula1>-20</formula1>
      <formula2>100</formula2>
    </dataValidation>
    <dataValidation type="decimal" allowBlank="1" showErrorMessage="1" error="Escribí el capital sin puntos ni signo $. Por ejemplo: 1000000." sqref="C15:C38">
      <formula1>0.01</formula1>
      <formula2>1000000000000</formula2>
    </dataValidation>
    <dataValidation type="decimal" allowBlank="1" showErrorMessage="1" error="Escribí la TNA como número: 22,5 para 22,5% anual." sqref="D15:D38">
      <formula1>0</formula1>
      <formula2>1000</formula2>
    </dataValidation>
    <dataValidation type="whole" allowBlank="1" showErrorMessage="1" error="Los días van enteros, desde 30 (el mínimo de un plazo fijo tradicional)." sqref="E15:E38">
      <formula1>30</formula1>
      <formula2>1825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J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6" customWidth="1"/>
    <col min="4" max="4" width="15" customWidth="1"/>
    <col min="5" max="5" width="18" customWidth="1"/>
    <col min="6" max="6" width="13" customWidth="1"/>
    <col min="7" max="7" width="12" customWidth="1"/>
    <col min="8" max="9" width="2" customWidth="1"/>
    <col min="10" max="10" width="8" hidden="1" customWidth="1"/>
  </cols>
  <sheetData>
    <row r="1" ht="28" customHeight="1" spans="1:7" x14ac:dyDescent="0.25">
      <c r="A1" s="10" t="s">
        <v>55</v>
      </c>
      <c r="B1" s="10"/>
      <c r="C1" s="10"/>
      <c r="D1" s="10"/>
      <c r="E1" s="10"/>
      <c r="F1" s="10"/>
      <c r="G1" s="10"/>
    </row>
    <row r="2" ht="30" customHeight="1" spans="1:7" x14ac:dyDescent="0.25">
      <c r="A2" s="11">
        <f>IF(COUNT('Mis plazos fijos'!$V$15:$V$38)=0,"No hay plazos fijos vigentes: cargalos en la hoja «Mis plazos fijos» y acá aparecen ordenados por fecha.","Tus plazos fijos vigentes, del que vence primero al último. Esta hoja no se completa: sale sola de «Mis plazos fijos».")</f>
      </c>
      <c r="B2" s="11"/>
      <c r="C2" s="11"/>
      <c r="D2" s="11"/>
      <c r="E2" s="11"/>
      <c r="F2" s="11"/>
      <c r="G2" s="11"/>
    </row>
    <row r="4" ht="32" customHeight="1" spans="1:7" x14ac:dyDescent="0.25">
      <c r="A4" s="19" t="s">
        <v>41</v>
      </c>
      <c r="B4" s="19" t="s">
        <v>36</v>
      </c>
      <c r="C4" s="19" t="s">
        <v>38</v>
      </c>
      <c r="D4" s="19" t="s">
        <v>42</v>
      </c>
      <c r="E4" s="19" t="s">
        <v>56</v>
      </c>
      <c r="F4" s="19" t="s">
        <v>57</v>
      </c>
      <c r="G4" s="19" t="s">
        <v>47</v>
      </c>
    </row>
    <row r="5" spans="1:10" x14ac:dyDescent="0.25">
      <c r="A5" s="24">
        <f>IFERROR(INT(SMALL('Mis plazos fijos'!$V$15:$V$38,1)),"")</f>
      </c>
      <c r="B5" s="27">
        <f>IF($J5="","",INDEX('Mis plazos fijos'!$A$1:$A$38,$J5)&amp;"")</f>
      </c>
      <c r="C5" s="25">
        <f>IF($J5="","",INDEX('Mis plazos fijos'!$C$1:$C$38,$J5))</f>
      </c>
      <c r="D5" s="25">
        <f>IF($J5="","",INDEX('Mis plazos fijos'!$G$1:$G$38,$J5))</f>
      </c>
      <c r="E5" s="34">
        <f>IF($J5="","",INDEX('Mis plazos fijos'!$H$1:$H$38,$J5))</f>
      </c>
      <c r="F5" s="35">
        <f>IF(A5="","",A5-'Mis plazos fijos'!$B$6)</f>
      </c>
      <c r="G5" s="26">
        <f>IF($J5="","",INDEX('Mis plazos fijos'!$L$1:$L$38,$J5))</f>
      </c>
      <c r="J5">
        <f>IFERROR(ROUND(MOD(SMALL('Mis plazos fijos'!$V$15:$V$38,1),1)*100000,0),"")</f>
      </c>
    </row>
    <row r="6" spans="1:10" x14ac:dyDescent="0.25">
      <c r="A6" s="29">
        <f>IFERROR(INT(SMALL('Mis plazos fijos'!$V$15:$V$38,2)),"")</f>
      </c>
      <c r="B6" s="32">
        <f>IF($J6="","",INDEX('Mis plazos fijos'!$A$1:$A$38,$J6)&amp;"")</f>
      </c>
      <c r="C6" s="30">
        <f>IF($J6="","",INDEX('Mis plazos fijos'!$C$1:$C$38,$J6))</f>
      </c>
      <c r="D6" s="30">
        <f>IF($J6="","",INDEX('Mis plazos fijos'!$G$1:$G$38,$J6))</f>
      </c>
      <c r="E6" s="36">
        <f>IF($J6="","",INDEX('Mis plazos fijos'!$H$1:$H$38,$J6))</f>
      </c>
      <c r="F6" s="37">
        <f>IF(A6="","",A6-'Mis plazos fijos'!$B$6)</f>
      </c>
      <c r="G6" s="31">
        <f>IF($J6="","",INDEX('Mis plazos fijos'!$L$1:$L$38,$J6))</f>
      </c>
      <c r="J6">
        <f>IFERROR(ROUND(MOD(SMALL('Mis plazos fijos'!$V$15:$V$38,2),1)*100000,0),"")</f>
      </c>
    </row>
    <row r="7" spans="1:10" x14ac:dyDescent="0.25">
      <c r="A7" s="24">
        <f>IFERROR(INT(SMALL('Mis plazos fijos'!$V$15:$V$38,3)),"")</f>
      </c>
      <c r="B7" s="27">
        <f>IF($J7="","",INDEX('Mis plazos fijos'!$A$1:$A$38,$J7)&amp;"")</f>
      </c>
      <c r="C7" s="25">
        <f>IF($J7="","",INDEX('Mis plazos fijos'!$C$1:$C$38,$J7))</f>
      </c>
      <c r="D7" s="25">
        <f>IF($J7="","",INDEX('Mis plazos fijos'!$G$1:$G$38,$J7))</f>
      </c>
      <c r="E7" s="34">
        <f>IF($J7="","",INDEX('Mis plazos fijos'!$H$1:$H$38,$J7))</f>
      </c>
      <c r="F7" s="35">
        <f>IF(A7="","",A7-'Mis plazos fijos'!$B$6)</f>
      </c>
      <c r="G7" s="26">
        <f>IF($J7="","",INDEX('Mis plazos fijos'!$L$1:$L$38,$J7))</f>
      </c>
      <c r="J7">
        <f>IFERROR(ROUND(MOD(SMALL('Mis plazos fijos'!$V$15:$V$38,3),1)*100000,0),"")</f>
      </c>
    </row>
    <row r="8" spans="1:10" x14ac:dyDescent="0.25">
      <c r="A8" s="29">
        <f>IFERROR(INT(SMALL('Mis plazos fijos'!$V$15:$V$38,4)),"")</f>
      </c>
      <c r="B8" s="32">
        <f>IF($J8="","",INDEX('Mis plazos fijos'!$A$1:$A$38,$J8)&amp;"")</f>
      </c>
      <c r="C8" s="30">
        <f>IF($J8="","",INDEX('Mis plazos fijos'!$C$1:$C$38,$J8))</f>
      </c>
      <c r="D8" s="30">
        <f>IF($J8="","",INDEX('Mis plazos fijos'!$G$1:$G$38,$J8))</f>
      </c>
      <c r="E8" s="36">
        <f>IF($J8="","",INDEX('Mis plazos fijos'!$H$1:$H$38,$J8))</f>
      </c>
      <c r="F8" s="37">
        <f>IF(A8="","",A8-'Mis plazos fijos'!$B$6)</f>
      </c>
      <c r="G8" s="31">
        <f>IF($J8="","",INDEX('Mis plazos fijos'!$L$1:$L$38,$J8))</f>
      </c>
      <c r="J8">
        <f>IFERROR(ROUND(MOD(SMALL('Mis plazos fijos'!$V$15:$V$38,4),1)*100000,0),"")</f>
      </c>
    </row>
    <row r="9" spans="1:10" x14ac:dyDescent="0.25">
      <c r="A9" s="24">
        <f>IFERROR(INT(SMALL('Mis plazos fijos'!$V$15:$V$38,5)),"")</f>
      </c>
      <c r="B9" s="27">
        <f>IF($J9="","",INDEX('Mis plazos fijos'!$A$1:$A$38,$J9)&amp;"")</f>
      </c>
      <c r="C9" s="25">
        <f>IF($J9="","",INDEX('Mis plazos fijos'!$C$1:$C$38,$J9))</f>
      </c>
      <c r="D9" s="25">
        <f>IF($J9="","",INDEX('Mis plazos fijos'!$G$1:$G$38,$J9))</f>
      </c>
      <c r="E9" s="34">
        <f>IF($J9="","",INDEX('Mis plazos fijos'!$H$1:$H$38,$J9))</f>
      </c>
      <c r="F9" s="35">
        <f>IF(A9="","",A9-'Mis plazos fijos'!$B$6)</f>
      </c>
      <c r="G9" s="26">
        <f>IF($J9="","",INDEX('Mis plazos fijos'!$L$1:$L$38,$J9))</f>
      </c>
      <c r="J9">
        <f>IFERROR(ROUND(MOD(SMALL('Mis plazos fijos'!$V$15:$V$38,5),1)*100000,0),"")</f>
      </c>
    </row>
    <row r="10" spans="1:10" x14ac:dyDescent="0.25">
      <c r="A10" s="29">
        <f>IFERROR(INT(SMALL('Mis plazos fijos'!$V$15:$V$38,6)),"")</f>
      </c>
      <c r="B10" s="32">
        <f>IF($J10="","",INDEX('Mis plazos fijos'!$A$1:$A$38,$J10)&amp;"")</f>
      </c>
      <c r="C10" s="30">
        <f>IF($J10="","",INDEX('Mis plazos fijos'!$C$1:$C$38,$J10))</f>
      </c>
      <c r="D10" s="30">
        <f>IF($J10="","",INDEX('Mis plazos fijos'!$G$1:$G$38,$J10))</f>
      </c>
      <c r="E10" s="36">
        <f>IF($J10="","",INDEX('Mis plazos fijos'!$H$1:$H$38,$J10))</f>
      </c>
      <c r="F10" s="37">
        <f>IF(A10="","",A10-'Mis plazos fijos'!$B$6)</f>
      </c>
      <c r="G10" s="31">
        <f>IF($J10="","",INDEX('Mis plazos fijos'!$L$1:$L$38,$J10))</f>
      </c>
      <c r="J10">
        <f>IFERROR(ROUND(MOD(SMALL('Mis plazos fijos'!$V$15:$V$38,6),1)*100000,0),"")</f>
      </c>
    </row>
    <row r="11" spans="1:10" x14ac:dyDescent="0.25">
      <c r="A11" s="24">
        <f>IFERROR(INT(SMALL('Mis plazos fijos'!$V$15:$V$38,7)),"")</f>
      </c>
      <c r="B11" s="27">
        <f>IF($J11="","",INDEX('Mis plazos fijos'!$A$1:$A$38,$J11)&amp;"")</f>
      </c>
      <c r="C11" s="25">
        <f>IF($J11="","",INDEX('Mis plazos fijos'!$C$1:$C$38,$J11))</f>
      </c>
      <c r="D11" s="25">
        <f>IF($J11="","",INDEX('Mis plazos fijos'!$G$1:$G$38,$J11))</f>
      </c>
      <c r="E11" s="34">
        <f>IF($J11="","",INDEX('Mis plazos fijos'!$H$1:$H$38,$J11))</f>
      </c>
      <c r="F11" s="35">
        <f>IF(A11="","",A11-'Mis plazos fijos'!$B$6)</f>
      </c>
      <c r="G11" s="26">
        <f>IF($J11="","",INDEX('Mis plazos fijos'!$L$1:$L$38,$J11))</f>
      </c>
      <c r="J11">
        <f>IFERROR(ROUND(MOD(SMALL('Mis plazos fijos'!$V$15:$V$38,7),1)*100000,0),"")</f>
      </c>
    </row>
    <row r="12" spans="1:10" x14ac:dyDescent="0.25">
      <c r="A12" s="29">
        <f>IFERROR(INT(SMALL('Mis plazos fijos'!$V$15:$V$38,8)),"")</f>
      </c>
      <c r="B12" s="32">
        <f>IF($J12="","",INDEX('Mis plazos fijos'!$A$1:$A$38,$J12)&amp;"")</f>
      </c>
      <c r="C12" s="30">
        <f>IF($J12="","",INDEX('Mis plazos fijos'!$C$1:$C$38,$J12))</f>
      </c>
      <c r="D12" s="30">
        <f>IF($J12="","",INDEX('Mis plazos fijos'!$G$1:$G$38,$J12))</f>
      </c>
      <c r="E12" s="36">
        <f>IF($J12="","",INDEX('Mis plazos fijos'!$H$1:$H$38,$J12))</f>
      </c>
      <c r="F12" s="37">
        <f>IF(A12="","",A12-'Mis plazos fijos'!$B$6)</f>
      </c>
      <c r="G12" s="31">
        <f>IF($J12="","",INDEX('Mis plazos fijos'!$L$1:$L$38,$J12))</f>
      </c>
      <c r="J12">
        <f>IFERROR(ROUND(MOD(SMALL('Mis plazos fijos'!$V$15:$V$38,8),1)*100000,0),"")</f>
      </c>
    </row>
    <row r="13" spans="1:10" x14ac:dyDescent="0.25">
      <c r="A13" s="24">
        <f>IFERROR(INT(SMALL('Mis plazos fijos'!$V$15:$V$38,9)),"")</f>
      </c>
      <c r="B13" s="27">
        <f>IF($J13="","",INDEX('Mis plazos fijos'!$A$1:$A$38,$J13)&amp;"")</f>
      </c>
      <c r="C13" s="25">
        <f>IF($J13="","",INDEX('Mis plazos fijos'!$C$1:$C$38,$J13))</f>
      </c>
      <c r="D13" s="25">
        <f>IF($J13="","",INDEX('Mis plazos fijos'!$G$1:$G$38,$J13))</f>
      </c>
      <c r="E13" s="34">
        <f>IF($J13="","",INDEX('Mis plazos fijos'!$H$1:$H$38,$J13))</f>
      </c>
      <c r="F13" s="35">
        <f>IF(A13="","",A13-'Mis plazos fijos'!$B$6)</f>
      </c>
      <c r="G13" s="26">
        <f>IF($J13="","",INDEX('Mis plazos fijos'!$L$1:$L$38,$J13))</f>
      </c>
      <c r="J13">
        <f>IFERROR(ROUND(MOD(SMALL('Mis plazos fijos'!$V$15:$V$38,9),1)*100000,0),"")</f>
      </c>
    </row>
    <row r="14" spans="1:10" x14ac:dyDescent="0.25">
      <c r="A14" s="29">
        <f>IFERROR(INT(SMALL('Mis plazos fijos'!$V$15:$V$38,10)),"")</f>
      </c>
      <c r="B14" s="32">
        <f>IF($J14="","",INDEX('Mis plazos fijos'!$A$1:$A$38,$J14)&amp;"")</f>
      </c>
      <c r="C14" s="30">
        <f>IF($J14="","",INDEX('Mis plazos fijos'!$C$1:$C$38,$J14))</f>
      </c>
      <c r="D14" s="30">
        <f>IF($J14="","",INDEX('Mis plazos fijos'!$G$1:$G$38,$J14))</f>
      </c>
      <c r="E14" s="36">
        <f>IF($J14="","",INDEX('Mis plazos fijos'!$H$1:$H$38,$J14))</f>
      </c>
      <c r="F14" s="37">
        <f>IF(A14="","",A14-'Mis plazos fijos'!$B$6)</f>
      </c>
      <c r="G14" s="31">
        <f>IF($J14="","",INDEX('Mis plazos fijos'!$L$1:$L$38,$J14))</f>
      </c>
      <c r="J14">
        <f>IFERROR(ROUND(MOD(SMALL('Mis plazos fijos'!$V$15:$V$38,10),1)*100000,0),"")</f>
      </c>
    </row>
    <row r="15" spans="1:10" x14ac:dyDescent="0.25">
      <c r="A15" s="24">
        <f>IFERROR(INT(SMALL('Mis plazos fijos'!$V$15:$V$38,11)),"")</f>
      </c>
      <c r="B15" s="27">
        <f>IF($J15="","",INDEX('Mis plazos fijos'!$A$1:$A$38,$J15)&amp;"")</f>
      </c>
      <c r="C15" s="25">
        <f>IF($J15="","",INDEX('Mis plazos fijos'!$C$1:$C$38,$J15))</f>
      </c>
      <c r="D15" s="25">
        <f>IF($J15="","",INDEX('Mis plazos fijos'!$G$1:$G$38,$J15))</f>
      </c>
      <c r="E15" s="34">
        <f>IF($J15="","",INDEX('Mis plazos fijos'!$H$1:$H$38,$J15))</f>
      </c>
      <c r="F15" s="35">
        <f>IF(A15="","",A15-'Mis plazos fijos'!$B$6)</f>
      </c>
      <c r="G15" s="26">
        <f>IF($J15="","",INDEX('Mis plazos fijos'!$L$1:$L$38,$J15))</f>
      </c>
      <c r="J15">
        <f>IFERROR(ROUND(MOD(SMALL('Mis plazos fijos'!$V$15:$V$38,11),1)*100000,0),"")</f>
      </c>
    </row>
    <row r="16" spans="1:10" x14ac:dyDescent="0.25">
      <c r="A16" s="29">
        <f>IFERROR(INT(SMALL('Mis plazos fijos'!$V$15:$V$38,12)),"")</f>
      </c>
      <c r="B16" s="32">
        <f>IF($J16="","",INDEX('Mis plazos fijos'!$A$1:$A$38,$J16)&amp;"")</f>
      </c>
      <c r="C16" s="30">
        <f>IF($J16="","",INDEX('Mis plazos fijos'!$C$1:$C$38,$J16))</f>
      </c>
      <c r="D16" s="30">
        <f>IF($J16="","",INDEX('Mis plazos fijos'!$G$1:$G$38,$J16))</f>
      </c>
      <c r="E16" s="36">
        <f>IF($J16="","",INDEX('Mis plazos fijos'!$H$1:$H$38,$J16))</f>
      </c>
      <c r="F16" s="37">
        <f>IF(A16="","",A16-'Mis plazos fijos'!$B$6)</f>
      </c>
      <c r="G16" s="31">
        <f>IF($J16="","",INDEX('Mis plazos fijos'!$L$1:$L$38,$J16))</f>
      </c>
      <c r="J16">
        <f>IFERROR(ROUND(MOD(SMALL('Mis plazos fijos'!$V$15:$V$38,12),1)*100000,0),"")</f>
      </c>
    </row>
    <row r="17" spans="1:10" x14ac:dyDescent="0.25">
      <c r="A17" s="24">
        <f>IFERROR(INT(SMALL('Mis plazos fijos'!$V$15:$V$38,13)),"")</f>
      </c>
      <c r="B17" s="27">
        <f>IF($J17="","",INDEX('Mis plazos fijos'!$A$1:$A$38,$J17)&amp;"")</f>
      </c>
      <c r="C17" s="25">
        <f>IF($J17="","",INDEX('Mis plazos fijos'!$C$1:$C$38,$J17))</f>
      </c>
      <c r="D17" s="25">
        <f>IF($J17="","",INDEX('Mis plazos fijos'!$G$1:$G$38,$J17))</f>
      </c>
      <c r="E17" s="34">
        <f>IF($J17="","",INDEX('Mis plazos fijos'!$H$1:$H$38,$J17))</f>
      </c>
      <c r="F17" s="35">
        <f>IF(A17="","",A17-'Mis plazos fijos'!$B$6)</f>
      </c>
      <c r="G17" s="26">
        <f>IF($J17="","",INDEX('Mis plazos fijos'!$L$1:$L$38,$J17))</f>
      </c>
      <c r="J17">
        <f>IFERROR(ROUND(MOD(SMALL('Mis plazos fijos'!$V$15:$V$38,13),1)*100000,0),"")</f>
      </c>
    </row>
    <row r="18" spans="1:10" x14ac:dyDescent="0.25">
      <c r="A18" s="29">
        <f>IFERROR(INT(SMALL('Mis plazos fijos'!$V$15:$V$38,14)),"")</f>
      </c>
      <c r="B18" s="32">
        <f>IF($J18="","",INDEX('Mis plazos fijos'!$A$1:$A$38,$J18)&amp;"")</f>
      </c>
      <c r="C18" s="30">
        <f>IF($J18="","",INDEX('Mis plazos fijos'!$C$1:$C$38,$J18))</f>
      </c>
      <c r="D18" s="30">
        <f>IF($J18="","",INDEX('Mis plazos fijos'!$G$1:$G$38,$J18))</f>
      </c>
      <c r="E18" s="36">
        <f>IF($J18="","",INDEX('Mis plazos fijos'!$H$1:$H$38,$J18))</f>
      </c>
      <c r="F18" s="37">
        <f>IF(A18="","",A18-'Mis plazos fijos'!$B$6)</f>
      </c>
      <c r="G18" s="31">
        <f>IF($J18="","",INDEX('Mis plazos fijos'!$L$1:$L$38,$J18))</f>
      </c>
      <c r="J18">
        <f>IFERROR(ROUND(MOD(SMALL('Mis plazos fijos'!$V$15:$V$38,14),1)*100000,0),"")</f>
      </c>
    </row>
    <row r="19" spans="1:10" x14ac:dyDescent="0.25">
      <c r="A19" s="24">
        <f>IFERROR(INT(SMALL('Mis plazos fijos'!$V$15:$V$38,15)),"")</f>
      </c>
      <c r="B19" s="27">
        <f>IF($J19="","",INDEX('Mis plazos fijos'!$A$1:$A$38,$J19)&amp;"")</f>
      </c>
      <c r="C19" s="25">
        <f>IF($J19="","",INDEX('Mis plazos fijos'!$C$1:$C$38,$J19))</f>
      </c>
      <c r="D19" s="25">
        <f>IF($J19="","",INDEX('Mis plazos fijos'!$G$1:$G$38,$J19))</f>
      </c>
      <c r="E19" s="34">
        <f>IF($J19="","",INDEX('Mis plazos fijos'!$H$1:$H$38,$J19))</f>
      </c>
      <c r="F19" s="35">
        <f>IF(A19="","",A19-'Mis plazos fijos'!$B$6)</f>
      </c>
      <c r="G19" s="26">
        <f>IF($J19="","",INDEX('Mis plazos fijos'!$L$1:$L$38,$J19))</f>
      </c>
      <c r="J19">
        <f>IFERROR(ROUND(MOD(SMALL('Mis plazos fijos'!$V$15:$V$38,15),1)*100000,0),"")</f>
      </c>
    </row>
    <row r="20" spans="1:10" x14ac:dyDescent="0.25">
      <c r="A20" s="29">
        <f>IFERROR(INT(SMALL('Mis plazos fijos'!$V$15:$V$38,16)),"")</f>
      </c>
      <c r="B20" s="32">
        <f>IF($J20="","",INDEX('Mis plazos fijos'!$A$1:$A$38,$J20)&amp;"")</f>
      </c>
      <c r="C20" s="30">
        <f>IF($J20="","",INDEX('Mis plazos fijos'!$C$1:$C$38,$J20))</f>
      </c>
      <c r="D20" s="30">
        <f>IF($J20="","",INDEX('Mis plazos fijos'!$G$1:$G$38,$J20))</f>
      </c>
      <c r="E20" s="36">
        <f>IF($J20="","",INDEX('Mis plazos fijos'!$H$1:$H$38,$J20))</f>
      </c>
      <c r="F20" s="37">
        <f>IF(A20="","",A20-'Mis plazos fijos'!$B$6)</f>
      </c>
      <c r="G20" s="31">
        <f>IF($J20="","",INDEX('Mis plazos fijos'!$L$1:$L$38,$J20))</f>
      </c>
      <c r="J20">
        <f>IFERROR(ROUND(MOD(SMALL('Mis plazos fijos'!$V$15:$V$38,16),1)*100000,0),"")</f>
      </c>
    </row>
    <row r="21" spans="1:10" x14ac:dyDescent="0.25">
      <c r="A21" s="24">
        <f>IFERROR(INT(SMALL('Mis plazos fijos'!$V$15:$V$38,17)),"")</f>
      </c>
      <c r="B21" s="27">
        <f>IF($J21="","",INDEX('Mis plazos fijos'!$A$1:$A$38,$J21)&amp;"")</f>
      </c>
      <c r="C21" s="25">
        <f>IF($J21="","",INDEX('Mis plazos fijos'!$C$1:$C$38,$J21))</f>
      </c>
      <c r="D21" s="25">
        <f>IF($J21="","",INDEX('Mis plazos fijos'!$G$1:$G$38,$J21))</f>
      </c>
      <c r="E21" s="34">
        <f>IF($J21="","",INDEX('Mis plazos fijos'!$H$1:$H$38,$J21))</f>
      </c>
      <c r="F21" s="35">
        <f>IF(A21="","",A21-'Mis plazos fijos'!$B$6)</f>
      </c>
      <c r="G21" s="26">
        <f>IF($J21="","",INDEX('Mis plazos fijos'!$L$1:$L$38,$J21))</f>
      </c>
      <c r="J21">
        <f>IFERROR(ROUND(MOD(SMALL('Mis plazos fijos'!$V$15:$V$38,17),1)*100000,0),"")</f>
      </c>
    </row>
    <row r="22" spans="1:10" x14ac:dyDescent="0.25">
      <c r="A22" s="29">
        <f>IFERROR(INT(SMALL('Mis plazos fijos'!$V$15:$V$38,18)),"")</f>
      </c>
      <c r="B22" s="32">
        <f>IF($J22="","",INDEX('Mis plazos fijos'!$A$1:$A$38,$J22)&amp;"")</f>
      </c>
      <c r="C22" s="30">
        <f>IF($J22="","",INDEX('Mis plazos fijos'!$C$1:$C$38,$J22))</f>
      </c>
      <c r="D22" s="30">
        <f>IF($J22="","",INDEX('Mis plazos fijos'!$G$1:$G$38,$J22))</f>
      </c>
      <c r="E22" s="36">
        <f>IF($J22="","",INDEX('Mis plazos fijos'!$H$1:$H$38,$J22))</f>
      </c>
      <c r="F22" s="37">
        <f>IF(A22="","",A22-'Mis plazos fijos'!$B$6)</f>
      </c>
      <c r="G22" s="31">
        <f>IF($J22="","",INDEX('Mis plazos fijos'!$L$1:$L$38,$J22))</f>
      </c>
      <c r="J22">
        <f>IFERROR(ROUND(MOD(SMALL('Mis plazos fijos'!$V$15:$V$38,18),1)*100000,0),"")</f>
      </c>
    </row>
    <row r="23" spans="1:10" x14ac:dyDescent="0.25">
      <c r="A23" s="24">
        <f>IFERROR(INT(SMALL('Mis plazos fijos'!$V$15:$V$38,19)),"")</f>
      </c>
      <c r="B23" s="27">
        <f>IF($J23="","",INDEX('Mis plazos fijos'!$A$1:$A$38,$J23)&amp;"")</f>
      </c>
      <c r="C23" s="25">
        <f>IF($J23="","",INDEX('Mis plazos fijos'!$C$1:$C$38,$J23))</f>
      </c>
      <c r="D23" s="25">
        <f>IF($J23="","",INDEX('Mis plazos fijos'!$G$1:$G$38,$J23))</f>
      </c>
      <c r="E23" s="34">
        <f>IF($J23="","",INDEX('Mis plazos fijos'!$H$1:$H$38,$J23))</f>
      </c>
      <c r="F23" s="35">
        <f>IF(A23="","",A23-'Mis plazos fijos'!$B$6)</f>
      </c>
      <c r="G23" s="26">
        <f>IF($J23="","",INDEX('Mis plazos fijos'!$L$1:$L$38,$J23))</f>
      </c>
      <c r="J23">
        <f>IFERROR(ROUND(MOD(SMALL('Mis plazos fijos'!$V$15:$V$38,19),1)*100000,0),"")</f>
      </c>
    </row>
    <row r="24" spans="1:10" x14ac:dyDescent="0.25">
      <c r="A24" s="29">
        <f>IFERROR(INT(SMALL('Mis plazos fijos'!$V$15:$V$38,20)),"")</f>
      </c>
      <c r="B24" s="32">
        <f>IF($J24="","",INDEX('Mis plazos fijos'!$A$1:$A$38,$J24)&amp;"")</f>
      </c>
      <c r="C24" s="30">
        <f>IF($J24="","",INDEX('Mis plazos fijos'!$C$1:$C$38,$J24))</f>
      </c>
      <c r="D24" s="30">
        <f>IF($J24="","",INDEX('Mis plazos fijos'!$G$1:$G$38,$J24))</f>
      </c>
      <c r="E24" s="36">
        <f>IF($J24="","",INDEX('Mis plazos fijos'!$H$1:$H$38,$J24))</f>
      </c>
      <c r="F24" s="37">
        <f>IF(A24="","",A24-'Mis plazos fijos'!$B$6)</f>
      </c>
      <c r="G24" s="31">
        <f>IF($J24="","",INDEX('Mis plazos fijos'!$L$1:$L$38,$J24))</f>
      </c>
      <c r="J24">
        <f>IFERROR(ROUND(MOD(SMALL('Mis plazos fijos'!$V$15:$V$38,20),1)*100000,0),"")</f>
      </c>
    </row>
    <row r="25" spans="1:10" x14ac:dyDescent="0.25">
      <c r="A25" s="24">
        <f>IFERROR(INT(SMALL('Mis plazos fijos'!$V$15:$V$38,21)),"")</f>
      </c>
      <c r="B25" s="27">
        <f>IF($J25="","",INDEX('Mis plazos fijos'!$A$1:$A$38,$J25)&amp;"")</f>
      </c>
      <c r="C25" s="25">
        <f>IF($J25="","",INDEX('Mis plazos fijos'!$C$1:$C$38,$J25))</f>
      </c>
      <c r="D25" s="25">
        <f>IF($J25="","",INDEX('Mis plazos fijos'!$G$1:$G$38,$J25))</f>
      </c>
      <c r="E25" s="34">
        <f>IF($J25="","",INDEX('Mis plazos fijos'!$H$1:$H$38,$J25))</f>
      </c>
      <c r="F25" s="35">
        <f>IF(A25="","",A25-'Mis plazos fijos'!$B$6)</f>
      </c>
      <c r="G25" s="26">
        <f>IF($J25="","",INDEX('Mis plazos fijos'!$L$1:$L$38,$J25))</f>
      </c>
      <c r="J25">
        <f>IFERROR(ROUND(MOD(SMALL('Mis plazos fijos'!$V$15:$V$38,21),1)*100000,0),"")</f>
      </c>
    </row>
    <row r="26" spans="1:10" x14ac:dyDescent="0.25">
      <c r="A26" s="29">
        <f>IFERROR(INT(SMALL('Mis plazos fijos'!$V$15:$V$38,22)),"")</f>
      </c>
      <c r="B26" s="32">
        <f>IF($J26="","",INDEX('Mis plazos fijos'!$A$1:$A$38,$J26)&amp;"")</f>
      </c>
      <c r="C26" s="30">
        <f>IF($J26="","",INDEX('Mis plazos fijos'!$C$1:$C$38,$J26))</f>
      </c>
      <c r="D26" s="30">
        <f>IF($J26="","",INDEX('Mis plazos fijos'!$G$1:$G$38,$J26))</f>
      </c>
      <c r="E26" s="36">
        <f>IF($J26="","",INDEX('Mis plazos fijos'!$H$1:$H$38,$J26))</f>
      </c>
      <c r="F26" s="37">
        <f>IF(A26="","",A26-'Mis plazos fijos'!$B$6)</f>
      </c>
      <c r="G26" s="31">
        <f>IF($J26="","",INDEX('Mis plazos fijos'!$L$1:$L$38,$J26))</f>
      </c>
      <c r="J26">
        <f>IFERROR(ROUND(MOD(SMALL('Mis plazos fijos'!$V$15:$V$38,22),1)*100000,0),"")</f>
      </c>
    </row>
    <row r="27" spans="1:10" x14ac:dyDescent="0.25">
      <c r="A27" s="24">
        <f>IFERROR(INT(SMALL('Mis plazos fijos'!$V$15:$V$38,23)),"")</f>
      </c>
      <c r="B27" s="27">
        <f>IF($J27="","",INDEX('Mis plazos fijos'!$A$1:$A$38,$J27)&amp;"")</f>
      </c>
      <c r="C27" s="25">
        <f>IF($J27="","",INDEX('Mis plazos fijos'!$C$1:$C$38,$J27))</f>
      </c>
      <c r="D27" s="25">
        <f>IF($J27="","",INDEX('Mis plazos fijos'!$G$1:$G$38,$J27))</f>
      </c>
      <c r="E27" s="34">
        <f>IF($J27="","",INDEX('Mis plazos fijos'!$H$1:$H$38,$J27))</f>
      </c>
      <c r="F27" s="35">
        <f>IF(A27="","",A27-'Mis plazos fijos'!$B$6)</f>
      </c>
      <c r="G27" s="26">
        <f>IF($J27="","",INDEX('Mis plazos fijos'!$L$1:$L$38,$J27))</f>
      </c>
      <c r="J27">
        <f>IFERROR(ROUND(MOD(SMALL('Mis plazos fijos'!$V$15:$V$38,23),1)*100000,0),"")</f>
      </c>
    </row>
    <row r="28" spans="1:10" x14ac:dyDescent="0.25">
      <c r="A28" s="29">
        <f>IFERROR(INT(SMALL('Mis plazos fijos'!$V$15:$V$38,24)),"")</f>
      </c>
      <c r="B28" s="32">
        <f>IF($J28="","",INDEX('Mis plazos fijos'!$A$1:$A$38,$J28)&amp;"")</f>
      </c>
      <c r="C28" s="30">
        <f>IF($J28="","",INDEX('Mis plazos fijos'!$C$1:$C$38,$J28))</f>
      </c>
      <c r="D28" s="30">
        <f>IF($J28="","",INDEX('Mis plazos fijos'!$G$1:$G$38,$J28))</f>
      </c>
      <c r="E28" s="36">
        <f>IF($J28="","",INDEX('Mis plazos fijos'!$H$1:$H$38,$J28))</f>
      </c>
      <c r="F28" s="37">
        <f>IF(A28="","",A28-'Mis plazos fijos'!$B$6)</f>
      </c>
      <c r="G28" s="31">
        <f>IF($J28="","",INDEX('Mis plazos fijos'!$L$1:$L$38,$J28))</f>
      </c>
      <c r="J28">
        <f>IFERROR(ROUND(MOD(SMALL('Mis plazos fijos'!$V$15:$V$38,24),1)*100000,0),"")</f>
      </c>
    </row>
    <row r="30" spans="1:7" x14ac:dyDescent="0.25">
      <c r="A30" s="4" t="s">
        <v>58</v>
      </c>
      <c r="B30" s="4"/>
      <c r="C30" s="4"/>
      <c r="D30" s="4"/>
      <c r="E30" s="4"/>
      <c r="F30" s="4"/>
      <c r="G30" s="4"/>
    </row>
    <row r="31" ht="32" customHeight="1" spans="1:3" x14ac:dyDescent="0.25">
      <c r="A31" s="19" t="s">
        <v>59</v>
      </c>
      <c r="B31" s="19" t="s">
        <v>60</v>
      </c>
      <c r="C31" s="19" t="s">
        <v>56</v>
      </c>
    </row>
    <row r="32" spans="1:3" x14ac:dyDescent="0.25">
      <c r="A32" s="27">
        <f>INDEX(IPC!$J$5:$J$16,MOD((YEAR('Mis plazos fijos'!$B$6)*12+MONTH('Mis plazos fijos'!$B$6)-1+0),12)+1)&amp;" de "&amp;INT(((YEAR('Mis plazos fijos'!$B$6)*12+MONTH('Mis plazos fijos'!$B$6)-1+0))/12)</f>
      </c>
      <c r="B32" s="35">
        <f>COUNTIFS('Mis plazos fijos'!$R$15:$R$38,(YEAR('Mis plazos fijos'!$B$6)*12+MONTH('Mis plazos fijos'!$B$6)-1+0),'Mis plazos fijos'!$V$15:$V$38,"&gt;0")</f>
      </c>
      <c r="C32" s="25">
        <f>SUMIFS('Mis plazos fijos'!$X$15:$X$38,'Mis plazos fijos'!$R$15:$R$38,(YEAR('Mis plazos fijos'!$B$6)*12+MONTH('Mis plazos fijos'!$B$6)-1+0))</f>
      </c>
    </row>
    <row r="33" spans="1:3" x14ac:dyDescent="0.25">
      <c r="A33" s="32">
        <f>INDEX(IPC!$J$5:$J$16,MOD((YEAR('Mis plazos fijos'!$B$6)*12+MONTH('Mis plazos fijos'!$B$6)-1+1),12)+1)&amp;" de "&amp;INT(((YEAR('Mis plazos fijos'!$B$6)*12+MONTH('Mis plazos fijos'!$B$6)-1+1))/12)</f>
      </c>
      <c r="B33" s="37">
        <f>COUNTIFS('Mis plazos fijos'!$R$15:$R$38,(YEAR('Mis plazos fijos'!$B$6)*12+MONTH('Mis plazos fijos'!$B$6)-1+1),'Mis plazos fijos'!$V$15:$V$38,"&gt;0")</f>
      </c>
      <c r="C33" s="30">
        <f>SUMIFS('Mis plazos fijos'!$X$15:$X$38,'Mis plazos fijos'!$R$15:$R$38,(YEAR('Mis plazos fijos'!$B$6)*12+MONTH('Mis plazos fijos'!$B$6)-1+1))</f>
      </c>
    </row>
    <row r="34" spans="1:3" x14ac:dyDescent="0.25">
      <c r="A34" s="27">
        <f>INDEX(IPC!$J$5:$J$16,MOD((YEAR('Mis plazos fijos'!$B$6)*12+MONTH('Mis plazos fijos'!$B$6)-1+2),12)+1)&amp;" de "&amp;INT(((YEAR('Mis plazos fijos'!$B$6)*12+MONTH('Mis plazos fijos'!$B$6)-1+2))/12)</f>
      </c>
      <c r="B34" s="35">
        <f>COUNTIFS('Mis plazos fijos'!$R$15:$R$38,(YEAR('Mis plazos fijos'!$B$6)*12+MONTH('Mis plazos fijos'!$B$6)-1+2),'Mis plazos fijos'!$V$15:$V$38,"&gt;0")</f>
      </c>
      <c r="C34" s="25">
        <f>SUMIFS('Mis plazos fijos'!$X$15:$X$38,'Mis plazos fijos'!$R$15:$R$38,(YEAR('Mis plazos fijos'!$B$6)*12+MONTH('Mis plazos fijos'!$B$6)-1+2))</f>
      </c>
    </row>
    <row r="35" spans="1:3" x14ac:dyDescent="0.25">
      <c r="A35" s="32">
        <f>INDEX(IPC!$J$5:$J$16,MOD((YEAR('Mis plazos fijos'!$B$6)*12+MONTH('Mis plazos fijos'!$B$6)-1+3),12)+1)&amp;" de "&amp;INT(((YEAR('Mis plazos fijos'!$B$6)*12+MONTH('Mis plazos fijos'!$B$6)-1+3))/12)</f>
      </c>
      <c r="B35" s="37">
        <f>COUNTIFS('Mis plazos fijos'!$R$15:$R$38,(YEAR('Mis plazos fijos'!$B$6)*12+MONTH('Mis plazos fijos'!$B$6)-1+3),'Mis plazos fijos'!$V$15:$V$38,"&gt;0")</f>
      </c>
      <c r="C35" s="30">
        <f>SUMIFS('Mis plazos fijos'!$X$15:$X$38,'Mis plazos fijos'!$R$15:$R$38,(YEAR('Mis plazos fijos'!$B$6)*12+MONTH('Mis plazos fijos'!$B$6)-1+3))</f>
      </c>
    </row>
    <row r="36" spans="1:3" x14ac:dyDescent="0.25">
      <c r="A36" s="27">
        <f>INDEX(IPC!$J$5:$J$16,MOD((YEAR('Mis plazos fijos'!$B$6)*12+MONTH('Mis plazos fijos'!$B$6)-1+4),12)+1)&amp;" de "&amp;INT(((YEAR('Mis plazos fijos'!$B$6)*12+MONTH('Mis plazos fijos'!$B$6)-1+4))/12)</f>
      </c>
      <c r="B36" s="35">
        <f>COUNTIFS('Mis plazos fijos'!$R$15:$R$38,(YEAR('Mis plazos fijos'!$B$6)*12+MONTH('Mis plazos fijos'!$B$6)-1+4),'Mis plazos fijos'!$V$15:$V$38,"&gt;0")</f>
      </c>
      <c r="C36" s="25">
        <f>SUMIFS('Mis plazos fijos'!$X$15:$X$38,'Mis plazos fijos'!$R$15:$R$38,(YEAR('Mis plazos fijos'!$B$6)*12+MONTH('Mis plazos fijos'!$B$6)-1+4))</f>
      </c>
    </row>
    <row r="37" spans="1:3" x14ac:dyDescent="0.25">
      <c r="A37" s="32">
        <f>INDEX(IPC!$J$5:$J$16,MOD((YEAR('Mis plazos fijos'!$B$6)*12+MONTH('Mis plazos fijos'!$B$6)-1+5),12)+1)&amp;" de "&amp;INT(((YEAR('Mis plazos fijos'!$B$6)*12+MONTH('Mis plazos fijos'!$B$6)-1+5))/12)</f>
      </c>
      <c r="B37" s="37">
        <f>COUNTIFS('Mis plazos fijos'!$R$15:$R$38,(YEAR('Mis plazos fijos'!$B$6)*12+MONTH('Mis plazos fijos'!$B$6)-1+5),'Mis plazos fijos'!$V$15:$V$38,"&gt;0")</f>
      </c>
      <c r="C37" s="30">
        <f>SUMIFS('Mis plazos fijos'!$X$15:$X$38,'Mis plazos fijos'!$R$15:$R$38,(YEAR('Mis plazos fijos'!$B$6)*12+MONTH('Mis plazos fijos'!$B$6)-1+5))</f>
      </c>
    </row>
    <row r="38" spans="1:3" x14ac:dyDescent="0.25">
      <c r="A38" s="27">
        <f>INDEX(IPC!$J$5:$J$16,MOD((YEAR('Mis plazos fijos'!$B$6)*12+MONTH('Mis plazos fijos'!$B$6)-1+6),12)+1)&amp;" de "&amp;INT(((YEAR('Mis plazos fijos'!$B$6)*12+MONTH('Mis plazos fijos'!$B$6)-1+6))/12)</f>
      </c>
      <c r="B38" s="35">
        <f>COUNTIFS('Mis plazos fijos'!$R$15:$R$38,(YEAR('Mis plazos fijos'!$B$6)*12+MONTH('Mis plazos fijos'!$B$6)-1+6),'Mis plazos fijos'!$V$15:$V$38,"&gt;0")</f>
      </c>
      <c r="C38" s="25">
        <f>SUMIFS('Mis plazos fijos'!$X$15:$X$38,'Mis plazos fijos'!$R$15:$R$38,(YEAR('Mis plazos fijos'!$B$6)*12+MONTH('Mis plazos fijos'!$B$6)-1+6))</f>
      </c>
    </row>
    <row r="39" spans="1:3" x14ac:dyDescent="0.25">
      <c r="A39" s="32">
        <f>INDEX(IPC!$J$5:$J$16,MOD((YEAR('Mis plazos fijos'!$B$6)*12+MONTH('Mis plazos fijos'!$B$6)-1+7),12)+1)&amp;" de "&amp;INT(((YEAR('Mis plazos fijos'!$B$6)*12+MONTH('Mis plazos fijos'!$B$6)-1+7))/12)</f>
      </c>
      <c r="B39" s="37">
        <f>COUNTIFS('Mis plazos fijos'!$R$15:$R$38,(YEAR('Mis plazos fijos'!$B$6)*12+MONTH('Mis plazos fijos'!$B$6)-1+7),'Mis plazos fijos'!$V$15:$V$38,"&gt;0")</f>
      </c>
      <c r="C39" s="30">
        <f>SUMIFS('Mis plazos fijos'!$X$15:$X$38,'Mis plazos fijos'!$R$15:$R$38,(YEAR('Mis plazos fijos'!$B$6)*12+MONTH('Mis plazos fijos'!$B$6)-1+7))</f>
      </c>
    </row>
    <row r="40" spans="1:3" x14ac:dyDescent="0.25">
      <c r="A40" s="27">
        <f>INDEX(IPC!$J$5:$J$16,MOD((YEAR('Mis plazos fijos'!$B$6)*12+MONTH('Mis plazos fijos'!$B$6)-1+8),12)+1)&amp;" de "&amp;INT(((YEAR('Mis plazos fijos'!$B$6)*12+MONTH('Mis plazos fijos'!$B$6)-1+8))/12)</f>
      </c>
      <c r="B40" s="35">
        <f>COUNTIFS('Mis plazos fijos'!$R$15:$R$38,(YEAR('Mis plazos fijos'!$B$6)*12+MONTH('Mis plazos fijos'!$B$6)-1+8),'Mis plazos fijos'!$V$15:$V$38,"&gt;0")</f>
      </c>
      <c r="C40" s="25">
        <f>SUMIFS('Mis plazos fijos'!$X$15:$X$38,'Mis plazos fijos'!$R$15:$R$38,(YEAR('Mis plazos fijos'!$B$6)*12+MONTH('Mis plazos fijos'!$B$6)-1+8))</f>
      </c>
    </row>
    <row r="41" spans="1:3" x14ac:dyDescent="0.25">
      <c r="A41" s="32">
        <f>INDEX(IPC!$J$5:$J$16,MOD((YEAR('Mis plazos fijos'!$B$6)*12+MONTH('Mis plazos fijos'!$B$6)-1+9),12)+1)&amp;" de "&amp;INT(((YEAR('Mis plazos fijos'!$B$6)*12+MONTH('Mis plazos fijos'!$B$6)-1+9))/12)</f>
      </c>
      <c r="B41" s="37">
        <f>COUNTIFS('Mis plazos fijos'!$R$15:$R$38,(YEAR('Mis plazos fijos'!$B$6)*12+MONTH('Mis plazos fijos'!$B$6)-1+9),'Mis plazos fijos'!$V$15:$V$38,"&gt;0")</f>
      </c>
      <c r="C41" s="30">
        <f>SUMIFS('Mis plazos fijos'!$X$15:$X$38,'Mis plazos fijos'!$R$15:$R$38,(YEAR('Mis plazos fijos'!$B$6)*12+MONTH('Mis plazos fijos'!$B$6)-1+9))</f>
      </c>
    </row>
    <row r="42" spans="1:3" x14ac:dyDescent="0.25">
      <c r="A42" s="27">
        <f>INDEX(IPC!$J$5:$J$16,MOD((YEAR('Mis plazos fijos'!$B$6)*12+MONTH('Mis plazos fijos'!$B$6)-1+10),12)+1)&amp;" de "&amp;INT(((YEAR('Mis plazos fijos'!$B$6)*12+MONTH('Mis plazos fijos'!$B$6)-1+10))/12)</f>
      </c>
      <c r="B42" s="35">
        <f>COUNTIFS('Mis plazos fijos'!$R$15:$R$38,(YEAR('Mis plazos fijos'!$B$6)*12+MONTH('Mis plazos fijos'!$B$6)-1+10),'Mis plazos fijos'!$V$15:$V$38,"&gt;0")</f>
      </c>
      <c r="C42" s="25">
        <f>SUMIFS('Mis plazos fijos'!$X$15:$X$38,'Mis plazos fijos'!$R$15:$R$38,(YEAR('Mis plazos fijos'!$B$6)*12+MONTH('Mis plazos fijos'!$B$6)-1+10))</f>
      </c>
    </row>
    <row r="43" spans="1:3" x14ac:dyDescent="0.25">
      <c r="A43" s="32">
        <f>INDEX(IPC!$J$5:$J$16,MOD((YEAR('Mis plazos fijos'!$B$6)*12+MONTH('Mis plazos fijos'!$B$6)-1+11),12)+1)&amp;" de "&amp;INT(((YEAR('Mis plazos fijos'!$B$6)*12+MONTH('Mis plazos fijos'!$B$6)-1+11))/12)</f>
      </c>
      <c r="B43" s="37">
        <f>COUNTIFS('Mis plazos fijos'!$R$15:$R$38,(YEAR('Mis plazos fijos'!$B$6)*12+MONTH('Mis plazos fijos'!$B$6)-1+11),'Mis plazos fijos'!$V$15:$V$38,"&gt;0")</f>
      </c>
      <c r="C43" s="30">
        <f>SUMIFS('Mis plazos fijos'!$X$15:$X$38,'Mis plazos fijos'!$R$15:$R$38,(YEAR('Mis plazos fijos'!$B$6)*12+MONTH('Mis plazos fijos'!$B$6)-1+11))</f>
      </c>
    </row>
  </sheetData>
  <sheetProtection sheet="1" formatColumns="0" formatRows="0"/>
  <mergeCells count="3">
    <mergeCell ref="A1:G1"/>
    <mergeCell ref="A2:G2"/>
    <mergeCell ref="A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C00"/>
  </sheetPr>
  <dimension ref="A1:N57"/>
  <sheetFormatPr defaultRowHeight="15" outlineLevelRow="0" outlineLevelCol="0" x14ac:dyDescent="55"/>
  <cols>
    <col min="1" max="1" width="40" customWidth="1"/>
    <col min="2" max="5" width="22" customWidth="1"/>
    <col min="14" max="14" width="9" hidden="1" customWidth="1"/>
  </cols>
  <sheetData>
    <row r="1" ht="28" customHeight="1" spans="1:5" x14ac:dyDescent="0.25">
      <c r="A1" s="1" t="s">
        <v>61</v>
      </c>
      <c r="B1" s="1"/>
      <c r="C1" s="1"/>
      <c r="D1" s="1"/>
      <c r="E1" s="1"/>
    </row>
    <row r="2" ht="30" customHeight="1" spans="1:5" x14ac:dyDescent="0.25">
      <c r="A2" s="11" t="s">
        <v>62</v>
      </c>
      <c r="B2" s="11"/>
      <c r="C2" s="11"/>
      <c r="D2" s="11"/>
      <c r="E2" s="11"/>
    </row>
    <row r="4" spans="1:2" x14ac:dyDescent="0.25">
      <c r="A4" s="4" t="s">
        <v>63</v>
      </c>
      <c r="B4" s="4"/>
    </row>
    <row r="5" spans="1:14" x14ac:dyDescent="0.25">
      <c r="A5" s="12" t="s">
        <v>38</v>
      </c>
      <c r="B5" s="22">
        <v>1000000</v>
      </c>
      <c r="N5">
        <f>IF(AND(ISNUMBER(B5),B5&gt;0,ISNUMBER(B6),B6&gt;=0,ISNUMBER(B7),B7&gt;=30,ISNUMBER(B8),B8&gt;=0,B8&lt;=24,ISNUMBER(B9)),1,0)</f>
      </c>
    </row>
    <row r="6" spans="1:14" x14ac:dyDescent="0.25">
      <c r="A6" s="12" t="s">
        <v>39</v>
      </c>
      <c r="B6" s="13">
        <v>22.66</v>
      </c>
      <c r="C6" s="14" t="s">
        <v>64</v>
      </c>
      <c r="D6" s="14"/>
      <c r="E6" s="14"/>
      <c r="N6">
        <f>IF(N5=1,INT(B8),0)</f>
      </c>
    </row>
    <row r="7" spans="1:2" x14ac:dyDescent="0.25">
      <c r="A7" s="12" t="s">
        <v>65</v>
      </c>
      <c r="B7" s="23">
        <v>30</v>
      </c>
    </row>
    <row r="8" spans="1:5" x14ac:dyDescent="0.25">
      <c r="A8" s="12" t="s">
        <v>66</v>
      </c>
      <c r="B8" s="23">
        <v>11</v>
      </c>
      <c r="C8" s="14" t="s">
        <v>67</v>
      </c>
      <c r="D8" s="14"/>
      <c r="E8" s="14"/>
    </row>
    <row r="9" spans="1:2" x14ac:dyDescent="0.25">
      <c r="A9" s="12" t="s">
        <v>27</v>
      </c>
      <c r="B9" s="13">
        <v>1.7</v>
      </c>
    </row>
    <row r="11" spans="1:2" x14ac:dyDescent="0.25">
      <c r="A11" s="4" t="s">
        <v>68</v>
      </c>
      <c r="B11" s="4"/>
    </row>
    <row r="12" spans="1:2" x14ac:dyDescent="0.25">
      <c r="A12" s="12" t="s">
        <v>69</v>
      </c>
      <c r="B12" s="17">
        <f>IF($N$5=1,B5*B6/100*B7/365,"")</f>
      </c>
    </row>
    <row r="13" spans="1:2" x14ac:dyDescent="0.25">
      <c r="A13" s="12" t="s">
        <v>70</v>
      </c>
      <c r="B13" s="16">
        <f>IF($N$5=1,B5+B12,"")</f>
      </c>
    </row>
    <row r="14" spans="1:2" x14ac:dyDescent="0.25">
      <c r="A14" s="12" t="s">
        <v>71</v>
      </c>
      <c r="B14" s="38">
        <f>IF($N$5=1,B6/100*B7/365,"")</f>
      </c>
    </row>
    <row r="15" spans="1:2" x14ac:dyDescent="0.25">
      <c r="A15" s="12" t="s">
        <v>72</v>
      </c>
      <c r="B15" s="38">
        <f>IF($N$5=1,B6/100*30/365,"")</f>
      </c>
    </row>
    <row r="16" spans="1:2" x14ac:dyDescent="0.25">
      <c r="A16" s="12" t="s">
        <v>73</v>
      </c>
      <c r="B16" s="38">
        <f>IF($N$5=1,(1+B14)^(365/B7)-1,"")</f>
      </c>
    </row>
    <row r="18" spans="1:2" x14ac:dyDescent="0.25">
      <c r="A18" s="4" t="s">
        <v>74</v>
      </c>
      <c r="B18" s="4"/>
    </row>
    <row r="19" spans="1:2" x14ac:dyDescent="0.25">
      <c r="A19" s="12" t="s">
        <v>75</v>
      </c>
      <c r="B19" s="39">
        <f>IF($N$5=1,B7*($N$6+1),"")</f>
      </c>
    </row>
    <row r="20" spans="1:2" x14ac:dyDescent="0.25">
      <c r="A20" s="12" t="s">
        <v>76</v>
      </c>
      <c r="B20" s="16">
        <f>IF($N$5=1,INDEX(D31:D55,$N$6+1),"")</f>
      </c>
    </row>
    <row r="21" spans="1:2" x14ac:dyDescent="0.25">
      <c r="A21" s="12" t="s">
        <v>77</v>
      </c>
      <c r="B21" s="17">
        <f>IF($N$5=1,B20-B5,"")</f>
      </c>
    </row>
    <row r="22" spans="1:2" x14ac:dyDescent="0.25">
      <c r="A22" s="12" t="s">
        <v>78</v>
      </c>
      <c r="B22" s="38">
        <f>IF($N$5=1,B20/B5-1,"")</f>
      </c>
    </row>
    <row r="23" spans="1:2" x14ac:dyDescent="0.25">
      <c r="A23" s="12" t="s">
        <v>79</v>
      </c>
      <c r="B23" s="38">
        <f>IF($N$5=1,(1+B9/100)^(B19/30)-1,"")</f>
      </c>
    </row>
    <row r="24" spans="1:2" x14ac:dyDescent="0.25">
      <c r="A24" s="12" t="s">
        <v>80</v>
      </c>
      <c r="B24" s="17">
        <f>IF($N$5=1,B20/(1+B23),"")</f>
      </c>
    </row>
    <row r="25" spans="1:2" x14ac:dyDescent="0.25">
      <c r="A25" s="12" t="s">
        <v>81</v>
      </c>
      <c r="B25" s="40">
        <f>IF($N$5=1,B24/B5-1,"")</f>
      </c>
    </row>
    <row r="26" ht="32" customHeight="1" spans="1:5" x14ac:dyDescent="0.25">
      <c r="A26" s="12" t="s">
        <v>82</v>
      </c>
      <c r="B26" s="41">
        <f>IF($N$5=0,"Completá las celdas amarillas de arriba.",IF(B25&gt;=0,"Con la inflación que estimaste, renovando le ganás a la inflación: al final tu plata compra más que hoy.","Con la inflación que estimaste, la inflación le gana: al final tu plata compra menos que hoy."))</f>
      </c>
      <c r="C26" s="41"/>
      <c r="D26" s="41"/>
      <c r="E26" s="41"/>
    </row>
    <row r="29" spans="1:5" x14ac:dyDescent="0.25">
      <c r="A29" s="4" t="s">
        <v>83</v>
      </c>
      <c r="B29" s="4"/>
      <c r="C29" s="4"/>
      <c r="D29" s="4"/>
      <c r="E29" s="4"/>
    </row>
    <row r="30" ht="32" customHeight="1" spans="1:5" x14ac:dyDescent="0.25">
      <c r="A30" s="19" t="s">
        <v>84</v>
      </c>
      <c r="B30" s="19" t="s">
        <v>85</v>
      </c>
      <c r="C30" s="19" t="s">
        <v>86</v>
      </c>
      <c r="D30" s="19" t="s">
        <v>87</v>
      </c>
      <c r="E30" s="19" t="s">
        <v>80</v>
      </c>
    </row>
    <row r="31" spans="1:5" x14ac:dyDescent="0.25">
      <c r="A31" s="27">
        <f>IF(AND($N$5=1,1&lt;=$N$6+1),"#1","")</f>
      </c>
      <c r="B31" s="35">
        <f>IF(AND($N$5=1,1&lt;=$N$6+1),1*$B$7,"")</f>
      </c>
      <c r="C31" s="25">
        <f>IF(AND($N$5=1,1&lt;=$N$6+1),$B$5*$B$6/100*$B$7/365,"")</f>
      </c>
      <c r="D31" s="25">
        <f>IF(AND($N$5=1,1&lt;=$N$6+1),$B$5+C31,"")</f>
      </c>
      <c r="E31" s="25">
        <f>IF(AND($N$5=1,1&lt;=$N$6+1),D31/(1+$B$9/100)^(B31/30),"")</f>
      </c>
    </row>
    <row r="32" spans="1:5" x14ac:dyDescent="0.25">
      <c r="A32" s="32">
        <f>IF(AND($N$5=1,2&lt;=$N$6+1),"#2","")</f>
      </c>
      <c r="B32" s="37">
        <f>IF(AND($N$5=1,2&lt;=$N$6+1),2*$B$7,"")</f>
      </c>
      <c r="C32" s="30">
        <f>IF(AND($N$5=1,2&lt;=$N$6+1),D31*$B$6/100*$B$7/365,"")</f>
      </c>
      <c r="D32" s="30">
        <f>IF(AND($N$5=1,2&lt;=$N$6+1),D31+C32,"")</f>
      </c>
      <c r="E32" s="30">
        <f>IF(AND($N$5=1,2&lt;=$N$6+1),D32/(1+$B$9/100)^(B32/30),"")</f>
      </c>
    </row>
    <row r="33" spans="1:5" x14ac:dyDescent="0.25">
      <c r="A33" s="27">
        <f>IF(AND($N$5=1,3&lt;=$N$6+1),"#3","")</f>
      </c>
      <c r="B33" s="35">
        <f>IF(AND($N$5=1,3&lt;=$N$6+1),3*$B$7,"")</f>
      </c>
      <c r="C33" s="25">
        <f>IF(AND($N$5=1,3&lt;=$N$6+1),D32*$B$6/100*$B$7/365,"")</f>
      </c>
      <c r="D33" s="25">
        <f>IF(AND($N$5=1,3&lt;=$N$6+1),D32+C33,"")</f>
      </c>
      <c r="E33" s="25">
        <f>IF(AND($N$5=1,3&lt;=$N$6+1),D33/(1+$B$9/100)^(B33/30),"")</f>
      </c>
    </row>
    <row r="34" spans="1:5" x14ac:dyDescent="0.25">
      <c r="A34" s="32">
        <f>IF(AND($N$5=1,4&lt;=$N$6+1),"#4","")</f>
      </c>
      <c r="B34" s="37">
        <f>IF(AND($N$5=1,4&lt;=$N$6+1),4*$B$7,"")</f>
      </c>
      <c r="C34" s="30">
        <f>IF(AND($N$5=1,4&lt;=$N$6+1),D33*$B$6/100*$B$7/365,"")</f>
      </c>
      <c r="D34" s="30">
        <f>IF(AND($N$5=1,4&lt;=$N$6+1),D33+C34,"")</f>
      </c>
      <c r="E34" s="30">
        <f>IF(AND($N$5=1,4&lt;=$N$6+1),D34/(1+$B$9/100)^(B34/30),"")</f>
      </c>
    </row>
    <row r="35" spans="1:5" x14ac:dyDescent="0.25">
      <c r="A35" s="27">
        <f>IF(AND($N$5=1,5&lt;=$N$6+1),"#5","")</f>
      </c>
      <c r="B35" s="35">
        <f>IF(AND($N$5=1,5&lt;=$N$6+1),5*$B$7,"")</f>
      </c>
      <c r="C35" s="25">
        <f>IF(AND($N$5=1,5&lt;=$N$6+1),D34*$B$6/100*$B$7/365,"")</f>
      </c>
      <c r="D35" s="25">
        <f>IF(AND($N$5=1,5&lt;=$N$6+1),D34+C35,"")</f>
      </c>
      <c r="E35" s="25">
        <f>IF(AND($N$5=1,5&lt;=$N$6+1),D35/(1+$B$9/100)^(B35/30),"")</f>
      </c>
    </row>
    <row r="36" spans="1:5" x14ac:dyDescent="0.25">
      <c r="A36" s="32">
        <f>IF(AND($N$5=1,6&lt;=$N$6+1),"#6","")</f>
      </c>
      <c r="B36" s="37">
        <f>IF(AND($N$5=1,6&lt;=$N$6+1),6*$B$7,"")</f>
      </c>
      <c r="C36" s="30">
        <f>IF(AND($N$5=1,6&lt;=$N$6+1),D35*$B$6/100*$B$7/365,"")</f>
      </c>
      <c r="D36" s="30">
        <f>IF(AND($N$5=1,6&lt;=$N$6+1),D35+C36,"")</f>
      </c>
      <c r="E36" s="30">
        <f>IF(AND($N$5=1,6&lt;=$N$6+1),D36/(1+$B$9/100)^(B36/30),"")</f>
      </c>
    </row>
    <row r="37" spans="1:5" x14ac:dyDescent="0.25">
      <c r="A37" s="27">
        <f>IF(AND($N$5=1,7&lt;=$N$6+1),"#7","")</f>
      </c>
      <c r="B37" s="35">
        <f>IF(AND($N$5=1,7&lt;=$N$6+1),7*$B$7,"")</f>
      </c>
      <c r="C37" s="25">
        <f>IF(AND($N$5=1,7&lt;=$N$6+1),D36*$B$6/100*$B$7/365,"")</f>
      </c>
      <c r="D37" s="25">
        <f>IF(AND($N$5=1,7&lt;=$N$6+1),D36+C37,"")</f>
      </c>
      <c r="E37" s="25">
        <f>IF(AND($N$5=1,7&lt;=$N$6+1),D37/(1+$B$9/100)^(B37/30),"")</f>
      </c>
    </row>
    <row r="38" spans="1:5" x14ac:dyDescent="0.25">
      <c r="A38" s="32">
        <f>IF(AND($N$5=1,8&lt;=$N$6+1),"#8","")</f>
      </c>
      <c r="B38" s="37">
        <f>IF(AND($N$5=1,8&lt;=$N$6+1),8*$B$7,"")</f>
      </c>
      <c r="C38" s="30">
        <f>IF(AND($N$5=1,8&lt;=$N$6+1),D37*$B$6/100*$B$7/365,"")</f>
      </c>
      <c r="D38" s="30">
        <f>IF(AND($N$5=1,8&lt;=$N$6+1),D37+C38,"")</f>
      </c>
      <c r="E38" s="30">
        <f>IF(AND($N$5=1,8&lt;=$N$6+1),D38/(1+$B$9/100)^(B38/30),"")</f>
      </c>
    </row>
    <row r="39" spans="1:5" x14ac:dyDescent="0.25">
      <c r="A39" s="27">
        <f>IF(AND($N$5=1,9&lt;=$N$6+1),"#9","")</f>
      </c>
      <c r="B39" s="35">
        <f>IF(AND($N$5=1,9&lt;=$N$6+1),9*$B$7,"")</f>
      </c>
      <c r="C39" s="25">
        <f>IF(AND($N$5=1,9&lt;=$N$6+1),D38*$B$6/100*$B$7/365,"")</f>
      </c>
      <c r="D39" s="25">
        <f>IF(AND($N$5=1,9&lt;=$N$6+1),D38+C39,"")</f>
      </c>
      <c r="E39" s="25">
        <f>IF(AND($N$5=1,9&lt;=$N$6+1),D39/(1+$B$9/100)^(B39/30),"")</f>
      </c>
    </row>
    <row r="40" spans="1:5" x14ac:dyDescent="0.25">
      <c r="A40" s="32">
        <f>IF(AND($N$5=1,10&lt;=$N$6+1),"#10","")</f>
      </c>
      <c r="B40" s="37">
        <f>IF(AND($N$5=1,10&lt;=$N$6+1),10*$B$7,"")</f>
      </c>
      <c r="C40" s="30">
        <f>IF(AND($N$5=1,10&lt;=$N$6+1),D39*$B$6/100*$B$7/365,"")</f>
      </c>
      <c r="D40" s="30">
        <f>IF(AND($N$5=1,10&lt;=$N$6+1),D39+C40,"")</f>
      </c>
      <c r="E40" s="30">
        <f>IF(AND($N$5=1,10&lt;=$N$6+1),D40/(1+$B$9/100)^(B40/30),"")</f>
      </c>
    </row>
    <row r="41" spans="1:5" x14ac:dyDescent="0.25">
      <c r="A41" s="27">
        <f>IF(AND($N$5=1,11&lt;=$N$6+1),"#11","")</f>
      </c>
      <c r="B41" s="35">
        <f>IF(AND($N$5=1,11&lt;=$N$6+1),11*$B$7,"")</f>
      </c>
      <c r="C41" s="25">
        <f>IF(AND($N$5=1,11&lt;=$N$6+1),D40*$B$6/100*$B$7/365,"")</f>
      </c>
      <c r="D41" s="25">
        <f>IF(AND($N$5=1,11&lt;=$N$6+1),D40+C41,"")</f>
      </c>
      <c r="E41" s="25">
        <f>IF(AND($N$5=1,11&lt;=$N$6+1),D41/(1+$B$9/100)^(B41/30),"")</f>
      </c>
    </row>
    <row r="42" spans="1:5" x14ac:dyDescent="0.25">
      <c r="A42" s="32">
        <f>IF(AND($N$5=1,12&lt;=$N$6+1),"#12","")</f>
      </c>
      <c r="B42" s="37">
        <f>IF(AND($N$5=1,12&lt;=$N$6+1),12*$B$7,"")</f>
      </c>
      <c r="C42" s="30">
        <f>IF(AND($N$5=1,12&lt;=$N$6+1),D41*$B$6/100*$B$7/365,"")</f>
      </c>
      <c r="D42" s="30">
        <f>IF(AND($N$5=1,12&lt;=$N$6+1),D41+C42,"")</f>
      </c>
      <c r="E42" s="30">
        <f>IF(AND($N$5=1,12&lt;=$N$6+1),D42/(1+$B$9/100)^(B42/30),"")</f>
      </c>
    </row>
    <row r="43" spans="1:5" x14ac:dyDescent="0.25">
      <c r="A43" s="27">
        <f>IF(AND($N$5=1,13&lt;=$N$6+1),"#13","")</f>
      </c>
      <c r="B43" s="35">
        <f>IF(AND($N$5=1,13&lt;=$N$6+1),13*$B$7,"")</f>
      </c>
      <c r="C43" s="25">
        <f>IF(AND($N$5=1,13&lt;=$N$6+1),D42*$B$6/100*$B$7/365,"")</f>
      </c>
      <c r="D43" s="25">
        <f>IF(AND($N$5=1,13&lt;=$N$6+1),D42+C43,"")</f>
      </c>
      <c r="E43" s="25">
        <f>IF(AND($N$5=1,13&lt;=$N$6+1),D43/(1+$B$9/100)^(B43/30),"")</f>
      </c>
    </row>
    <row r="44" spans="1:5" x14ac:dyDescent="0.25">
      <c r="A44" s="32">
        <f>IF(AND($N$5=1,14&lt;=$N$6+1),"#14","")</f>
      </c>
      <c r="B44" s="37">
        <f>IF(AND($N$5=1,14&lt;=$N$6+1),14*$B$7,"")</f>
      </c>
      <c r="C44" s="30">
        <f>IF(AND($N$5=1,14&lt;=$N$6+1),D43*$B$6/100*$B$7/365,"")</f>
      </c>
      <c r="D44" s="30">
        <f>IF(AND($N$5=1,14&lt;=$N$6+1),D43+C44,"")</f>
      </c>
      <c r="E44" s="30">
        <f>IF(AND($N$5=1,14&lt;=$N$6+1),D44/(1+$B$9/100)^(B44/30),"")</f>
      </c>
    </row>
    <row r="45" spans="1:5" x14ac:dyDescent="0.25">
      <c r="A45" s="27">
        <f>IF(AND($N$5=1,15&lt;=$N$6+1),"#15","")</f>
      </c>
      <c r="B45" s="35">
        <f>IF(AND($N$5=1,15&lt;=$N$6+1),15*$B$7,"")</f>
      </c>
      <c r="C45" s="25">
        <f>IF(AND($N$5=1,15&lt;=$N$6+1),D44*$B$6/100*$B$7/365,"")</f>
      </c>
      <c r="D45" s="25">
        <f>IF(AND($N$5=1,15&lt;=$N$6+1),D44+C45,"")</f>
      </c>
      <c r="E45" s="25">
        <f>IF(AND($N$5=1,15&lt;=$N$6+1),D45/(1+$B$9/100)^(B45/30),"")</f>
      </c>
    </row>
    <row r="46" spans="1:5" x14ac:dyDescent="0.25">
      <c r="A46" s="32">
        <f>IF(AND($N$5=1,16&lt;=$N$6+1),"#16","")</f>
      </c>
      <c r="B46" s="37">
        <f>IF(AND($N$5=1,16&lt;=$N$6+1),16*$B$7,"")</f>
      </c>
      <c r="C46" s="30">
        <f>IF(AND($N$5=1,16&lt;=$N$6+1),D45*$B$6/100*$B$7/365,"")</f>
      </c>
      <c r="D46" s="30">
        <f>IF(AND($N$5=1,16&lt;=$N$6+1),D45+C46,"")</f>
      </c>
      <c r="E46" s="30">
        <f>IF(AND($N$5=1,16&lt;=$N$6+1),D46/(1+$B$9/100)^(B46/30),"")</f>
      </c>
    </row>
    <row r="47" spans="1:5" x14ac:dyDescent="0.25">
      <c r="A47" s="27">
        <f>IF(AND($N$5=1,17&lt;=$N$6+1),"#17","")</f>
      </c>
      <c r="B47" s="35">
        <f>IF(AND($N$5=1,17&lt;=$N$6+1),17*$B$7,"")</f>
      </c>
      <c r="C47" s="25">
        <f>IF(AND($N$5=1,17&lt;=$N$6+1),D46*$B$6/100*$B$7/365,"")</f>
      </c>
      <c r="D47" s="25">
        <f>IF(AND($N$5=1,17&lt;=$N$6+1),D46+C47,"")</f>
      </c>
      <c r="E47" s="25">
        <f>IF(AND($N$5=1,17&lt;=$N$6+1),D47/(1+$B$9/100)^(B47/30),"")</f>
      </c>
    </row>
    <row r="48" spans="1:5" x14ac:dyDescent="0.25">
      <c r="A48" s="32">
        <f>IF(AND($N$5=1,18&lt;=$N$6+1),"#18","")</f>
      </c>
      <c r="B48" s="37">
        <f>IF(AND($N$5=1,18&lt;=$N$6+1),18*$B$7,"")</f>
      </c>
      <c r="C48" s="30">
        <f>IF(AND($N$5=1,18&lt;=$N$6+1),D47*$B$6/100*$B$7/365,"")</f>
      </c>
      <c r="D48" s="30">
        <f>IF(AND($N$5=1,18&lt;=$N$6+1),D47+C48,"")</f>
      </c>
      <c r="E48" s="30">
        <f>IF(AND($N$5=1,18&lt;=$N$6+1),D48/(1+$B$9/100)^(B48/30),"")</f>
      </c>
    </row>
    <row r="49" spans="1:5" x14ac:dyDescent="0.25">
      <c r="A49" s="27">
        <f>IF(AND($N$5=1,19&lt;=$N$6+1),"#19","")</f>
      </c>
      <c r="B49" s="35">
        <f>IF(AND($N$5=1,19&lt;=$N$6+1),19*$B$7,"")</f>
      </c>
      <c r="C49" s="25">
        <f>IF(AND($N$5=1,19&lt;=$N$6+1),D48*$B$6/100*$B$7/365,"")</f>
      </c>
      <c r="D49" s="25">
        <f>IF(AND($N$5=1,19&lt;=$N$6+1),D48+C49,"")</f>
      </c>
      <c r="E49" s="25">
        <f>IF(AND($N$5=1,19&lt;=$N$6+1),D49/(1+$B$9/100)^(B49/30),"")</f>
      </c>
    </row>
    <row r="50" spans="1:5" x14ac:dyDescent="0.25">
      <c r="A50" s="32">
        <f>IF(AND($N$5=1,20&lt;=$N$6+1),"#20","")</f>
      </c>
      <c r="B50" s="37">
        <f>IF(AND($N$5=1,20&lt;=$N$6+1),20*$B$7,"")</f>
      </c>
      <c r="C50" s="30">
        <f>IF(AND($N$5=1,20&lt;=$N$6+1),D49*$B$6/100*$B$7/365,"")</f>
      </c>
      <c r="D50" s="30">
        <f>IF(AND($N$5=1,20&lt;=$N$6+1),D49+C50,"")</f>
      </c>
      <c r="E50" s="30">
        <f>IF(AND($N$5=1,20&lt;=$N$6+1),D50/(1+$B$9/100)^(B50/30),"")</f>
      </c>
    </row>
    <row r="51" spans="1:5" x14ac:dyDescent="0.25">
      <c r="A51" s="27">
        <f>IF(AND($N$5=1,21&lt;=$N$6+1),"#21","")</f>
      </c>
      <c r="B51" s="35">
        <f>IF(AND($N$5=1,21&lt;=$N$6+1),21*$B$7,"")</f>
      </c>
      <c r="C51" s="25">
        <f>IF(AND($N$5=1,21&lt;=$N$6+1),D50*$B$6/100*$B$7/365,"")</f>
      </c>
      <c r="D51" s="25">
        <f>IF(AND($N$5=1,21&lt;=$N$6+1),D50+C51,"")</f>
      </c>
      <c r="E51" s="25">
        <f>IF(AND($N$5=1,21&lt;=$N$6+1),D51/(1+$B$9/100)^(B51/30),"")</f>
      </c>
    </row>
    <row r="52" spans="1:5" x14ac:dyDescent="0.25">
      <c r="A52" s="32">
        <f>IF(AND($N$5=1,22&lt;=$N$6+1),"#22","")</f>
      </c>
      <c r="B52" s="37">
        <f>IF(AND($N$5=1,22&lt;=$N$6+1),22*$B$7,"")</f>
      </c>
      <c r="C52" s="30">
        <f>IF(AND($N$5=1,22&lt;=$N$6+1),D51*$B$6/100*$B$7/365,"")</f>
      </c>
      <c r="D52" s="30">
        <f>IF(AND($N$5=1,22&lt;=$N$6+1),D51+C52,"")</f>
      </c>
      <c r="E52" s="30">
        <f>IF(AND($N$5=1,22&lt;=$N$6+1),D52/(1+$B$9/100)^(B52/30),"")</f>
      </c>
    </row>
    <row r="53" spans="1:5" x14ac:dyDescent="0.25">
      <c r="A53" s="27">
        <f>IF(AND($N$5=1,23&lt;=$N$6+1),"#23","")</f>
      </c>
      <c r="B53" s="35">
        <f>IF(AND($N$5=1,23&lt;=$N$6+1),23*$B$7,"")</f>
      </c>
      <c r="C53" s="25">
        <f>IF(AND($N$5=1,23&lt;=$N$6+1),D52*$B$6/100*$B$7/365,"")</f>
      </c>
      <c r="D53" s="25">
        <f>IF(AND($N$5=1,23&lt;=$N$6+1),D52+C53,"")</f>
      </c>
      <c r="E53" s="25">
        <f>IF(AND($N$5=1,23&lt;=$N$6+1),D53/(1+$B$9/100)^(B53/30),"")</f>
      </c>
    </row>
    <row r="54" spans="1:5" x14ac:dyDescent="0.25">
      <c r="A54" s="32">
        <f>IF(AND($N$5=1,24&lt;=$N$6+1),"#24","")</f>
      </c>
      <c r="B54" s="37">
        <f>IF(AND($N$5=1,24&lt;=$N$6+1),24*$B$7,"")</f>
      </c>
      <c r="C54" s="30">
        <f>IF(AND($N$5=1,24&lt;=$N$6+1),D53*$B$6/100*$B$7/365,"")</f>
      </c>
      <c r="D54" s="30">
        <f>IF(AND($N$5=1,24&lt;=$N$6+1),D53+C54,"")</f>
      </c>
      <c r="E54" s="30">
        <f>IF(AND($N$5=1,24&lt;=$N$6+1),D54/(1+$B$9/100)^(B54/30),"")</f>
      </c>
    </row>
    <row r="55" spans="1:5" x14ac:dyDescent="0.25">
      <c r="A55" s="27">
        <f>IF(AND($N$5=1,25&lt;=$N$6+1),"#25","")</f>
      </c>
      <c r="B55" s="35">
        <f>IF(AND($N$5=1,25&lt;=$N$6+1),25*$B$7,"")</f>
      </c>
      <c r="C55" s="25">
        <f>IF(AND($N$5=1,25&lt;=$N$6+1),D54*$B$6/100*$B$7/365,"")</f>
      </c>
      <c r="D55" s="25">
        <f>IF(AND($N$5=1,25&lt;=$N$6+1),D54+C55,"")</f>
      </c>
      <c r="E55" s="25">
        <f>IF(AND($N$5=1,25&lt;=$N$6+1),D55/(1+$B$9/100)^(B55/30),"")</f>
      </c>
    </row>
    <row r="57" ht="30" customHeight="1" spans="1:5" x14ac:dyDescent="0.25">
      <c r="A57" s="9" t="s">
        <v>88</v>
      </c>
      <c r="B57" s="9"/>
      <c r="C57" s="9"/>
      <c r="D57" s="9"/>
      <c r="E57" s="9"/>
    </row>
  </sheetData>
  <sheetProtection sheet="1" formatColumns="0" formatRows="0"/>
  <mergeCells count="10">
    <mergeCell ref="A1:E1"/>
    <mergeCell ref="A2:E2"/>
    <mergeCell ref="A4:B4"/>
    <mergeCell ref="C6:E6"/>
    <mergeCell ref="C8:E8"/>
    <mergeCell ref="A11:B11"/>
    <mergeCell ref="A18:B18"/>
    <mergeCell ref="B26:E26"/>
    <mergeCell ref="A29:E29"/>
    <mergeCell ref="A57:E57"/>
  </mergeCells>
  <dataValidations count="5">
    <dataValidation type="decimal" allowBlank="1" showErrorMessage="1" error="Escribí el capital sin puntos ni signo $. Por ejemplo: 1000000." sqref="B5">
      <formula1>0.01</formula1>
      <formula2>1000000000000</formula2>
    </dataValidation>
    <dataValidation type="decimal" allowBlank="1" showErrorMessage="1" error="Escribí la TNA como número: 22,5 para 22,5% anual." sqref="B6">
      <formula1>0</formula1>
      <formula2>1000</formula2>
    </dataValidation>
    <dataValidation type="whole" allowBlank="1" showErrorMessage="1" error="Los días van enteros, desde 30 (el mínimo de un plazo fijo tradicional)." sqref="B7">
      <formula1>30</formula1>
      <formula2>1825</formula2>
    </dataValidation>
    <dataValidation type="whole" showErrorMessage="1" error="Entre 0 y 24 renovaciones." sqref="B8">
      <formula1>0</formula1>
      <formula2>24</formula2>
    </dataValidation>
    <dataValidation type="decimal" showErrorMessage="1" error="Escribí la inflación mensual como número: 1,7 para 1,7%." sqref="B9">
      <formula1>-20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C00"/>
  </sheetPr>
  <dimension ref="A1:N21"/>
  <sheetFormatPr defaultRowHeight="15" outlineLevelRow="0" outlineLevelCol="0" x14ac:dyDescent="55"/>
  <cols>
    <col min="1" max="1" width="40" customWidth="1"/>
    <col min="2" max="5" width="22" customWidth="1"/>
    <col min="14" max="14" width="9" hidden="1" customWidth="1"/>
  </cols>
  <sheetData>
    <row r="1" ht="28" customHeight="1" spans="1:5" x14ac:dyDescent="0.25">
      <c r="A1" s="1" t="s">
        <v>89</v>
      </c>
      <c r="B1" s="1"/>
      <c r="C1" s="1"/>
      <c r="D1" s="1"/>
      <c r="E1" s="1"/>
    </row>
    <row r="2" ht="30" customHeight="1" spans="1:5" x14ac:dyDescent="0.25">
      <c r="A2" s="11" t="s">
        <v>90</v>
      </c>
      <c r="B2" s="11"/>
      <c r="C2" s="11"/>
      <c r="D2" s="11"/>
      <c r="E2" s="11"/>
    </row>
    <row r="4" spans="1:2" x14ac:dyDescent="0.25">
      <c r="A4" s="4" t="s">
        <v>63</v>
      </c>
      <c r="B4" s="4"/>
    </row>
    <row r="5" spans="1:14" x14ac:dyDescent="0.25">
      <c r="A5" s="12" t="s">
        <v>38</v>
      </c>
      <c r="B5" s="22">
        <v>1000000</v>
      </c>
      <c r="N5">
        <f>IF(AND(ISNUMBER(B5),B5&gt;0,ISNUMBER(B6),B6&gt;=30,ISNUMBER(B7),B7&gt;=0,B7&lt;=24,ISNUMBER(B8),B8&gt;=0,ISNUMBER(B9),ISNUMBER(B10),B10&gt;=0),1,0)</f>
      </c>
    </row>
    <row r="6" spans="1:14" x14ac:dyDescent="0.25">
      <c r="A6" s="12" t="s">
        <v>91</v>
      </c>
      <c r="B6" s="23">
        <v>30</v>
      </c>
      <c r="N6">
        <f>IF(N5=1,INT(B7),0)</f>
      </c>
    </row>
    <row r="7" spans="1:5" x14ac:dyDescent="0.25">
      <c r="A7" s="12" t="s">
        <v>92</v>
      </c>
      <c r="B7" s="23">
        <v>11</v>
      </c>
      <c r="C7" s="14" t="s">
        <v>93</v>
      </c>
      <c r="D7" s="14"/>
      <c r="E7" s="14"/>
    </row>
    <row r="8" spans="1:2" x14ac:dyDescent="0.25">
      <c r="A8" s="12" t="s">
        <v>94</v>
      </c>
      <c r="B8" s="13">
        <v>22.66</v>
      </c>
    </row>
    <row r="9" spans="1:2" x14ac:dyDescent="0.25">
      <c r="A9" s="12" t="s">
        <v>27</v>
      </c>
      <c r="B9" s="13">
        <v>1.7</v>
      </c>
    </row>
    <row r="10" spans="1:5" x14ac:dyDescent="0.25">
      <c r="A10" s="12" t="s">
        <v>95</v>
      </c>
      <c r="B10" s="13">
        <v>4.5</v>
      </c>
      <c r="C10" s="14" t="s">
        <v>96</v>
      </c>
      <c r="D10" s="14"/>
      <c r="E10" s="14"/>
    </row>
    <row r="12" spans="1:2" x14ac:dyDescent="0.25">
      <c r="A12" s="4" t="s">
        <v>97</v>
      </c>
      <c r="B12" s="4"/>
    </row>
    <row r="13" spans="1:2" x14ac:dyDescent="0.25">
      <c r="A13" s="12" t="s">
        <v>98</v>
      </c>
      <c r="B13" s="39">
        <f>IF($N$5=1,B6*($N$6+1),"")</f>
      </c>
    </row>
    <row r="14" spans="1:2" x14ac:dyDescent="0.25">
      <c r="A14" s="12" t="s">
        <v>79</v>
      </c>
      <c r="B14" s="38">
        <f>IF($N$5=1,(1+B9/100)^(B13/30)-1,"")</f>
      </c>
    </row>
    <row r="15" spans="1:2" x14ac:dyDescent="0.25">
      <c r="A15" s="12" t="s">
        <v>99</v>
      </c>
      <c r="B15" s="16">
        <f>IF($N$5=1,B5*(1+B8/100*B6/365)^($N$6+1),"")</f>
      </c>
    </row>
    <row r="16" spans="1:2" x14ac:dyDescent="0.25">
      <c r="A16" s="12" t="s">
        <v>100</v>
      </c>
      <c r="B16" s="16">
        <f>IF(AND($N$5=1,B13&gt;=90),B5*(1+B14)*(1+B10/100*B13/365),"")</f>
      </c>
    </row>
    <row r="17" spans="1:2" x14ac:dyDescent="0.25">
      <c r="A17" s="12" t="s">
        <v>101</v>
      </c>
      <c r="B17" s="17">
        <f>IF(AND($N$5=1,B13&gt;=90),B16-B15,"")</f>
      </c>
    </row>
    <row r="18" spans="1:2" x14ac:dyDescent="0.25">
      <c r="A18" s="12" t="s">
        <v>102</v>
      </c>
      <c r="B18" s="38">
        <f>IF(AND($N$5=1,B13&gt;=90),(B15/B5/(1+B10/100*B13/365))^(30/B13)-1,"")</f>
      </c>
    </row>
    <row r="19" ht="46" customHeight="1" spans="1:5" x14ac:dyDescent="0.25">
      <c r="A19" s="12" t="s">
        <v>103</v>
      </c>
      <c r="B19" s="41">
        <f>IF($N$5=0,"Completá las celdas amarillas de arriba.",IF(B13&lt;90,"El plazo fijo UVA exige 90 días como mínimo (Com. «A» 8246 del BCRA): subí los días o las renovaciones para compararlo.","Si la inflación mensual promedio de esos "&amp;B13&amp;" días es mayor a la de empate, el UVA termina con más; si es menor, termina con más el tradicional. La inflación futura nadie la sabe: probá con distintas."))</f>
      </c>
      <c r="C19" s="41"/>
      <c r="D19" s="41"/>
      <c r="E19" s="41"/>
    </row>
    <row r="21" ht="44" customHeight="1" spans="1:5" x14ac:dyDescent="0.25">
      <c r="A21" s="9" t="s">
        <v>104</v>
      </c>
      <c r="B21" s="9"/>
      <c r="C21" s="9"/>
      <c r="D21" s="9"/>
      <c r="E21" s="9"/>
    </row>
  </sheetData>
  <sheetProtection sheet="1" formatColumns="0" formatRows="0"/>
  <mergeCells count="8">
    <mergeCell ref="A1:E1"/>
    <mergeCell ref="A2:E2"/>
    <mergeCell ref="A4:B4"/>
    <mergeCell ref="C7:E7"/>
    <mergeCell ref="C10:E10"/>
    <mergeCell ref="A12:B12"/>
    <mergeCell ref="B19:E19"/>
    <mergeCell ref="A21:E21"/>
  </mergeCells>
  <dataValidations count="6">
    <dataValidation type="decimal" showErrorMessage="1" error="Escribí la tasa adicional como número: 1 para 1%." sqref="B10">
      <formula1>0</formula1>
      <formula2>100</formula2>
    </dataValidation>
    <dataValidation type="decimal" allowBlank="1" showErrorMessage="1" error="Escribí el capital sin puntos ni signo $. Por ejemplo: 1000000." sqref="B5">
      <formula1>0.01</formula1>
      <formula2>1000000000000</formula2>
    </dataValidation>
    <dataValidation type="whole" allowBlank="1" showErrorMessage="1" error="Los días van enteros, desde 30 (el mínimo de un plazo fijo tradicional)." sqref="B6">
      <formula1>30</formula1>
      <formula2>1825</formula2>
    </dataValidation>
    <dataValidation type="whole" showErrorMessage="1" error="Entre 0 y 24 renovaciones." sqref="B7">
      <formula1>0</formula1>
      <formula2>24</formula2>
    </dataValidation>
    <dataValidation type="decimal" allowBlank="1" showErrorMessage="1" error="Escribí la TNA como número: 22,5 para 22,5% anual." sqref="B8">
      <formula1>0</formula1>
      <formula2>1000</formula2>
    </dataValidation>
    <dataValidation type="decimal" showErrorMessage="1" error="Escribí la inflación mensual como número: 1,7 para 1,7%." sqref="B9">
      <formula1>-20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C00"/>
  </sheetPr>
  <dimension ref="A1:N28"/>
  <sheetFormatPr defaultRowHeight="15" outlineLevelRow="0" outlineLevelCol="0" x14ac:dyDescent="55"/>
  <cols>
    <col min="1" max="1" width="34" customWidth="1"/>
    <col min="2" max="2" width="18" customWidth="1"/>
    <col min="3" max="3" width="14" customWidth="1"/>
    <col min="4" max="4" width="18" customWidth="1"/>
    <col min="5" max="6" width="14" customWidth="1"/>
    <col min="7" max="7" width="16" customWidth="1"/>
    <col min="8" max="8" width="18" customWidth="1"/>
    <col min="9" max="9" width="20" customWidth="1"/>
    <col min="14" max="14" width="9" hidden="1" customWidth="1"/>
  </cols>
  <sheetData>
    <row r="1" ht="28" customHeight="1" spans="1:9" x14ac:dyDescent="0.25">
      <c r="A1" s="1" t="s">
        <v>105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11" t="s">
        <v>106</v>
      </c>
      <c r="B2" s="11"/>
      <c r="C2" s="11"/>
      <c r="D2" s="11"/>
      <c r="E2" s="11"/>
      <c r="F2" s="11"/>
      <c r="G2" s="11"/>
      <c r="H2" s="11"/>
      <c r="I2" s="11"/>
    </row>
    <row r="4" spans="1:2" x14ac:dyDescent="0.25">
      <c r="A4" s="4" t="s">
        <v>63</v>
      </c>
      <c r="B4" s="4"/>
    </row>
    <row r="5" spans="1:14" x14ac:dyDescent="0.25">
      <c r="A5" s="12" t="s">
        <v>107</v>
      </c>
      <c r="B5" s="22">
        <v>1000000</v>
      </c>
      <c r="N5">
        <f>IF(AND(ISNUMBER(B5),B5&gt;0,ISNUMBER(B6),B6&gt;=1,B6&lt;=12,ISNUMBER(B7),B7&gt;=30,ISNUMBER(B8),ISNUMBER(B9),B9&gt;=0),1,0)</f>
      </c>
    </row>
    <row r="6" spans="1:14" x14ac:dyDescent="0.25">
      <c r="A6" s="12" t="s">
        <v>108</v>
      </c>
      <c r="B6" s="23">
        <v>4</v>
      </c>
      <c r="N6">
        <f>IF(N5=1,INT(B6),0)</f>
      </c>
    </row>
    <row r="7" spans="1:2" x14ac:dyDescent="0.25">
      <c r="A7" s="12" t="s">
        <v>109</v>
      </c>
      <c r="B7" s="23">
        <v>30</v>
      </c>
    </row>
    <row r="8" spans="1:2" x14ac:dyDescent="0.25">
      <c r="A8" s="12" t="s">
        <v>110</v>
      </c>
      <c r="B8" s="21">
        <v>46314</v>
      </c>
    </row>
    <row r="9" spans="1:9" x14ac:dyDescent="0.25">
      <c r="A9" s="12" t="s">
        <v>39</v>
      </c>
      <c r="B9" s="13">
        <v>22.66</v>
      </c>
      <c r="C9" s="14" t="s">
        <v>111</v>
      </c>
      <c r="D9" s="14"/>
      <c r="E9" s="14"/>
      <c r="F9" s="14"/>
      <c r="G9" s="14"/>
      <c r="H9" s="14"/>
      <c r="I9" s="14"/>
    </row>
    <row r="11" spans="1:2" x14ac:dyDescent="0.25">
      <c r="A11" s="12" t="s">
        <v>112</v>
      </c>
      <c r="B11" s="17">
        <f>IF($N$5=1,B5/$N$6,"")</f>
      </c>
    </row>
    <row r="12" spans="1:2" x14ac:dyDescent="0.25">
      <c r="A12" s="12" t="s">
        <v>113</v>
      </c>
      <c r="B12" s="16">
        <f>IF($N$5=1,SUM(G15:G26),"")</f>
      </c>
    </row>
    <row r="13" ht="32" customHeight="1" spans="1:9" x14ac:dyDescent="0.25">
      <c r="A13" s="12" t="s">
        <v>114</v>
      </c>
      <c r="B13" s="41">
        <f>IF($N$5=0,"Completá las celdas amarillas de arriba.",IF($N$6=1,"Con un solo escalón es un plazo fijo común: subí la cantidad para escalonarlo.","Vas a tener un vencimiento cada "&amp;B7&amp;" días. Si cada parte que vence la volvés a poner a "&amp;($N$6*B7)&amp;" días, la escalera se mantiene sola."))</f>
      </c>
      <c r="C13" s="41"/>
      <c r="D13" s="41"/>
      <c r="E13" s="41"/>
      <c r="F13" s="41"/>
      <c r="G13" s="41"/>
      <c r="H13" s="41"/>
      <c r="I13" s="41"/>
    </row>
    <row r="14" ht="44" customHeight="1" spans="1:9" x14ac:dyDescent="0.25">
      <c r="A14" s="19" t="s">
        <v>115</v>
      </c>
      <c r="B14" s="19" t="s">
        <v>38</v>
      </c>
      <c r="C14" s="19" t="s">
        <v>116</v>
      </c>
      <c r="D14" s="19" t="s">
        <v>117</v>
      </c>
      <c r="E14" s="19" t="s">
        <v>118</v>
      </c>
      <c r="F14" s="19" t="s">
        <v>41</v>
      </c>
      <c r="G14" s="19" t="s">
        <v>42</v>
      </c>
      <c r="H14" s="19" t="s">
        <v>119</v>
      </c>
      <c r="I14" s="19" t="s">
        <v>120</v>
      </c>
    </row>
    <row r="15" spans="1:9" x14ac:dyDescent="0.25">
      <c r="A15" s="27">
        <f>IF(AND($N$5=1,1&lt;=$N$6),"Escalón 1","")</f>
      </c>
      <c r="B15" s="25">
        <f>IF(AND($N$5=1,1&lt;=$N$6),$B$5/$N$6,"")</f>
      </c>
      <c r="C15" s="35">
        <f>IF(AND($N$5=1,1&lt;=$N$6),1*$B$7,"")</f>
      </c>
      <c r="D15" s="13"/>
      <c r="E15" s="42">
        <f>IF(AND($N$5=1,1&lt;=$N$6),IF(ISNUMBER(D15),D15,$B$9),"")</f>
      </c>
      <c r="F15" s="24">
        <f>IF(AND($N$5=1,1&lt;=$N$6),$B$8+C15,"")</f>
      </c>
      <c r="G15" s="25">
        <f>IF(AND($N$5=1,1&lt;=$N$6),B15*E15/100*C15/365,"")</f>
      </c>
      <c r="H15" s="25">
        <f>IF(AND($N$5=1,1&lt;=$N$6),B15+G15,"")</f>
      </c>
      <c r="I15" s="35">
        <f>IF(AND($N$5=1,1&lt;=$N$6),$N$6*$B$7,"")</f>
      </c>
    </row>
    <row r="16" spans="1:9" x14ac:dyDescent="0.25">
      <c r="A16" s="32">
        <f>IF(AND($N$5=1,2&lt;=$N$6),"Escalón 2","")</f>
      </c>
      <c r="B16" s="30">
        <f>IF(AND($N$5=1,2&lt;=$N$6),$B$5/$N$6,"")</f>
      </c>
      <c r="C16" s="37">
        <f>IF(AND($N$5=1,2&lt;=$N$6),2*$B$7,"")</f>
      </c>
      <c r="D16" s="13"/>
      <c r="E16" s="43">
        <f>IF(AND($N$5=1,2&lt;=$N$6),IF(ISNUMBER(D16),D16,$B$9),"")</f>
      </c>
      <c r="F16" s="29">
        <f>IF(AND($N$5=1,2&lt;=$N$6),$B$8+C16,"")</f>
      </c>
      <c r="G16" s="30">
        <f>IF(AND($N$5=1,2&lt;=$N$6),B16*E16/100*C16/365,"")</f>
      </c>
      <c r="H16" s="30">
        <f>IF(AND($N$5=1,2&lt;=$N$6),B16+G16,"")</f>
      </c>
      <c r="I16" s="37">
        <f>IF(AND($N$5=1,2&lt;=$N$6),$N$6*$B$7,"")</f>
      </c>
    </row>
    <row r="17" spans="1:9" x14ac:dyDescent="0.25">
      <c r="A17" s="27">
        <f>IF(AND($N$5=1,3&lt;=$N$6),"Escalón 3","")</f>
      </c>
      <c r="B17" s="25">
        <f>IF(AND($N$5=1,3&lt;=$N$6),$B$5/$N$6,"")</f>
      </c>
      <c r="C17" s="35">
        <f>IF(AND($N$5=1,3&lt;=$N$6),3*$B$7,"")</f>
      </c>
      <c r="D17" s="13"/>
      <c r="E17" s="42">
        <f>IF(AND($N$5=1,3&lt;=$N$6),IF(ISNUMBER(D17),D17,$B$9),"")</f>
      </c>
      <c r="F17" s="24">
        <f>IF(AND($N$5=1,3&lt;=$N$6),$B$8+C17,"")</f>
      </c>
      <c r="G17" s="25">
        <f>IF(AND($N$5=1,3&lt;=$N$6),B17*E17/100*C17/365,"")</f>
      </c>
      <c r="H17" s="25">
        <f>IF(AND($N$5=1,3&lt;=$N$6),B17+G17,"")</f>
      </c>
      <c r="I17" s="35">
        <f>IF(AND($N$5=1,3&lt;=$N$6),$N$6*$B$7,"")</f>
      </c>
    </row>
    <row r="18" spans="1:9" x14ac:dyDescent="0.25">
      <c r="A18" s="32">
        <f>IF(AND($N$5=1,4&lt;=$N$6),"Escalón 4","")</f>
      </c>
      <c r="B18" s="30">
        <f>IF(AND($N$5=1,4&lt;=$N$6),$B$5/$N$6,"")</f>
      </c>
      <c r="C18" s="37">
        <f>IF(AND($N$5=1,4&lt;=$N$6),4*$B$7,"")</f>
      </c>
      <c r="D18" s="13"/>
      <c r="E18" s="43">
        <f>IF(AND($N$5=1,4&lt;=$N$6),IF(ISNUMBER(D18),D18,$B$9),"")</f>
      </c>
      <c r="F18" s="29">
        <f>IF(AND($N$5=1,4&lt;=$N$6),$B$8+C18,"")</f>
      </c>
      <c r="G18" s="30">
        <f>IF(AND($N$5=1,4&lt;=$N$6),B18*E18/100*C18/365,"")</f>
      </c>
      <c r="H18" s="30">
        <f>IF(AND($N$5=1,4&lt;=$N$6),B18+G18,"")</f>
      </c>
      <c r="I18" s="37">
        <f>IF(AND($N$5=1,4&lt;=$N$6),$N$6*$B$7,"")</f>
      </c>
    </row>
    <row r="19" spans="1:9" x14ac:dyDescent="0.25">
      <c r="A19" s="27">
        <f>IF(AND($N$5=1,5&lt;=$N$6),"Escalón 5","")</f>
      </c>
      <c r="B19" s="25">
        <f>IF(AND($N$5=1,5&lt;=$N$6),$B$5/$N$6,"")</f>
      </c>
      <c r="C19" s="35">
        <f>IF(AND($N$5=1,5&lt;=$N$6),5*$B$7,"")</f>
      </c>
      <c r="D19" s="13"/>
      <c r="E19" s="42">
        <f>IF(AND($N$5=1,5&lt;=$N$6),IF(ISNUMBER(D19),D19,$B$9),"")</f>
      </c>
      <c r="F19" s="24">
        <f>IF(AND($N$5=1,5&lt;=$N$6),$B$8+C19,"")</f>
      </c>
      <c r="G19" s="25">
        <f>IF(AND($N$5=1,5&lt;=$N$6),B19*E19/100*C19/365,"")</f>
      </c>
      <c r="H19" s="25">
        <f>IF(AND($N$5=1,5&lt;=$N$6),B19+G19,"")</f>
      </c>
      <c r="I19" s="35">
        <f>IF(AND($N$5=1,5&lt;=$N$6),$N$6*$B$7,"")</f>
      </c>
    </row>
    <row r="20" spans="1:9" x14ac:dyDescent="0.25">
      <c r="A20" s="32">
        <f>IF(AND($N$5=1,6&lt;=$N$6),"Escalón 6","")</f>
      </c>
      <c r="B20" s="30">
        <f>IF(AND($N$5=1,6&lt;=$N$6),$B$5/$N$6,"")</f>
      </c>
      <c r="C20" s="37">
        <f>IF(AND($N$5=1,6&lt;=$N$6),6*$B$7,"")</f>
      </c>
      <c r="D20" s="13"/>
      <c r="E20" s="43">
        <f>IF(AND($N$5=1,6&lt;=$N$6),IF(ISNUMBER(D20),D20,$B$9),"")</f>
      </c>
      <c r="F20" s="29">
        <f>IF(AND($N$5=1,6&lt;=$N$6),$B$8+C20,"")</f>
      </c>
      <c r="G20" s="30">
        <f>IF(AND($N$5=1,6&lt;=$N$6),B20*E20/100*C20/365,"")</f>
      </c>
      <c r="H20" s="30">
        <f>IF(AND($N$5=1,6&lt;=$N$6),B20+G20,"")</f>
      </c>
      <c r="I20" s="37">
        <f>IF(AND($N$5=1,6&lt;=$N$6),$N$6*$B$7,"")</f>
      </c>
    </row>
    <row r="21" spans="1:9" x14ac:dyDescent="0.25">
      <c r="A21" s="27">
        <f>IF(AND($N$5=1,7&lt;=$N$6),"Escalón 7","")</f>
      </c>
      <c r="B21" s="25">
        <f>IF(AND($N$5=1,7&lt;=$N$6),$B$5/$N$6,"")</f>
      </c>
      <c r="C21" s="35">
        <f>IF(AND($N$5=1,7&lt;=$N$6),7*$B$7,"")</f>
      </c>
      <c r="D21" s="13"/>
      <c r="E21" s="42">
        <f>IF(AND($N$5=1,7&lt;=$N$6),IF(ISNUMBER(D21),D21,$B$9),"")</f>
      </c>
      <c r="F21" s="24">
        <f>IF(AND($N$5=1,7&lt;=$N$6),$B$8+C21,"")</f>
      </c>
      <c r="G21" s="25">
        <f>IF(AND($N$5=1,7&lt;=$N$6),B21*E21/100*C21/365,"")</f>
      </c>
      <c r="H21" s="25">
        <f>IF(AND($N$5=1,7&lt;=$N$6),B21+G21,"")</f>
      </c>
      <c r="I21" s="35">
        <f>IF(AND($N$5=1,7&lt;=$N$6),$N$6*$B$7,"")</f>
      </c>
    </row>
    <row r="22" spans="1:9" x14ac:dyDescent="0.25">
      <c r="A22" s="32">
        <f>IF(AND($N$5=1,8&lt;=$N$6),"Escalón 8","")</f>
      </c>
      <c r="B22" s="30">
        <f>IF(AND($N$5=1,8&lt;=$N$6),$B$5/$N$6,"")</f>
      </c>
      <c r="C22" s="37">
        <f>IF(AND($N$5=1,8&lt;=$N$6),8*$B$7,"")</f>
      </c>
      <c r="D22" s="13"/>
      <c r="E22" s="43">
        <f>IF(AND($N$5=1,8&lt;=$N$6),IF(ISNUMBER(D22),D22,$B$9),"")</f>
      </c>
      <c r="F22" s="29">
        <f>IF(AND($N$5=1,8&lt;=$N$6),$B$8+C22,"")</f>
      </c>
      <c r="G22" s="30">
        <f>IF(AND($N$5=1,8&lt;=$N$6),B22*E22/100*C22/365,"")</f>
      </c>
      <c r="H22" s="30">
        <f>IF(AND($N$5=1,8&lt;=$N$6),B22+G22,"")</f>
      </c>
      <c r="I22" s="37">
        <f>IF(AND($N$5=1,8&lt;=$N$6),$N$6*$B$7,"")</f>
      </c>
    </row>
    <row r="23" spans="1:9" x14ac:dyDescent="0.25">
      <c r="A23" s="27">
        <f>IF(AND($N$5=1,9&lt;=$N$6),"Escalón 9","")</f>
      </c>
      <c r="B23" s="25">
        <f>IF(AND($N$5=1,9&lt;=$N$6),$B$5/$N$6,"")</f>
      </c>
      <c r="C23" s="35">
        <f>IF(AND($N$5=1,9&lt;=$N$6),9*$B$7,"")</f>
      </c>
      <c r="D23" s="13"/>
      <c r="E23" s="42">
        <f>IF(AND($N$5=1,9&lt;=$N$6),IF(ISNUMBER(D23),D23,$B$9),"")</f>
      </c>
      <c r="F23" s="24">
        <f>IF(AND($N$5=1,9&lt;=$N$6),$B$8+C23,"")</f>
      </c>
      <c r="G23" s="25">
        <f>IF(AND($N$5=1,9&lt;=$N$6),B23*E23/100*C23/365,"")</f>
      </c>
      <c r="H23" s="25">
        <f>IF(AND($N$5=1,9&lt;=$N$6),B23+G23,"")</f>
      </c>
      <c r="I23" s="35">
        <f>IF(AND($N$5=1,9&lt;=$N$6),$N$6*$B$7,"")</f>
      </c>
    </row>
    <row r="24" spans="1:9" x14ac:dyDescent="0.25">
      <c r="A24" s="32">
        <f>IF(AND($N$5=1,10&lt;=$N$6),"Escalón 10","")</f>
      </c>
      <c r="B24" s="30">
        <f>IF(AND($N$5=1,10&lt;=$N$6),$B$5/$N$6,"")</f>
      </c>
      <c r="C24" s="37">
        <f>IF(AND($N$5=1,10&lt;=$N$6),10*$B$7,"")</f>
      </c>
      <c r="D24" s="13"/>
      <c r="E24" s="43">
        <f>IF(AND($N$5=1,10&lt;=$N$6),IF(ISNUMBER(D24),D24,$B$9),"")</f>
      </c>
      <c r="F24" s="29">
        <f>IF(AND($N$5=1,10&lt;=$N$6),$B$8+C24,"")</f>
      </c>
      <c r="G24" s="30">
        <f>IF(AND($N$5=1,10&lt;=$N$6),B24*E24/100*C24/365,"")</f>
      </c>
      <c r="H24" s="30">
        <f>IF(AND($N$5=1,10&lt;=$N$6),B24+G24,"")</f>
      </c>
      <c r="I24" s="37">
        <f>IF(AND($N$5=1,10&lt;=$N$6),$N$6*$B$7,"")</f>
      </c>
    </row>
    <row r="25" spans="1:9" x14ac:dyDescent="0.25">
      <c r="A25" s="27">
        <f>IF(AND($N$5=1,11&lt;=$N$6),"Escalón 11","")</f>
      </c>
      <c r="B25" s="25">
        <f>IF(AND($N$5=1,11&lt;=$N$6),$B$5/$N$6,"")</f>
      </c>
      <c r="C25" s="35">
        <f>IF(AND($N$5=1,11&lt;=$N$6),11*$B$7,"")</f>
      </c>
      <c r="D25" s="13"/>
      <c r="E25" s="42">
        <f>IF(AND($N$5=1,11&lt;=$N$6),IF(ISNUMBER(D25),D25,$B$9),"")</f>
      </c>
      <c r="F25" s="24">
        <f>IF(AND($N$5=1,11&lt;=$N$6),$B$8+C25,"")</f>
      </c>
      <c r="G25" s="25">
        <f>IF(AND($N$5=1,11&lt;=$N$6),B25*E25/100*C25/365,"")</f>
      </c>
      <c r="H25" s="25">
        <f>IF(AND($N$5=1,11&lt;=$N$6),B25+G25,"")</f>
      </c>
      <c r="I25" s="35">
        <f>IF(AND($N$5=1,11&lt;=$N$6),$N$6*$B$7,"")</f>
      </c>
    </row>
    <row r="26" spans="1:9" x14ac:dyDescent="0.25">
      <c r="A26" s="32">
        <f>IF(AND($N$5=1,12&lt;=$N$6),"Escalón 12","")</f>
      </c>
      <c r="B26" s="30">
        <f>IF(AND($N$5=1,12&lt;=$N$6),$B$5/$N$6,"")</f>
      </c>
      <c r="C26" s="37">
        <f>IF(AND($N$5=1,12&lt;=$N$6),12*$B$7,"")</f>
      </c>
      <c r="D26" s="13"/>
      <c r="E26" s="43">
        <f>IF(AND($N$5=1,12&lt;=$N$6),IF(ISNUMBER(D26),D26,$B$9),"")</f>
      </c>
      <c r="F26" s="29">
        <f>IF(AND($N$5=1,12&lt;=$N$6),$B$8+C26,"")</f>
      </c>
      <c r="G26" s="30">
        <f>IF(AND($N$5=1,12&lt;=$N$6),B26*E26/100*C26/365,"")</f>
      </c>
      <c r="H26" s="30">
        <f>IF(AND($N$5=1,12&lt;=$N$6),B26+G26,"")</f>
      </c>
      <c r="I26" s="37">
        <f>IF(AND($N$5=1,12&lt;=$N$6),$N$6*$B$7,"")</f>
      </c>
    </row>
    <row r="28" spans="1:9" x14ac:dyDescent="0.25">
      <c r="A28" s="9" t="s">
        <v>121</v>
      </c>
      <c r="B28" s="9"/>
      <c r="C28" s="9"/>
      <c r="D28" s="9"/>
      <c r="E28" s="9"/>
      <c r="F28" s="9"/>
      <c r="G28" s="9"/>
      <c r="H28" s="9"/>
      <c r="I28" s="9"/>
    </row>
  </sheetData>
  <sheetProtection sheet="1" formatColumns="0" formatRows="0"/>
  <mergeCells count="6">
    <mergeCell ref="A1:I1"/>
    <mergeCell ref="A2:I2"/>
    <mergeCell ref="A4:B4"/>
    <mergeCell ref="C9:I9"/>
    <mergeCell ref="B13:I13"/>
    <mergeCell ref="A28:I28"/>
  </mergeCells>
  <dataValidations count="6">
    <dataValidation type="decimal" allowBlank="1" showErrorMessage="1" error="Escribí el capital sin puntos ni signo $. Por ejemplo: 1000000." sqref="B5">
      <formula1>0.01</formula1>
      <formula2>1000000000000</formula2>
    </dataValidation>
    <dataValidation type="whole" showErrorMessage="1" error="Entre 1 y 12 escalones." sqref="B6">
      <formula1>1</formula1>
      <formula2>12</formula2>
    </dataValidation>
    <dataValidation type="whole" showErrorMessage="1" error="Entre 30 y 365 días." sqref="B7">
      <formula1>30</formula1>
      <formula2>365</formula2>
    </dataValidation>
    <dataValidation type="decimal" allowBlank="1" showErrorMessage="1" error="Escribí la fecha como dd/mm/aaaa, por ejemplo 15/10/2026." sqref="B8">
      <formula1>42736</formula1>
      <formula2>51501</formula2>
    </dataValidation>
    <dataValidation type="decimal" allowBlank="1" showErrorMessage="1" error="Escribí la TNA como número: 22,5 para 22,5% anual." sqref="B9">
      <formula1>0</formula1>
      <formula2>1000</formula2>
    </dataValidation>
    <dataValidation type="decimal" allowBlank="1" showErrorMessage="1" error="Escribí la TNA como número: 22,5 para 22,5% anual." sqref="D15:D26">
      <formula1>0</formula1>
      <formula2>1000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60" customWidth="1"/>
  </cols>
  <sheetData>
    <row r="1" ht="28" customHeight="1" spans="1:3" x14ac:dyDescent="0.25">
      <c r="A1" s="44" t="s">
        <v>122</v>
      </c>
      <c r="B1" s="44"/>
      <c r="C1" s="44"/>
    </row>
    <row r="2" ht="30" customHeight="1" spans="1:3" x14ac:dyDescent="0.25">
      <c r="A2" s="11" t="s">
        <v>123</v>
      </c>
      <c r="B2" s="11"/>
      <c r="C2" s="11"/>
    </row>
    <row r="5" spans="1:2" x14ac:dyDescent="0.25">
      <c r="A5" s="12" t="s">
        <v>124</v>
      </c>
      <c r="B5" s="23">
        <v>2026</v>
      </c>
    </row>
    <row r="7" spans="1:2" x14ac:dyDescent="0.25">
      <c r="A7" s="4" t="s">
        <v>125</v>
      </c>
      <c r="B7" s="4"/>
    </row>
    <row r="8" spans="1:2" x14ac:dyDescent="0.25">
      <c r="A8" s="12" t="s">
        <v>126</v>
      </c>
      <c r="B8" s="39">
        <f>COUNTIFS('Mis plazos fijos'!$Y$15:$Y$38,$B$5)</f>
      </c>
    </row>
    <row r="9" spans="1:2" x14ac:dyDescent="0.25">
      <c r="A9" s="12" t="s">
        <v>127</v>
      </c>
      <c r="B9" s="17">
        <f>SUMIFS('Mis plazos fijos'!$C$15:$C$38,'Mis plazos fijos'!$Y$15:$Y$38,$B$5)</f>
      </c>
    </row>
    <row r="10" spans="1:2" x14ac:dyDescent="0.25">
      <c r="A10" s="12" t="s">
        <v>128</v>
      </c>
      <c r="B10" s="16">
        <f>SUMIFS('Mis plazos fijos'!$G$15:$G$38,'Mis plazos fijos'!$Y$15:$Y$38,$B$5)</f>
      </c>
    </row>
    <row r="11" spans="1:2" x14ac:dyDescent="0.25">
      <c r="A11" s="12" t="s">
        <v>129</v>
      </c>
      <c r="B11" s="17">
        <f>SUMIFS('Mis plazos fijos'!$Z$15:$Z$38,'Mis plazos fijos'!$Y$15:$Y$38,$B$5)</f>
      </c>
    </row>
    <row r="12" ht="30" customHeight="1" spans="1:3" x14ac:dyDescent="0.25">
      <c r="A12" s="12" t="s">
        <v>130</v>
      </c>
      <c r="B12" s="16">
        <f>SUMIFS('Mis plazos fijos'!$W$15:$W$38,'Mis plazos fijos'!$Y$15:$Y$38,$B$5)</f>
      </c>
      <c r="C12" s="14" t="s">
        <v>131</v>
      </c>
    </row>
    <row r="14" spans="1:2" x14ac:dyDescent="0.25">
      <c r="A14" s="4" t="s">
        <v>132</v>
      </c>
      <c r="B14" s="4"/>
    </row>
    <row r="15" spans="1:2" x14ac:dyDescent="0.25">
      <c r="A15" s="12" t="s">
        <v>133</v>
      </c>
      <c r="B15" s="38">
        <f>IF(AND($B$5*12-1&gt;=IPC!$J$2,MIN($B$5*12+11,IPC!$J$3)&gt;=$B$5*12),INDEX(IPC!$D$5:$D$173,(MIN($B$5*12+11,IPC!$J$3))-IPC!$J$2+1)/INDEX(IPC!$D$5:$D$173,($B$5*12-1)-IPC!$J$2+1)-1,"")</f>
      </c>
    </row>
    <row r="16" ht="30" customHeight="1" spans="1:2" x14ac:dyDescent="0.25">
      <c r="A16" s="12" t="s">
        <v>134</v>
      </c>
      <c r="B16" s="45">
        <f>IF(AND($B$5*12-1&gt;=IPC!$J$2,MIN($B$5*12+11,IPC!$J$3)&gt;=$B$5*12),INDEX(IPC!$J$5:$J$16,MOD(MIN($B$5*12+11,IPC!$J$3),12)+1)&amp;" de "&amp;INT((MIN($B$5*12+11,IPC!$J$3))/12),"Todavía no hay IPC publicado de ese año")</f>
      </c>
    </row>
    <row r="18" spans="1:3" x14ac:dyDescent="0.25">
      <c r="A18" s="4" t="s">
        <v>135</v>
      </c>
      <c r="B18" s="4"/>
      <c r="C18" s="4"/>
    </row>
    <row r="19" ht="30" customHeight="1" spans="1:3" x14ac:dyDescent="0.25">
      <c r="A19" s="9" t="s">
        <v>136</v>
      </c>
      <c r="B19" s="9"/>
      <c r="C19" s="9"/>
    </row>
    <row r="20" ht="30" customHeight="1" spans="1:3" x14ac:dyDescent="0.25">
      <c r="A20" s="9" t="s">
        <v>137</v>
      </c>
      <c r="B20" s="9"/>
      <c r="C20" s="9"/>
    </row>
  </sheetData>
  <sheetProtection sheet="1" formatColumns="0" formatRows="0"/>
  <mergeCells count="7">
    <mergeCell ref="A1:C1"/>
    <mergeCell ref="A2:C2"/>
    <mergeCell ref="A7:B7"/>
    <mergeCell ref="A14:B14"/>
    <mergeCell ref="A18:C18"/>
    <mergeCell ref="A19:C19"/>
    <mergeCell ref="A20:C20"/>
  </mergeCells>
  <dataValidations count="1">
    <dataValidation type="whole" showErrorMessage="1" error="Escribí el año con cuatro cifras." sqref="B5">
      <formula1>2017</formula1>
      <formula2>2040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J17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6" customWidth="1"/>
    <col min="4" max="4" width="18" customWidth="1"/>
    <col min="5" max="5" width="16" customWidth="1"/>
    <col min="6" max="6" width="22" customWidth="1"/>
    <col min="7" max="7" width="18" customWidth="1"/>
    <col min="8" max="9" width="2" customWidth="1"/>
    <col min="10" max="10" width="14" hidden="1" customWidth="1"/>
  </cols>
  <sheetData>
    <row r="1" ht="28" customHeight="1" spans="1:7" x14ac:dyDescent="0.25">
      <c r="A1" s="46" t="s">
        <v>138</v>
      </c>
      <c r="B1" s="46"/>
      <c r="C1" s="46"/>
      <c r="D1" s="46"/>
      <c r="E1" s="46"/>
      <c r="F1" s="46"/>
      <c r="G1" s="46"/>
    </row>
    <row r="2" ht="30" customHeight="1" spans="1:10" x14ac:dyDescent="0.25">
      <c r="A2" s="47" t="s">
        <v>139</v>
      </c>
      <c r="B2" s="47"/>
      <c r="C2" s="47"/>
      <c r="D2" s="47"/>
      <c r="E2" s="47"/>
      <c r="F2" s="47"/>
      <c r="G2" s="47"/>
      <c r="J2">
        <v>24203</v>
      </c>
    </row>
    <row r="3" spans="10:10" x14ac:dyDescent="0.25">
      <c r="J3">
        <f>J2+COUNT(D5:D173)-1</f>
      </c>
    </row>
    <row r="4" ht="32" customHeight="1" spans="1:10" x14ac:dyDescent="0.25">
      <c r="A4" s="48" t="s">
        <v>140</v>
      </c>
      <c r="B4" s="48"/>
      <c r="C4" s="48"/>
      <c r="D4" s="48" t="s">
        <v>141</v>
      </c>
      <c r="E4" s="48" t="s">
        <v>142</v>
      </c>
      <c r="F4" s="48" t="s">
        <v>143</v>
      </c>
      <c r="G4" s="48" t="s">
        <v>144</v>
      </c>
      <c r="J4">
        <f>INDEX(IPC!$J$5:$J$16,MOD(J3,12)+1)&amp;" de "&amp;INT((J3)/12)</f>
      </c>
    </row>
    <row r="5" spans="1:10" x14ac:dyDescent="0.25">
      <c r="A5" s="49" t="s">
        <v>145</v>
      </c>
      <c r="B5" s="49"/>
      <c r="C5" s="49"/>
      <c r="D5" s="50">
        <v>100</v>
      </c>
      <c r="E5" s="51"/>
      <c r="F5" s="52"/>
      <c r="G5" s="49" t="s">
        <v>146</v>
      </c>
      <c r="J5" t="s">
        <v>147</v>
      </c>
    </row>
    <row r="6" spans="1:10" x14ac:dyDescent="0.25">
      <c r="A6" s="53" t="s">
        <v>148</v>
      </c>
      <c r="B6" s="53"/>
      <c r="C6" s="53"/>
      <c r="D6" s="54">
        <v>101.5859</v>
      </c>
      <c r="E6" s="55">
        <f>D6/D5-1</f>
      </c>
      <c r="F6" s="52"/>
      <c r="G6" s="53" t="s">
        <v>146</v>
      </c>
      <c r="J6" t="s">
        <v>149</v>
      </c>
    </row>
    <row r="7" spans="1:10" x14ac:dyDescent="0.25">
      <c r="A7" s="49" t="s">
        <v>150</v>
      </c>
      <c r="B7" s="49"/>
      <c r="C7" s="49"/>
      <c r="D7" s="50">
        <v>103.6859</v>
      </c>
      <c r="E7" s="51">
        <f>D7/D6-1</f>
      </c>
      <c r="F7" s="52"/>
      <c r="G7" s="49" t="s">
        <v>146</v>
      </c>
      <c r="J7" t="s">
        <v>151</v>
      </c>
    </row>
    <row r="8" spans="1:10" x14ac:dyDescent="0.25">
      <c r="A8" s="53" t="s">
        <v>152</v>
      </c>
      <c r="B8" s="53"/>
      <c r="C8" s="53"/>
      <c r="D8" s="54">
        <v>106.1476</v>
      </c>
      <c r="E8" s="55">
        <f>D8/D7-1</f>
      </c>
      <c r="F8" s="52"/>
      <c r="G8" s="53" t="s">
        <v>146</v>
      </c>
      <c r="J8" t="s">
        <v>153</v>
      </c>
    </row>
    <row r="9" spans="1:10" x14ac:dyDescent="0.25">
      <c r="A9" s="49" t="s">
        <v>154</v>
      </c>
      <c r="B9" s="49"/>
      <c r="C9" s="49"/>
      <c r="D9" s="50">
        <v>108.9667</v>
      </c>
      <c r="E9" s="51">
        <f>D9/D8-1</f>
      </c>
      <c r="F9" s="52"/>
      <c r="G9" s="49" t="s">
        <v>146</v>
      </c>
      <c r="J9" t="s">
        <v>155</v>
      </c>
    </row>
    <row r="10" spans="1:10" x14ac:dyDescent="0.25">
      <c r="A10" s="53" t="s">
        <v>156</v>
      </c>
      <c r="B10" s="53"/>
      <c r="C10" s="53"/>
      <c r="D10" s="54">
        <v>110.5301</v>
      </c>
      <c r="E10" s="55">
        <f>D10/D9-1</f>
      </c>
      <c r="F10" s="52"/>
      <c r="G10" s="53" t="s">
        <v>146</v>
      </c>
      <c r="J10" t="s">
        <v>157</v>
      </c>
    </row>
    <row r="11" spans="1:10" x14ac:dyDescent="0.25">
      <c r="A11" s="49" t="s">
        <v>158</v>
      </c>
      <c r="B11" s="49"/>
      <c r="C11" s="49"/>
      <c r="D11" s="50">
        <v>111.8477</v>
      </c>
      <c r="E11" s="51">
        <f>D11/D10-1</f>
      </c>
      <c r="F11" s="52"/>
      <c r="G11" s="49" t="s">
        <v>146</v>
      </c>
      <c r="J11" t="s">
        <v>159</v>
      </c>
    </row>
    <row r="12" spans="1:10" x14ac:dyDescent="0.25">
      <c r="A12" s="53" t="s">
        <v>160</v>
      </c>
      <c r="B12" s="53"/>
      <c r="C12" s="53"/>
      <c r="D12" s="54">
        <v>113.7852</v>
      </c>
      <c r="E12" s="55">
        <f>D12/D11-1</f>
      </c>
      <c r="F12" s="52"/>
      <c r="G12" s="53" t="s">
        <v>146</v>
      </c>
      <c r="J12" t="s">
        <v>161</v>
      </c>
    </row>
    <row r="13" spans="1:10" x14ac:dyDescent="0.25">
      <c r="A13" s="49" t="s">
        <v>162</v>
      </c>
      <c r="B13" s="49"/>
      <c r="C13" s="49"/>
      <c r="D13" s="50">
        <v>115.3819</v>
      </c>
      <c r="E13" s="51">
        <f>D13/D12-1</f>
      </c>
      <c r="F13" s="52"/>
      <c r="G13" s="49" t="s">
        <v>146</v>
      </c>
      <c r="J13" t="s">
        <v>163</v>
      </c>
    </row>
    <row r="14" spans="1:10" x14ac:dyDescent="0.25">
      <c r="A14" s="53" t="s">
        <v>164</v>
      </c>
      <c r="B14" s="53"/>
      <c r="C14" s="53"/>
      <c r="D14" s="54">
        <v>117.5719</v>
      </c>
      <c r="E14" s="55">
        <f>D14/D13-1</f>
      </c>
      <c r="F14" s="52"/>
      <c r="G14" s="53" t="s">
        <v>146</v>
      </c>
      <c r="J14" t="s">
        <v>165</v>
      </c>
    </row>
    <row r="15" spans="1:10" x14ac:dyDescent="0.25">
      <c r="A15" s="49" t="s">
        <v>166</v>
      </c>
      <c r="B15" s="49"/>
      <c r="C15" s="49"/>
      <c r="D15" s="50">
        <v>119.3528</v>
      </c>
      <c r="E15" s="51">
        <f>D15/D14-1</f>
      </c>
      <c r="F15" s="52"/>
      <c r="G15" s="49" t="s">
        <v>146</v>
      </c>
      <c r="J15" t="s">
        <v>167</v>
      </c>
    </row>
    <row r="16" spans="1:10" x14ac:dyDescent="0.25">
      <c r="A16" s="53" t="s">
        <v>168</v>
      </c>
      <c r="B16" s="53"/>
      <c r="C16" s="53"/>
      <c r="D16" s="54">
        <v>120.994</v>
      </c>
      <c r="E16" s="55">
        <f>D16/D15-1</f>
      </c>
      <c r="F16" s="52"/>
      <c r="G16" s="53" t="s">
        <v>146</v>
      </c>
      <c r="J16" t="s">
        <v>169</v>
      </c>
    </row>
    <row r="17" spans="1:7" x14ac:dyDescent="0.25">
      <c r="A17" s="49" t="s">
        <v>170</v>
      </c>
      <c r="B17" s="49"/>
      <c r="C17" s="49"/>
      <c r="D17" s="50">
        <v>124.7956</v>
      </c>
      <c r="E17" s="51">
        <f>D17/D16-1</f>
      </c>
      <c r="F17" s="52"/>
      <c r="G17" s="49" t="s">
        <v>146</v>
      </c>
    </row>
    <row r="18" spans="1:7" x14ac:dyDescent="0.25">
      <c r="A18" s="53" t="s">
        <v>171</v>
      </c>
      <c r="B18" s="53"/>
      <c r="C18" s="53"/>
      <c r="D18" s="54">
        <v>126.9887</v>
      </c>
      <c r="E18" s="55">
        <f>D18/D17-1</f>
      </c>
      <c r="F18" s="52"/>
      <c r="G18" s="53" t="s">
        <v>146</v>
      </c>
    </row>
    <row r="19" spans="1:7" x14ac:dyDescent="0.25">
      <c r="A19" s="49" t="s">
        <v>172</v>
      </c>
      <c r="B19" s="49"/>
      <c r="C19" s="49"/>
      <c r="D19" s="50">
        <v>130.0606</v>
      </c>
      <c r="E19" s="51">
        <f>D19/D18-1</f>
      </c>
      <c r="F19" s="52"/>
      <c r="G19" s="49" t="s">
        <v>146</v>
      </c>
    </row>
    <row r="20" spans="1:7" x14ac:dyDescent="0.25">
      <c r="A20" s="53" t="s">
        <v>173</v>
      </c>
      <c r="B20" s="53"/>
      <c r="C20" s="53"/>
      <c r="D20" s="54">
        <v>133.1054</v>
      </c>
      <c r="E20" s="55">
        <f>D20/D19-1</f>
      </c>
      <c r="F20" s="52"/>
      <c r="G20" s="53" t="s">
        <v>146</v>
      </c>
    </row>
    <row r="21" spans="1:7" x14ac:dyDescent="0.25">
      <c r="A21" s="49" t="s">
        <v>174</v>
      </c>
      <c r="B21" s="49"/>
      <c r="C21" s="49"/>
      <c r="D21" s="50">
        <v>136.7512</v>
      </c>
      <c r="E21" s="51">
        <f>D21/D20-1</f>
      </c>
      <c r="F21" s="52"/>
      <c r="G21" s="49" t="s">
        <v>146</v>
      </c>
    </row>
    <row r="22" spans="1:7" x14ac:dyDescent="0.25">
      <c r="A22" s="53" t="s">
        <v>175</v>
      </c>
      <c r="B22" s="53"/>
      <c r="C22" s="53"/>
      <c r="D22" s="54">
        <v>139.5893</v>
      </c>
      <c r="E22" s="55">
        <f>D22/D21-1</f>
      </c>
      <c r="F22" s="52"/>
      <c r="G22" s="53" t="s">
        <v>146</v>
      </c>
    </row>
    <row r="23" spans="1:7" x14ac:dyDescent="0.25">
      <c r="A23" s="49" t="s">
        <v>176</v>
      </c>
      <c r="B23" s="49"/>
      <c r="C23" s="49"/>
      <c r="D23" s="50">
        <v>144.8053</v>
      </c>
      <c r="E23" s="51">
        <f>D23/D22-1</f>
      </c>
      <c r="F23" s="52"/>
      <c r="G23" s="49" t="s">
        <v>146</v>
      </c>
    </row>
    <row r="24" spans="1:7" x14ac:dyDescent="0.25">
      <c r="A24" s="53" t="s">
        <v>177</v>
      </c>
      <c r="B24" s="53"/>
      <c r="C24" s="53"/>
      <c r="D24" s="54">
        <v>149.2966</v>
      </c>
      <c r="E24" s="55">
        <f>D24/D23-1</f>
      </c>
      <c r="F24" s="52"/>
      <c r="G24" s="53" t="s">
        <v>146</v>
      </c>
    </row>
    <row r="25" spans="1:7" x14ac:dyDescent="0.25">
      <c r="A25" s="49" t="s">
        <v>178</v>
      </c>
      <c r="B25" s="49"/>
      <c r="C25" s="49"/>
      <c r="D25" s="50">
        <v>155.1034</v>
      </c>
      <c r="E25" s="51">
        <f>D25/D24-1</f>
      </c>
      <c r="F25" s="52"/>
      <c r="G25" s="49" t="s">
        <v>146</v>
      </c>
    </row>
    <row r="26" spans="1:7" x14ac:dyDescent="0.25">
      <c r="A26" s="53" t="s">
        <v>179</v>
      </c>
      <c r="B26" s="53"/>
      <c r="C26" s="53"/>
      <c r="D26" s="54">
        <v>165.2383</v>
      </c>
      <c r="E26" s="55">
        <f>D26/D25-1</f>
      </c>
      <c r="F26" s="52"/>
      <c r="G26" s="53" t="s">
        <v>146</v>
      </c>
    </row>
    <row r="27" spans="1:7" x14ac:dyDescent="0.25">
      <c r="A27" s="49" t="s">
        <v>180</v>
      </c>
      <c r="B27" s="49"/>
      <c r="C27" s="49"/>
      <c r="D27" s="50">
        <v>174.1473</v>
      </c>
      <c r="E27" s="51">
        <f>D27/D26-1</f>
      </c>
      <c r="F27" s="52"/>
      <c r="G27" s="49" t="s">
        <v>146</v>
      </c>
    </row>
    <row r="28" spans="1:7" x14ac:dyDescent="0.25">
      <c r="A28" s="53" t="s">
        <v>181</v>
      </c>
      <c r="B28" s="53"/>
      <c r="C28" s="53"/>
      <c r="D28" s="54">
        <v>179.6388</v>
      </c>
      <c r="E28" s="55">
        <f>D28/D27-1</f>
      </c>
      <c r="F28" s="52"/>
      <c r="G28" s="53" t="s">
        <v>146</v>
      </c>
    </row>
    <row r="29" spans="1:7" x14ac:dyDescent="0.25">
      <c r="A29" s="49" t="s">
        <v>182</v>
      </c>
      <c r="B29" s="49"/>
      <c r="C29" s="49"/>
      <c r="D29" s="50">
        <v>184.2552</v>
      </c>
      <c r="E29" s="51">
        <f>D29/D28-1</f>
      </c>
      <c r="F29" s="52"/>
      <c r="G29" s="49" t="s">
        <v>146</v>
      </c>
    </row>
    <row r="30" spans="1:7" x14ac:dyDescent="0.25">
      <c r="A30" s="53" t="s">
        <v>183</v>
      </c>
      <c r="B30" s="53"/>
      <c r="C30" s="53"/>
      <c r="D30" s="54">
        <v>189.6101</v>
      </c>
      <c r="E30" s="55">
        <f>D30/D29-1</f>
      </c>
      <c r="F30" s="52"/>
      <c r="G30" s="53" t="s">
        <v>146</v>
      </c>
    </row>
    <row r="31" spans="1:7" x14ac:dyDescent="0.25">
      <c r="A31" s="49" t="s">
        <v>184</v>
      </c>
      <c r="B31" s="49"/>
      <c r="C31" s="49"/>
      <c r="D31" s="50">
        <v>196.7501</v>
      </c>
      <c r="E31" s="51">
        <f>D31/D30-1</f>
      </c>
      <c r="F31" s="52"/>
      <c r="G31" s="49" t="s">
        <v>146</v>
      </c>
    </row>
    <row r="32" spans="1:7" x14ac:dyDescent="0.25">
      <c r="A32" s="53" t="s">
        <v>185</v>
      </c>
      <c r="B32" s="53"/>
      <c r="C32" s="53"/>
      <c r="D32" s="54">
        <v>205.9571</v>
      </c>
      <c r="E32" s="55">
        <f>D32/D31-1</f>
      </c>
      <c r="F32" s="52"/>
      <c r="G32" s="53" t="s">
        <v>146</v>
      </c>
    </row>
    <row r="33" spans="1:7" x14ac:dyDescent="0.25">
      <c r="A33" s="49" t="s">
        <v>186</v>
      </c>
      <c r="B33" s="49"/>
      <c r="C33" s="49"/>
      <c r="D33" s="50">
        <v>212.9596414</v>
      </c>
      <c r="E33" s="51">
        <f>D33/D32-1</f>
      </c>
      <c r="F33" s="52"/>
      <c r="G33" s="49" t="s">
        <v>146</v>
      </c>
    </row>
    <row r="34" spans="1:7" x14ac:dyDescent="0.25">
      <c r="A34" s="53" t="s">
        <v>187</v>
      </c>
      <c r="B34" s="53"/>
      <c r="C34" s="53"/>
      <c r="D34" s="54">
        <v>219.5691</v>
      </c>
      <c r="E34" s="55">
        <f>D34/D33-1</f>
      </c>
      <c r="F34" s="52"/>
      <c r="G34" s="53" t="s">
        <v>146</v>
      </c>
    </row>
    <row r="35" spans="1:7" x14ac:dyDescent="0.25">
      <c r="A35" s="49" t="s">
        <v>188</v>
      </c>
      <c r="B35" s="49"/>
      <c r="C35" s="49"/>
      <c r="D35" s="50">
        <v>225.537</v>
      </c>
      <c r="E35" s="51">
        <f>D35/D34-1</f>
      </c>
      <c r="F35" s="52"/>
      <c r="G35" s="49" t="s">
        <v>146</v>
      </c>
    </row>
    <row r="36" spans="1:7" x14ac:dyDescent="0.25">
      <c r="A36" s="53" t="s">
        <v>189</v>
      </c>
      <c r="B36" s="53"/>
      <c r="C36" s="53"/>
      <c r="D36" s="54">
        <v>230.494</v>
      </c>
      <c r="E36" s="55">
        <f>D36/D35-1</f>
      </c>
      <c r="F36" s="52"/>
      <c r="G36" s="53" t="s">
        <v>146</v>
      </c>
    </row>
    <row r="37" spans="1:7" x14ac:dyDescent="0.25">
      <c r="A37" s="49" t="s">
        <v>190</v>
      </c>
      <c r="B37" s="49"/>
      <c r="C37" s="49"/>
      <c r="D37" s="50">
        <v>239.6077</v>
      </c>
      <c r="E37" s="51">
        <f>D37/D36-1</f>
      </c>
      <c r="F37" s="52"/>
      <c r="G37" s="49" t="s">
        <v>146</v>
      </c>
    </row>
    <row r="38" spans="1:7" x14ac:dyDescent="0.25">
      <c r="A38" s="53" t="s">
        <v>191</v>
      </c>
      <c r="B38" s="53"/>
      <c r="C38" s="53"/>
      <c r="D38" s="54">
        <v>253.7102</v>
      </c>
      <c r="E38" s="55">
        <f>D38/D37-1</f>
      </c>
      <c r="F38" s="52"/>
      <c r="G38" s="53" t="s">
        <v>146</v>
      </c>
    </row>
    <row r="39" spans="1:7" x14ac:dyDescent="0.25">
      <c r="A39" s="49" t="s">
        <v>192</v>
      </c>
      <c r="B39" s="49"/>
      <c r="C39" s="49"/>
      <c r="D39" s="50">
        <v>262.0661</v>
      </c>
      <c r="E39" s="51">
        <f>D39/D38-1</f>
      </c>
      <c r="F39" s="52"/>
      <c r="G39" s="49" t="s">
        <v>146</v>
      </c>
    </row>
    <row r="40" spans="1:7" x14ac:dyDescent="0.25">
      <c r="A40" s="53" t="s">
        <v>193</v>
      </c>
      <c r="B40" s="53"/>
      <c r="C40" s="53"/>
      <c r="D40" s="54">
        <v>273.2158</v>
      </c>
      <c r="E40" s="55">
        <f>D40/D39-1</f>
      </c>
      <c r="F40" s="52"/>
      <c r="G40" s="53" t="s">
        <v>146</v>
      </c>
    </row>
    <row r="41" spans="1:7" x14ac:dyDescent="0.25">
      <c r="A41" s="49" t="s">
        <v>194</v>
      </c>
      <c r="B41" s="49"/>
      <c r="C41" s="49"/>
      <c r="D41" s="50">
        <v>283.4442</v>
      </c>
      <c r="E41" s="51">
        <f>D41/D40-1</f>
      </c>
      <c r="F41" s="52"/>
      <c r="G41" s="49" t="s">
        <v>146</v>
      </c>
    </row>
    <row r="42" spans="1:7" x14ac:dyDescent="0.25">
      <c r="A42" s="53" t="s">
        <v>195</v>
      </c>
      <c r="B42" s="53"/>
      <c r="C42" s="53"/>
      <c r="D42" s="54">
        <v>289.8299</v>
      </c>
      <c r="E42" s="55">
        <f>D42/D41-1</f>
      </c>
      <c r="F42" s="52"/>
      <c r="G42" s="53" t="s">
        <v>146</v>
      </c>
    </row>
    <row r="43" spans="1:7" x14ac:dyDescent="0.25">
      <c r="A43" s="49" t="s">
        <v>196</v>
      </c>
      <c r="B43" s="49"/>
      <c r="C43" s="49"/>
      <c r="D43" s="50">
        <v>295.666</v>
      </c>
      <c r="E43" s="51">
        <f>D43/D42-1</f>
      </c>
      <c r="F43" s="52"/>
      <c r="G43" s="49" t="s">
        <v>146</v>
      </c>
    </row>
    <row r="44" spans="1:7" x14ac:dyDescent="0.25">
      <c r="A44" s="53" t="s">
        <v>197</v>
      </c>
      <c r="B44" s="53"/>
      <c r="C44" s="53"/>
      <c r="D44" s="54">
        <v>305.5515</v>
      </c>
      <c r="E44" s="55">
        <f>D44/D43-1</f>
      </c>
      <c r="F44" s="52"/>
      <c r="G44" s="53" t="s">
        <v>146</v>
      </c>
    </row>
    <row r="45" spans="1:7" x14ac:dyDescent="0.25">
      <c r="A45" s="49" t="s">
        <v>198</v>
      </c>
      <c r="B45" s="49"/>
      <c r="C45" s="49"/>
      <c r="D45" s="50">
        <v>310.1243</v>
      </c>
      <c r="E45" s="51">
        <f>D45/D44-1</f>
      </c>
      <c r="F45" s="52"/>
      <c r="G45" s="49" t="s">
        <v>146</v>
      </c>
    </row>
    <row r="46" spans="1:7" x14ac:dyDescent="0.25">
      <c r="A46" s="53" t="s">
        <v>199</v>
      </c>
      <c r="B46" s="53"/>
      <c r="C46" s="53"/>
      <c r="D46" s="54">
        <v>314.9087</v>
      </c>
      <c r="E46" s="55">
        <f>D46/D45-1</f>
      </c>
      <c r="F46" s="52"/>
      <c r="G46" s="53" t="s">
        <v>146</v>
      </c>
    </row>
    <row r="47" spans="1:7" x14ac:dyDescent="0.25">
      <c r="A47" s="49" t="s">
        <v>200</v>
      </c>
      <c r="B47" s="49"/>
      <c r="C47" s="49"/>
      <c r="D47" s="50">
        <v>321.9738</v>
      </c>
      <c r="E47" s="51">
        <f>D47/D46-1</f>
      </c>
      <c r="F47" s="52"/>
      <c r="G47" s="49" t="s">
        <v>146</v>
      </c>
    </row>
    <row r="48" spans="1:7" x14ac:dyDescent="0.25">
      <c r="A48" s="53" t="s">
        <v>201</v>
      </c>
      <c r="B48" s="53"/>
      <c r="C48" s="53"/>
      <c r="D48" s="54">
        <v>328.2014</v>
      </c>
      <c r="E48" s="55">
        <f>D48/D47-1</f>
      </c>
      <c r="F48" s="52"/>
      <c r="G48" s="53" t="s">
        <v>146</v>
      </c>
    </row>
    <row r="49" spans="1:7" x14ac:dyDescent="0.25">
      <c r="A49" s="49" t="s">
        <v>202</v>
      </c>
      <c r="B49" s="49"/>
      <c r="C49" s="49"/>
      <c r="D49" s="50">
        <v>337.0632</v>
      </c>
      <c r="E49" s="51">
        <f>D49/D48-1</f>
      </c>
      <c r="F49" s="52"/>
      <c r="G49" s="49" t="s">
        <v>146</v>
      </c>
    </row>
    <row r="50" spans="1:7" x14ac:dyDescent="0.25">
      <c r="A50" s="53" t="s">
        <v>203</v>
      </c>
      <c r="B50" s="53"/>
      <c r="C50" s="53"/>
      <c r="D50" s="54">
        <v>346.6207</v>
      </c>
      <c r="E50" s="55">
        <f>D50/D49-1</f>
      </c>
      <c r="F50" s="52"/>
      <c r="G50" s="53" t="s">
        <v>146</v>
      </c>
    </row>
    <row r="51" spans="1:7" x14ac:dyDescent="0.25">
      <c r="A51" s="49" t="s">
        <v>204</v>
      </c>
      <c r="B51" s="49"/>
      <c r="C51" s="49"/>
      <c r="D51" s="50">
        <v>359.657</v>
      </c>
      <c r="E51" s="51">
        <f>D51/D50-1</f>
      </c>
      <c r="F51" s="52"/>
      <c r="G51" s="49" t="s">
        <v>146</v>
      </c>
    </row>
    <row r="52" spans="1:7" x14ac:dyDescent="0.25">
      <c r="A52" s="53" t="s">
        <v>205</v>
      </c>
      <c r="B52" s="53"/>
      <c r="C52" s="53"/>
      <c r="D52" s="54">
        <v>371.0211</v>
      </c>
      <c r="E52" s="55">
        <f>D52/D51-1</f>
      </c>
      <c r="F52" s="52"/>
      <c r="G52" s="53" t="s">
        <v>146</v>
      </c>
    </row>
    <row r="53" spans="1:7" x14ac:dyDescent="0.25">
      <c r="A53" s="49" t="s">
        <v>206</v>
      </c>
      <c r="B53" s="49"/>
      <c r="C53" s="49"/>
      <c r="D53" s="50">
        <v>385.8826</v>
      </c>
      <c r="E53" s="51">
        <f>D53/D52-1</f>
      </c>
      <c r="F53" s="52"/>
      <c r="G53" s="49" t="s">
        <v>146</v>
      </c>
    </row>
    <row r="54" spans="1:7" x14ac:dyDescent="0.25">
      <c r="A54" s="53" t="s">
        <v>207</v>
      </c>
      <c r="B54" s="53"/>
      <c r="C54" s="53"/>
      <c r="D54" s="54">
        <v>401.5071</v>
      </c>
      <c r="E54" s="55">
        <f>D54/D53-1</f>
      </c>
      <c r="F54" s="52"/>
      <c r="G54" s="53" t="s">
        <v>146</v>
      </c>
    </row>
    <row r="55" spans="1:7" x14ac:dyDescent="0.25">
      <c r="A55" s="49" t="s">
        <v>208</v>
      </c>
      <c r="B55" s="49"/>
      <c r="C55" s="49"/>
      <c r="D55" s="50">
        <v>415.8595</v>
      </c>
      <c r="E55" s="51">
        <f>D55/D54-1</f>
      </c>
      <c r="F55" s="52"/>
      <c r="G55" s="49" t="s">
        <v>146</v>
      </c>
    </row>
    <row r="56" spans="1:7" x14ac:dyDescent="0.25">
      <c r="A56" s="53" t="s">
        <v>209</v>
      </c>
      <c r="B56" s="53"/>
      <c r="C56" s="53"/>
      <c r="D56" s="54">
        <v>435.8657</v>
      </c>
      <c r="E56" s="55">
        <f>D56/D55-1</f>
      </c>
      <c r="F56" s="52"/>
      <c r="G56" s="53" t="s">
        <v>146</v>
      </c>
    </row>
    <row r="57" spans="1:7" x14ac:dyDescent="0.25">
      <c r="A57" s="49" t="s">
        <v>210</v>
      </c>
      <c r="B57" s="49"/>
      <c r="C57" s="49"/>
      <c r="D57" s="50">
        <v>453.6503</v>
      </c>
      <c r="E57" s="51">
        <f>D57/D56-1</f>
      </c>
      <c r="F57" s="52"/>
      <c r="G57" s="49" t="s">
        <v>146</v>
      </c>
    </row>
    <row r="58" spans="1:7" x14ac:dyDescent="0.25">
      <c r="A58" s="53" t="s">
        <v>211</v>
      </c>
      <c r="B58" s="53"/>
      <c r="C58" s="53"/>
      <c r="D58" s="54">
        <v>468.725</v>
      </c>
      <c r="E58" s="55">
        <f>D58/D57-1</f>
      </c>
      <c r="F58" s="52"/>
      <c r="G58" s="53" t="s">
        <v>146</v>
      </c>
    </row>
    <row r="59" spans="1:7" x14ac:dyDescent="0.25">
      <c r="A59" s="49" t="s">
        <v>212</v>
      </c>
      <c r="B59" s="49"/>
      <c r="C59" s="49"/>
      <c r="D59" s="50">
        <v>483.6049</v>
      </c>
      <c r="E59" s="51">
        <f>D59/D58-1</f>
      </c>
      <c r="F59" s="52"/>
      <c r="G59" s="49" t="s">
        <v>146</v>
      </c>
    </row>
    <row r="60" spans="1:7" x14ac:dyDescent="0.25">
      <c r="A60" s="53" t="s">
        <v>213</v>
      </c>
      <c r="B60" s="53"/>
      <c r="C60" s="53"/>
      <c r="D60" s="54">
        <v>498.0987</v>
      </c>
      <c r="E60" s="55">
        <f>D60/D59-1</f>
      </c>
      <c r="F60" s="52"/>
      <c r="G60" s="53" t="s">
        <v>146</v>
      </c>
    </row>
    <row r="61" spans="1:7" x14ac:dyDescent="0.25">
      <c r="A61" s="49" t="s">
        <v>214</v>
      </c>
      <c r="B61" s="49"/>
      <c r="C61" s="49"/>
      <c r="D61" s="50">
        <v>510.3942</v>
      </c>
      <c r="E61" s="51">
        <f>D61/D60-1</f>
      </c>
      <c r="F61" s="52"/>
      <c r="G61" s="49" t="s">
        <v>146</v>
      </c>
    </row>
    <row r="62" spans="1:7" x14ac:dyDescent="0.25">
      <c r="A62" s="53" t="s">
        <v>215</v>
      </c>
      <c r="B62" s="53"/>
      <c r="C62" s="53"/>
      <c r="D62" s="54">
        <v>528.4968</v>
      </c>
      <c r="E62" s="55">
        <f>D62/D61-1</f>
      </c>
      <c r="F62" s="52"/>
      <c r="G62" s="53" t="s">
        <v>146</v>
      </c>
    </row>
    <row r="63" spans="1:7" x14ac:dyDescent="0.25">
      <c r="A63" s="49" t="s">
        <v>216</v>
      </c>
      <c r="B63" s="49"/>
      <c r="C63" s="49"/>
      <c r="D63" s="50">
        <v>547.0802</v>
      </c>
      <c r="E63" s="51">
        <f>D63/D62-1</f>
      </c>
      <c r="F63" s="52"/>
      <c r="G63" s="49" t="s">
        <v>146</v>
      </c>
    </row>
    <row r="64" spans="1:7" x14ac:dyDescent="0.25">
      <c r="A64" s="53" t="s">
        <v>217</v>
      </c>
      <c r="B64" s="53"/>
      <c r="C64" s="53"/>
      <c r="D64" s="54">
        <v>560.9184</v>
      </c>
      <c r="E64" s="55">
        <f>D64/D63-1</f>
      </c>
      <c r="F64" s="52"/>
      <c r="G64" s="53" t="s">
        <v>146</v>
      </c>
    </row>
    <row r="65" spans="1:7" x14ac:dyDescent="0.25">
      <c r="A65" s="49" t="s">
        <v>218</v>
      </c>
      <c r="B65" s="49"/>
      <c r="C65" s="49"/>
      <c r="D65" s="50">
        <v>582.4575</v>
      </c>
      <c r="E65" s="51">
        <f>D65/D64-1</f>
      </c>
      <c r="F65" s="52"/>
      <c r="G65" s="49" t="s">
        <v>146</v>
      </c>
    </row>
    <row r="66" spans="1:7" x14ac:dyDescent="0.25">
      <c r="A66" s="53" t="s">
        <v>219</v>
      </c>
      <c r="B66" s="53"/>
      <c r="C66" s="53"/>
      <c r="D66" s="54">
        <v>605.0317</v>
      </c>
      <c r="E66" s="55">
        <f>D66/D65-1</f>
      </c>
      <c r="F66" s="52"/>
      <c r="G66" s="53" t="s">
        <v>146</v>
      </c>
    </row>
    <row r="67" spans="1:7" x14ac:dyDescent="0.25">
      <c r="A67" s="49" t="s">
        <v>220</v>
      </c>
      <c r="B67" s="49"/>
      <c r="C67" s="49"/>
      <c r="D67" s="50">
        <v>633.4341</v>
      </c>
      <c r="E67" s="51">
        <f>D67/D66-1</f>
      </c>
      <c r="F67" s="52"/>
      <c r="G67" s="49" t="s">
        <v>146</v>
      </c>
    </row>
    <row r="68" spans="1:7" x14ac:dyDescent="0.25">
      <c r="A68" s="53" t="s">
        <v>221</v>
      </c>
      <c r="B68" s="53"/>
      <c r="C68" s="53"/>
      <c r="D68" s="54">
        <v>676.0566</v>
      </c>
      <c r="E68" s="55">
        <f>D68/D67-1</f>
      </c>
      <c r="F68" s="52"/>
      <c r="G68" s="53" t="s">
        <v>146</v>
      </c>
    </row>
    <row r="69" spans="1:7" x14ac:dyDescent="0.25">
      <c r="A69" s="49" t="s">
        <v>222</v>
      </c>
      <c r="B69" s="49"/>
      <c r="C69" s="49"/>
      <c r="D69" s="50">
        <v>716.9399</v>
      </c>
      <c r="E69" s="51">
        <f>D69/D68-1</f>
      </c>
      <c r="F69" s="52"/>
      <c r="G69" s="49" t="s">
        <v>146</v>
      </c>
    </row>
    <row r="70" spans="1:7" x14ac:dyDescent="0.25">
      <c r="A70" s="53" t="s">
        <v>223</v>
      </c>
      <c r="B70" s="53"/>
      <c r="C70" s="53"/>
      <c r="D70" s="54">
        <v>753.147</v>
      </c>
      <c r="E70" s="55">
        <f>D70/D69-1</f>
      </c>
      <c r="F70" s="52"/>
      <c r="G70" s="53" t="s">
        <v>146</v>
      </c>
    </row>
    <row r="71" spans="1:7" x14ac:dyDescent="0.25">
      <c r="A71" s="49" t="s">
        <v>224</v>
      </c>
      <c r="B71" s="49"/>
      <c r="C71" s="49"/>
      <c r="D71" s="50">
        <v>793.0278</v>
      </c>
      <c r="E71" s="51">
        <f>D71/D70-1</f>
      </c>
      <c r="F71" s="52"/>
      <c r="G71" s="49" t="s">
        <v>146</v>
      </c>
    </row>
    <row r="72" spans="1:7" x14ac:dyDescent="0.25">
      <c r="A72" s="53" t="s">
        <v>225</v>
      </c>
      <c r="B72" s="53"/>
      <c r="C72" s="53"/>
      <c r="D72" s="54">
        <v>851.761</v>
      </c>
      <c r="E72" s="55">
        <f>D72/D71-1</f>
      </c>
      <c r="F72" s="52"/>
      <c r="G72" s="53" t="s">
        <v>146</v>
      </c>
    </row>
    <row r="73" spans="1:7" x14ac:dyDescent="0.25">
      <c r="A73" s="49" t="s">
        <v>226</v>
      </c>
      <c r="B73" s="49"/>
      <c r="C73" s="49"/>
      <c r="D73" s="50">
        <v>911.1316</v>
      </c>
      <c r="E73" s="51">
        <f>D73/D72-1</f>
      </c>
      <c r="F73" s="52"/>
      <c r="G73" s="49" t="s">
        <v>146</v>
      </c>
    </row>
    <row r="74" spans="1:7" x14ac:dyDescent="0.25">
      <c r="A74" s="53" t="s">
        <v>227</v>
      </c>
      <c r="B74" s="53"/>
      <c r="C74" s="53"/>
      <c r="D74" s="54">
        <v>967.3076</v>
      </c>
      <c r="E74" s="55">
        <f>D74/D73-1</f>
      </c>
      <c r="F74" s="52"/>
      <c r="G74" s="53" t="s">
        <v>146</v>
      </c>
    </row>
    <row r="75" spans="1:7" x14ac:dyDescent="0.25">
      <c r="A75" s="49" t="s">
        <v>228</v>
      </c>
      <c r="B75" s="49"/>
      <c r="C75" s="49"/>
      <c r="D75" s="50">
        <v>1028.706</v>
      </c>
      <c r="E75" s="51">
        <f>D75/D74-1</f>
      </c>
      <c r="F75" s="52"/>
      <c r="G75" s="49" t="s">
        <v>146</v>
      </c>
    </row>
    <row r="76" spans="1:7" x14ac:dyDescent="0.25">
      <c r="A76" s="53" t="s">
        <v>229</v>
      </c>
      <c r="B76" s="53"/>
      <c r="C76" s="53"/>
      <c r="D76" s="54">
        <v>1079.2787</v>
      </c>
      <c r="E76" s="55">
        <f>D76/D75-1</f>
      </c>
      <c r="F76" s="52"/>
      <c r="G76" s="53" t="s">
        <v>146</v>
      </c>
    </row>
    <row r="77" spans="1:7" x14ac:dyDescent="0.25">
      <c r="A77" s="49" t="s">
        <v>230</v>
      </c>
      <c r="B77" s="49"/>
      <c r="C77" s="49"/>
      <c r="D77" s="50">
        <v>1134.5875</v>
      </c>
      <c r="E77" s="51">
        <f>D77/D76-1</f>
      </c>
      <c r="F77" s="52"/>
      <c r="G77" s="49" t="s">
        <v>146</v>
      </c>
    </row>
    <row r="78" spans="1:7" x14ac:dyDescent="0.25">
      <c r="A78" s="53" t="s">
        <v>231</v>
      </c>
      <c r="B78" s="53"/>
      <c r="C78" s="53"/>
      <c r="D78" s="54">
        <v>1202.979</v>
      </c>
      <c r="E78" s="55">
        <f>D78/D77-1</f>
      </c>
      <c r="F78" s="52"/>
      <c r="G78" s="53" t="s">
        <v>146</v>
      </c>
    </row>
    <row r="79" spans="1:7" x14ac:dyDescent="0.25">
      <c r="A79" s="49" t="s">
        <v>232</v>
      </c>
      <c r="B79" s="49"/>
      <c r="C79" s="49"/>
      <c r="D79" s="50">
        <v>1282.7091</v>
      </c>
      <c r="E79" s="51">
        <f>D79/D78-1</f>
      </c>
      <c r="F79" s="52"/>
      <c r="G79" s="49" t="s">
        <v>146</v>
      </c>
    </row>
    <row r="80" spans="1:7" x14ac:dyDescent="0.25">
      <c r="A80" s="53" t="s">
        <v>233</v>
      </c>
      <c r="B80" s="53"/>
      <c r="C80" s="53"/>
      <c r="D80" s="54">
        <v>1381.1601</v>
      </c>
      <c r="E80" s="55">
        <f>D80/D79-1</f>
      </c>
      <c r="F80" s="52"/>
      <c r="G80" s="53" t="s">
        <v>146</v>
      </c>
    </row>
    <row r="81" spans="1:7" x14ac:dyDescent="0.25">
      <c r="A81" s="49" t="s">
        <v>234</v>
      </c>
      <c r="B81" s="49"/>
      <c r="C81" s="49"/>
      <c r="D81" s="50">
        <v>1497.2147</v>
      </c>
      <c r="E81" s="51">
        <f>D81/D80-1</f>
      </c>
      <c r="F81" s="52"/>
      <c r="G81" s="49" t="s">
        <v>146</v>
      </c>
    </row>
    <row r="82" spans="1:7" x14ac:dyDescent="0.25">
      <c r="A82" s="53" t="s">
        <v>235</v>
      </c>
      <c r="B82" s="53"/>
      <c r="C82" s="53"/>
      <c r="D82" s="54">
        <v>1613.5895</v>
      </c>
      <c r="E82" s="55">
        <f>D82/D81-1</f>
      </c>
      <c r="F82" s="52"/>
      <c r="G82" s="53" t="s">
        <v>146</v>
      </c>
    </row>
    <row r="83" spans="1:7" x14ac:dyDescent="0.25">
      <c r="A83" s="49" t="s">
        <v>236</v>
      </c>
      <c r="B83" s="49"/>
      <c r="C83" s="49"/>
      <c r="D83" s="50">
        <v>1709.6115</v>
      </c>
      <c r="E83" s="51">
        <f>D83/D82-1</f>
      </c>
      <c r="F83" s="52"/>
      <c r="G83" s="49" t="s">
        <v>146</v>
      </c>
    </row>
    <row r="84" spans="1:7" x14ac:dyDescent="0.25">
      <c r="A84" s="53" t="s">
        <v>237</v>
      </c>
      <c r="B84" s="53"/>
      <c r="C84" s="53"/>
      <c r="D84" s="54">
        <v>1818.0838</v>
      </c>
      <c r="E84" s="55">
        <f>D84/D83-1</f>
      </c>
      <c r="F84" s="52"/>
      <c r="G84" s="53" t="s">
        <v>146</v>
      </c>
    </row>
    <row r="85" spans="1:7" x14ac:dyDescent="0.25">
      <c r="A85" s="49" t="s">
        <v>238</v>
      </c>
      <c r="B85" s="49"/>
      <c r="C85" s="49"/>
      <c r="D85" s="50">
        <v>2044.2832</v>
      </c>
      <c r="E85" s="51">
        <f>D85/D84-1</f>
      </c>
      <c r="F85" s="52"/>
      <c r="G85" s="49" t="s">
        <v>146</v>
      </c>
    </row>
    <row r="86" spans="1:7" x14ac:dyDescent="0.25">
      <c r="A86" s="53" t="s">
        <v>239</v>
      </c>
      <c r="B86" s="53"/>
      <c r="C86" s="53"/>
      <c r="D86" s="54">
        <v>2304.9242</v>
      </c>
      <c r="E86" s="55">
        <f>D86/D85-1</f>
      </c>
      <c r="F86" s="52"/>
      <c r="G86" s="53" t="s">
        <v>146</v>
      </c>
    </row>
    <row r="87" spans="1:7" x14ac:dyDescent="0.25">
      <c r="A87" s="49" t="s">
        <v>240</v>
      </c>
      <c r="B87" s="49"/>
      <c r="C87" s="49"/>
      <c r="D87" s="50">
        <v>2496.273</v>
      </c>
      <c r="E87" s="51">
        <f>D87/D86-1</f>
      </c>
      <c r="F87" s="52"/>
      <c r="G87" s="49" t="s">
        <v>146</v>
      </c>
    </row>
    <row r="88" spans="1:7" x14ac:dyDescent="0.25">
      <c r="A88" s="53" t="s">
        <v>241</v>
      </c>
      <c r="B88" s="53"/>
      <c r="C88" s="53"/>
      <c r="D88" s="54">
        <v>2816.0628</v>
      </c>
      <c r="E88" s="55">
        <f>D88/D87-1</f>
      </c>
      <c r="F88" s="52"/>
      <c r="G88" s="53" t="s">
        <v>146</v>
      </c>
    </row>
    <row r="89" spans="1:7" x14ac:dyDescent="0.25">
      <c r="A89" s="49" t="s">
        <v>242</v>
      </c>
      <c r="B89" s="49"/>
      <c r="C89" s="49"/>
      <c r="D89" s="50">
        <v>3533.1922</v>
      </c>
      <c r="E89" s="51">
        <f>D89/D88-1</f>
      </c>
      <c r="F89" s="52"/>
      <c r="G89" s="49" t="s">
        <v>146</v>
      </c>
    </row>
    <row r="90" spans="1:7" x14ac:dyDescent="0.25">
      <c r="A90" s="53" t="s">
        <v>243</v>
      </c>
      <c r="B90" s="53"/>
      <c r="C90" s="53"/>
      <c r="D90" s="54">
        <v>4261.5324</v>
      </c>
      <c r="E90" s="55">
        <f>D90/D89-1</f>
      </c>
      <c r="F90" s="52"/>
      <c r="G90" s="53" t="s">
        <v>146</v>
      </c>
    </row>
    <row r="91" spans="1:7" x14ac:dyDescent="0.25">
      <c r="A91" s="49" t="s">
        <v>244</v>
      </c>
      <c r="B91" s="49"/>
      <c r="C91" s="49"/>
      <c r="D91" s="50">
        <v>4825.7881</v>
      </c>
      <c r="E91" s="51">
        <f>D91/D90-1</f>
      </c>
      <c r="F91" s="52"/>
      <c r="G91" s="49" t="s">
        <v>146</v>
      </c>
    </row>
    <row r="92" spans="1:7" x14ac:dyDescent="0.25">
      <c r="A92" s="53" t="s">
        <v>245</v>
      </c>
      <c r="B92" s="53"/>
      <c r="C92" s="53"/>
      <c r="D92" s="54">
        <v>5357.0929</v>
      </c>
      <c r="E92" s="55">
        <f>D92/D91-1</f>
      </c>
      <c r="F92" s="52"/>
      <c r="G92" s="53" t="s">
        <v>146</v>
      </c>
    </row>
    <row r="93" spans="1:7" x14ac:dyDescent="0.25">
      <c r="A93" s="49" t="s">
        <v>246</v>
      </c>
      <c r="B93" s="49"/>
      <c r="C93" s="49"/>
      <c r="D93" s="50">
        <v>5830.2271</v>
      </c>
      <c r="E93" s="51">
        <f>D93/D92-1</f>
      </c>
      <c r="F93" s="52"/>
      <c r="G93" s="49" t="s">
        <v>146</v>
      </c>
    </row>
    <row r="94" spans="1:7" x14ac:dyDescent="0.25">
      <c r="A94" s="53" t="s">
        <v>247</v>
      </c>
      <c r="B94" s="53"/>
      <c r="C94" s="53"/>
      <c r="D94" s="54">
        <v>6073.7</v>
      </c>
      <c r="E94" s="55">
        <f>D94/D93-1</f>
      </c>
      <c r="F94" s="52"/>
      <c r="G94" s="53" t="s">
        <v>146</v>
      </c>
    </row>
    <row r="95" spans="1:7" x14ac:dyDescent="0.25">
      <c r="A95" s="49" t="s">
        <v>248</v>
      </c>
      <c r="B95" s="49"/>
      <c r="C95" s="49"/>
      <c r="D95" s="50">
        <v>6351.7145</v>
      </c>
      <c r="E95" s="51">
        <f>D95/D94-1</f>
      </c>
      <c r="F95" s="52"/>
      <c r="G95" s="49" t="s">
        <v>146</v>
      </c>
    </row>
    <row r="96" spans="1:7" x14ac:dyDescent="0.25">
      <c r="A96" s="53" t="s">
        <v>249</v>
      </c>
      <c r="B96" s="53"/>
      <c r="C96" s="53"/>
      <c r="D96" s="54">
        <v>6607.7479</v>
      </c>
      <c r="E96" s="55">
        <f>D96/D95-1</f>
      </c>
      <c r="F96" s="52"/>
      <c r="G96" s="53" t="s">
        <v>146</v>
      </c>
    </row>
    <row r="97" spans="1:7" x14ac:dyDescent="0.25">
      <c r="A97" s="49" t="s">
        <v>250</v>
      </c>
      <c r="B97" s="49"/>
      <c r="C97" s="49"/>
      <c r="D97" s="50">
        <v>6883.4412</v>
      </c>
      <c r="E97" s="51">
        <f>D97/D96-1</f>
      </c>
      <c r="F97" s="52"/>
      <c r="G97" s="49" t="s">
        <v>146</v>
      </c>
    </row>
    <row r="98" spans="1:7" x14ac:dyDescent="0.25">
      <c r="A98" s="53" t="s">
        <v>251</v>
      </c>
      <c r="B98" s="53"/>
      <c r="C98" s="53"/>
      <c r="D98" s="54">
        <v>7122.2421</v>
      </c>
      <c r="E98" s="55">
        <f>D98/D97-1</f>
      </c>
      <c r="F98" s="52"/>
      <c r="G98" s="53" t="s">
        <v>146</v>
      </c>
    </row>
    <row r="99" spans="1:7" x14ac:dyDescent="0.25">
      <c r="A99" s="49" t="s">
        <v>252</v>
      </c>
      <c r="B99" s="49"/>
      <c r="C99" s="49"/>
      <c r="D99" s="50">
        <v>7313.9542</v>
      </c>
      <c r="E99" s="51">
        <f>D99/D98-1</f>
      </c>
      <c r="F99" s="52"/>
      <c r="G99" s="49" t="s">
        <v>146</v>
      </c>
    </row>
    <row r="100" spans="1:7" x14ac:dyDescent="0.25">
      <c r="A100" s="53" t="s">
        <v>253</v>
      </c>
      <c r="B100" s="53"/>
      <c r="C100" s="53"/>
      <c r="D100" s="54">
        <v>7491.4314</v>
      </c>
      <c r="E100" s="55">
        <f>D100/D99-1</f>
      </c>
      <c r="F100" s="52"/>
      <c r="G100" s="53" t="s">
        <v>146</v>
      </c>
    </row>
    <row r="101" spans="1:7" x14ac:dyDescent="0.25">
      <c r="A101" s="49" t="s">
        <v>254</v>
      </c>
      <c r="B101" s="49"/>
      <c r="C101" s="49"/>
      <c r="D101" s="50">
        <v>7694.0075</v>
      </c>
      <c r="E101" s="51">
        <f>D101/D100-1</f>
      </c>
      <c r="F101" s="52"/>
      <c r="G101" s="49" t="s">
        <v>146</v>
      </c>
    </row>
    <row r="102" spans="1:7" x14ac:dyDescent="0.25">
      <c r="A102" s="53" t="s">
        <v>255</v>
      </c>
      <c r="B102" s="53"/>
      <c r="C102" s="53"/>
      <c r="D102" s="54">
        <v>7864.1257</v>
      </c>
      <c r="E102" s="55">
        <f>D102/D101-1</f>
      </c>
      <c r="F102" s="52"/>
      <c r="G102" s="53" t="s">
        <v>146</v>
      </c>
    </row>
    <row r="103" spans="1:7" x14ac:dyDescent="0.25">
      <c r="A103" s="49" t="s">
        <v>256</v>
      </c>
      <c r="B103" s="49"/>
      <c r="C103" s="49"/>
      <c r="D103" s="50">
        <v>8052.9927</v>
      </c>
      <c r="E103" s="51">
        <f>D103/D102-1</f>
      </c>
      <c r="F103" s="52"/>
      <c r="G103" s="49" t="s">
        <v>146</v>
      </c>
    </row>
    <row r="104" spans="1:7" x14ac:dyDescent="0.25">
      <c r="A104" s="53" t="s">
        <v>257</v>
      </c>
      <c r="B104" s="53"/>
      <c r="C104" s="53"/>
      <c r="D104" s="54">
        <v>8353.3158</v>
      </c>
      <c r="E104" s="55">
        <f>D104/D103-1</f>
      </c>
      <c r="F104" s="52"/>
      <c r="G104" s="53" t="s">
        <v>146</v>
      </c>
    </row>
    <row r="105" spans="1:7" x14ac:dyDescent="0.25">
      <c r="A105" s="49" t="s">
        <v>258</v>
      </c>
      <c r="B105" s="49"/>
      <c r="C105" s="49"/>
      <c r="D105" s="50">
        <v>8585.6078</v>
      </c>
      <c r="E105" s="51">
        <f>D105/D104-1</f>
      </c>
      <c r="F105" s="52"/>
      <c r="G105" s="49" t="s">
        <v>146</v>
      </c>
    </row>
    <row r="106" spans="1:7" x14ac:dyDescent="0.25">
      <c r="A106" s="53" t="s">
        <v>259</v>
      </c>
      <c r="B106" s="53"/>
      <c r="C106" s="53"/>
      <c r="D106" s="54">
        <v>8714.4871</v>
      </c>
      <c r="E106" s="55">
        <f>D106/D105-1</f>
      </c>
      <c r="F106" s="52"/>
      <c r="G106" s="53" t="s">
        <v>146</v>
      </c>
    </row>
    <row r="107" spans="1:7" x14ac:dyDescent="0.25">
      <c r="A107" s="49" t="s">
        <v>260</v>
      </c>
      <c r="B107" s="49"/>
      <c r="C107" s="49"/>
      <c r="D107" s="50">
        <v>8855.5681</v>
      </c>
      <c r="E107" s="51">
        <f>D107/D106-1</f>
      </c>
      <c r="F107" s="52"/>
      <c r="G107" s="49" t="s">
        <v>146</v>
      </c>
    </row>
    <row r="108" spans="1:7" x14ac:dyDescent="0.25">
      <c r="A108" s="53" t="s">
        <v>261</v>
      </c>
      <c r="B108" s="53"/>
      <c r="C108" s="53"/>
      <c r="D108" s="54">
        <v>9023.973</v>
      </c>
      <c r="E108" s="55">
        <f>D108/D107-1</f>
      </c>
      <c r="F108" s="52"/>
      <c r="G108" s="53" t="s">
        <v>146</v>
      </c>
    </row>
    <row r="109" spans="1:7" x14ac:dyDescent="0.25">
      <c r="A109" s="49" t="s">
        <v>262</v>
      </c>
      <c r="B109" s="49"/>
      <c r="C109" s="49"/>
      <c r="D109" s="50">
        <v>9193.2441</v>
      </c>
      <c r="E109" s="51">
        <f>D109/D108-1</f>
      </c>
      <c r="F109" s="52"/>
      <c r="G109" s="49" t="s">
        <v>146</v>
      </c>
    </row>
    <row r="110" spans="1:7" x14ac:dyDescent="0.25">
      <c r="A110" s="53" t="s">
        <v>263</v>
      </c>
      <c r="B110" s="53"/>
      <c r="C110" s="53"/>
      <c r="D110" s="54">
        <v>9384.0922</v>
      </c>
      <c r="E110" s="55">
        <f>D110/D109-1</f>
      </c>
      <c r="F110" s="52"/>
      <c r="G110" s="53" t="s">
        <v>146</v>
      </c>
    </row>
    <row r="111" spans="1:7" x14ac:dyDescent="0.25">
      <c r="A111" s="49" t="s">
        <v>264</v>
      </c>
      <c r="B111" s="49"/>
      <c r="C111" s="49"/>
      <c r="D111" s="50">
        <v>9603.8623</v>
      </c>
      <c r="E111" s="51">
        <f>D111/D110-1</f>
      </c>
      <c r="F111" s="52"/>
      <c r="G111" s="49" t="s">
        <v>146</v>
      </c>
    </row>
    <row r="112" spans="1:7" x14ac:dyDescent="0.25">
      <c r="A112" s="53" t="s">
        <v>265</v>
      </c>
      <c r="B112" s="53"/>
      <c r="C112" s="53"/>
      <c r="D112" s="54">
        <v>9841.3581</v>
      </c>
      <c r="E112" s="55">
        <f>D112/D111-1</f>
      </c>
      <c r="F112" s="52"/>
      <c r="G112" s="53" t="s">
        <v>146</v>
      </c>
    </row>
    <row r="113" spans="1:7" x14ac:dyDescent="0.25">
      <c r="A113" s="49" t="s">
        <v>266</v>
      </c>
      <c r="B113" s="49"/>
      <c r="C113" s="49"/>
      <c r="D113" s="50">
        <v>10121.3715</v>
      </c>
      <c r="E113" s="51">
        <f>D113/D112-1</f>
      </c>
      <c r="F113" s="52"/>
      <c r="G113" s="49" t="s">
        <v>146</v>
      </c>
    </row>
    <row r="114" spans="1:7" x14ac:dyDescent="0.25">
      <c r="A114" s="53" t="s">
        <v>267</v>
      </c>
      <c r="B114" s="53"/>
      <c r="C114" s="53"/>
      <c r="D114" s="54">
        <v>10413.0309</v>
      </c>
      <c r="E114" s="55">
        <f>D114/D113-1</f>
      </c>
      <c r="F114" s="52"/>
      <c r="G114" s="53" t="s">
        <v>146</v>
      </c>
    </row>
    <row r="115" spans="1:7" x14ac:dyDescent="0.25">
      <c r="A115" s="49" t="s">
        <v>268</v>
      </c>
      <c r="B115" s="49"/>
      <c r="C115" s="49"/>
      <c r="D115" s="50">
        <v>10714.6255</v>
      </c>
      <c r="E115" s="51">
        <f>D115/D114-1</f>
      </c>
      <c r="F115" s="52"/>
      <c r="G115" s="49" t="s">
        <v>146</v>
      </c>
    </row>
    <row r="116" spans="1:7" x14ac:dyDescent="0.25">
      <c r="A116" s="53" t="s">
        <v>269</v>
      </c>
      <c r="B116" s="53"/>
      <c r="C116" s="53"/>
      <c r="D116" s="54">
        <v>11077.0608</v>
      </c>
      <c r="E116" s="55">
        <f>D116/D115-1</f>
      </c>
      <c r="F116" s="52"/>
      <c r="G116" s="53" t="s">
        <v>146</v>
      </c>
    </row>
    <row r="117" spans="1:7" x14ac:dyDescent="0.25">
      <c r="A117" s="49" t="s">
        <v>270</v>
      </c>
      <c r="B117" s="49"/>
      <c r="C117" s="49"/>
      <c r="D117" s="50">
        <v>11363.0904</v>
      </c>
      <c r="E117" s="51">
        <f>D117/D116-1</f>
      </c>
      <c r="F117" s="52"/>
      <c r="G117" s="49" t="s">
        <v>146</v>
      </c>
    </row>
    <row r="118" spans="1:7" x14ac:dyDescent="0.25">
      <c r="A118" s="53" t="s">
        <v>271</v>
      </c>
      <c r="B118" s="53"/>
      <c r="C118" s="53"/>
      <c r="D118" s="54">
        <v>11607.3937</v>
      </c>
      <c r="E118" s="55">
        <f>D118/D117-1</f>
      </c>
      <c r="F118" s="52"/>
      <c r="G118" s="53" t="s">
        <v>146</v>
      </c>
    </row>
    <row r="119" spans="1:7" x14ac:dyDescent="0.25">
      <c r="A119" s="49" t="s">
        <v>272</v>
      </c>
      <c r="B119" s="49"/>
      <c r="C119" s="49"/>
      <c r="D119" s="50">
        <v>11826.4103</v>
      </c>
      <c r="E119" s="51">
        <f>D119/D118-1</f>
      </c>
      <c r="F119" s="52"/>
      <c r="G119" s="49" t="s">
        <v>146</v>
      </c>
    </row>
    <row r="120" spans="1:7" x14ac:dyDescent="0.25">
      <c r="A120" s="53" t="s">
        <v>273</v>
      </c>
      <c r="B120" s="53"/>
      <c r="C120" s="53"/>
      <c r="D120" s="54">
        <v>12076.3937</v>
      </c>
      <c r="E120" s="55">
        <f>D120/D119-1</f>
      </c>
      <c r="F120" s="52"/>
      <c r="G120" s="53" t="s">
        <v>146</v>
      </c>
    </row>
    <row r="121" spans="1:7" x14ac:dyDescent="0.25">
      <c r="A121" s="49" t="s">
        <v>274</v>
      </c>
      <c r="B121" s="49"/>
      <c r="C121" s="49"/>
      <c r="D121" s="50">
        <v>12276.766</v>
      </c>
      <c r="E121" s="51">
        <f>D121/D120-1</f>
      </c>
      <c r="F121" s="52"/>
      <c r="G121" s="49" t="s">
        <v>146</v>
      </c>
    </row>
    <row r="122" spans="1:7" x14ac:dyDescent="0.25">
      <c r="A122" s="53" t="s">
        <v>275</v>
      </c>
      <c r="B122" s="53"/>
      <c r="C122" s="53"/>
      <c r="D122" s="54">
        <f>IF(OR(F122="",D121=""),"",D121*(1+F122/100))</f>
      </c>
      <c r="E122" s="55">
        <f>IF(D122="","",D122/D121-1)</f>
      </c>
      <c r="F122" s="56"/>
      <c r="G122" s="53">
        <f>IF(F122="","","Cargado por vos")</f>
      </c>
    </row>
    <row r="123" spans="1:7" x14ac:dyDescent="0.25">
      <c r="A123" s="49" t="s">
        <v>276</v>
      </c>
      <c r="B123" s="49"/>
      <c r="C123" s="49"/>
      <c r="D123" s="50">
        <f>IF(OR(F123="",D122=""),"",D122*(1+F123/100))</f>
      </c>
      <c r="E123" s="51">
        <f>IF(D123="","",D123/D122-1)</f>
      </c>
      <c r="F123" s="56"/>
      <c r="G123" s="49">
        <f>IF(F123="","","Cargado por vos")</f>
      </c>
    </row>
    <row r="124" spans="1:7" x14ac:dyDescent="0.25">
      <c r="A124" s="53" t="s">
        <v>277</v>
      </c>
      <c r="B124" s="53"/>
      <c r="C124" s="53"/>
      <c r="D124" s="54">
        <f>IF(OR(F124="",D123=""),"",D123*(1+F124/100))</f>
      </c>
      <c r="E124" s="55">
        <f>IF(D124="","",D124/D123-1)</f>
      </c>
      <c r="F124" s="56"/>
      <c r="G124" s="53">
        <f>IF(F124="","","Cargado por vos")</f>
      </c>
    </row>
    <row r="125" spans="1:7" x14ac:dyDescent="0.25">
      <c r="A125" s="49" t="s">
        <v>278</v>
      </c>
      <c r="B125" s="49"/>
      <c r="C125" s="49"/>
      <c r="D125" s="50">
        <f>IF(OR(F125="",D124=""),"",D124*(1+F125/100))</f>
      </c>
      <c r="E125" s="51">
        <f>IF(D125="","",D125/D124-1)</f>
      </c>
      <c r="F125" s="56"/>
      <c r="G125" s="49">
        <f>IF(F125="","","Cargado por vos")</f>
      </c>
    </row>
    <row r="126" spans="1:7" x14ac:dyDescent="0.25">
      <c r="A126" s="53" t="s">
        <v>279</v>
      </c>
      <c r="B126" s="53"/>
      <c r="C126" s="53"/>
      <c r="D126" s="54">
        <f>IF(OR(F126="",D125=""),"",D125*(1+F126/100))</f>
      </c>
      <c r="E126" s="55">
        <f>IF(D126="","",D126/D125-1)</f>
      </c>
      <c r="F126" s="56"/>
      <c r="G126" s="53">
        <f>IF(F126="","","Cargado por vos")</f>
      </c>
    </row>
    <row r="127" spans="1:7" x14ac:dyDescent="0.25">
      <c r="A127" s="49" t="s">
        <v>280</v>
      </c>
      <c r="B127" s="49"/>
      <c r="C127" s="49"/>
      <c r="D127" s="50">
        <f>IF(OR(F127="",D126=""),"",D126*(1+F127/100))</f>
      </c>
      <c r="E127" s="51">
        <f>IF(D127="","",D127/D126-1)</f>
      </c>
      <c r="F127" s="56"/>
      <c r="G127" s="49">
        <f>IF(F127="","","Cargado por vos")</f>
      </c>
    </row>
    <row r="128" spans="1:7" x14ac:dyDescent="0.25">
      <c r="A128" s="53" t="s">
        <v>281</v>
      </c>
      <c r="B128" s="53"/>
      <c r="C128" s="53"/>
      <c r="D128" s="54">
        <f>IF(OR(F128="",D127=""),"",D127*(1+F128/100))</f>
      </c>
      <c r="E128" s="55">
        <f>IF(D128="","",D128/D127-1)</f>
      </c>
      <c r="F128" s="56"/>
      <c r="G128" s="53">
        <f>IF(F128="","","Cargado por vos")</f>
      </c>
    </row>
    <row r="129" spans="1:7" x14ac:dyDescent="0.25">
      <c r="A129" s="49" t="s">
        <v>282</v>
      </c>
      <c r="B129" s="49"/>
      <c r="C129" s="49"/>
      <c r="D129" s="50">
        <f>IF(OR(F129="",D128=""),"",D128*(1+F129/100))</f>
      </c>
      <c r="E129" s="51">
        <f>IF(D129="","",D129/D128-1)</f>
      </c>
      <c r="F129" s="56"/>
      <c r="G129" s="49">
        <f>IF(F129="","","Cargado por vos")</f>
      </c>
    </row>
    <row r="130" spans="1:7" x14ac:dyDescent="0.25">
      <c r="A130" s="53" t="s">
        <v>283</v>
      </c>
      <c r="B130" s="53"/>
      <c r="C130" s="53"/>
      <c r="D130" s="54">
        <f>IF(OR(F130="",D129=""),"",D129*(1+F130/100))</f>
      </c>
      <c r="E130" s="55">
        <f>IF(D130="","",D130/D129-1)</f>
      </c>
      <c r="F130" s="56"/>
      <c r="G130" s="53">
        <f>IF(F130="","","Cargado por vos")</f>
      </c>
    </row>
    <row r="131" spans="1:7" x14ac:dyDescent="0.25">
      <c r="A131" s="49" t="s">
        <v>284</v>
      </c>
      <c r="B131" s="49"/>
      <c r="C131" s="49"/>
      <c r="D131" s="50">
        <f>IF(OR(F131="",D130=""),"",D130*(1+F131/100))</f>
      </c>
      <c r="E131" s="51">
        <f>IF(D131="","",D131/D130-1)</f>
      </c>
      <c r="F131" s="56"/>
      <c r="G131" s="49">
        <f>IF(F131="","","Cargado por vos")</f>
      </c>
    </row>
    <row r="132" spans="1:7" x14ac:dyDescent="0.25">
      <c r="A132" s="53" t="s">
        <v>285</v>
      </c>
      <c r="B132" s="53"/>
      <c r="C132" s="53"/>
      <c r="D132" s="54">
        <f>IF(OR(F132="",D131=""),"",D131*(1+F132/100))</f>
      </c>
      <c r="E132" s="55">
        <f>IF(D132="","",D132/D131-1)</f>
      </c>
      <c r="F132" s="56"/>
      <c r="G132" s="53">
        <f>IF(F132="","","Cargado por vos")</f>
      </c>
    </row>
    <row r="133" spans="1:7" x14ac:dyDescent="0.25">
      <c r="A133" s="49" t="s">
        <v>286</v>
      </c>
      <c r="B133" s="49"/>
      <c r="C133" s="49"/>
      <c r="D133" s="50">
        <f>IF(OR(F133="",D132=""),"",D132*(1+F133/100))</f>
      </c>
      <c r="E133" s="51">
        <f>IF(D133="","",D133/D132-1)</f>
      </c>
      <c r="F133" s="56"/>
      <c r="G133" s="49">
        <f>IF(F133="","","Cargado por vos")</f>
      </c>
    </row>
    <row r="134" spans="1:7" x14ac:dyDescent="0.25">
      <c r="A134" s="53" t="s">
        <v>287</v>
      </c>
      <c r="B134" s="53"/>
      <c r="C134" s="53"/>
      <c r="D134" s="54">
        <f>IF(OR(F134="",D133=""),"",D133*(1+F134/100))</f>
      </c>
      <c r="E134" s="55">
        <f>IF(D134="","",D134/D133-1)</f>
      </c>
      <c r="F134" s="56"/>
      <c r="G134" s="53">
        <f>IF(F134="","","Cargado por vos")</f>
      </c>
    </row>
    <row r="135" spans="1:7" x14ac:dyDescent="0.25">
      <c r="A135" s="49" t="s">
        <v>288</v>
      </c>
      <c r="B135" s="49"/>
      <c r="C135" s="49"/>
      <c r="D135" s="50">
        <f>IF(OR(F135="",D134=""),"",D134*(1+F135/100))</f>
      </c>
      <c r="E135" s="51">
        <f>IF(D135="","",D135/D134-1)</f>
      </c>
      <c r="F135" s="56"/>
      <c r="G135" s="49">
        <f>IF(F135="","","Cargado por vos")</f>
      </c>
    </row>
    <row r="136" spans="1:7" x14ac:dyDescent="0.25">
      <c r="A136" s="53" t="s">
        <v>289</v>
      </c>
      <c r="B136" s="53"/>
      <c r="C136" s="53"/>
      <c r="D136" s="54">
        <f>IF(OR(F136="",D135=""),"",D135*(1+F136/100))</f>
      </c>
      <c r="E136" s="55">
        <f>IF(D136="","",D136/D135-1)</f>
      </c>
      <c r="F136" s="56"/>
      <c r="G136" s="53">
        <f>IF(F136="","","Cargado por vos")</f>
      </c>
    </row>
    <row r="137" spans="1:7" x14ac:dyDescent="0.25">
      <c r="A137" s="49" t="s">
        <v>290</v>
      </c>
      <c r="B137" s="49"/>
      <c r="C137" s="49"/>
      <c r="D137" s="50">
        <f>IF(OR(F137="",D136=""),"",D136*(1+F137/100))</f>
      </c>
      <c r="E137" s="51">
        <f>IF(D137="","",D137/D136-1)</f>
      </c>
      <c r="F137" s="56"/>
      <c r="G137" s="49">
        <f>IF(F137="","","Cargado por vos")</f>
      </c>
    </row>
    <row r="138" spans="1:7" x14ac:dyDescent="0.25">
      <c r="A138" s="53" t="s">
        <v>291</v>
      </c>
      <c r="B138" s="53"/>
      <c r="C138" s="53"/>
      <c r="D138" s="54">
        <f>IF(OR(F138="",D137=""),"",D137*(1+F138/100))</f>
      </c>
      <c r="E138" s="55">
        <f>IF(D138="","",D138/D137-1)</f>
      </c>
      <c r="F138" s="56"/>
      <c r="G138" s="53">
        <f>IF(F138="","","Cargado por vos")</f>
      </c>
    </row>
    <row r="139" spans="1:7" x14ac:dyDescent="0.25">
      <c r="A139" s="49" t="s">
        <v>292</v>
      </c>
      <c r="B139" s="49"/>
      <c r="C139" s="49"/>
      <c r="D139" s="50">
        <f>IF(OR(F139="",D138=""),"",D138*(1+F139/100))</f>
      </c>
      <c r="E139" s="51">
        <f>IF(D139="","",D139/D138-1)</f>
      </c>
      <c r="F139" s="56"/>
      <c r="G139" s="49">
        <f>IF(F139="","","Cargado por vos")</f>
      </c>
    </row>
    <row r="140" spans="1:7" x14ac:dyDescent="0.25">
      <c r="A140" s="53" t="s">
        <v>293</v>
      </c>
      <c r="B140" s="53"/>
      <c r="C140" s="53"/>
      <c r="D140" s="54">
        <f>IF(OR(F140="",D139=""),"",D139*(1+F140/100))</f>
      </c>
      <c r="E140" s="55">
        <f>IF(D140="","",D140/D139-1)</f>
      </c>
      <c r="F140" s="56"/>
      <c r="G140" s="53">
        <f>IF(F140="","","Cargado por vos")</f>
      </c>
    </row>
    <row r="141" spans="1:7" x14ac:dyDescent="0.25">
      <c r="A141" s="49" t="s">
        <v>294</v>
      </c>
      <c r="B141" s="49"/>
      <c r="C141" s="49"/>
      <c r="D141" s="50">
        <f>IF(OR(F141="",D140=""),"",D140*(1+F141/100))</f>
      </c>
      <c r="E141" s="51">
        <f>IF(D141="","",D141/D140-1)</f>
      </c>
      <c r="F141" s="56"/>
      <c r="G141" s="49">
        <f>IF(F141="","","Cargado por vos")</f>
      </c>
    </row>
    <row r="142" spans="1:7" x14ac:dyDescent="0.25">
      <c r="A142" s="53" t="s">
        <v>295</v>
      </c>
      <c r="B142" s="53"/>
      <c r="C142" s="53"/>
      <c r="D142" s="54">
        <f>IF(OR(F142="",D141=""),"",D141*(1+F142/100))</f>
      </c>
      <c r="E142" s="55">
        <f>IF(D142="","",D142/D141-1)</f>
      </c>
      <c r="F142" s="56"/>
      <c r="G142" s="53">
        <f>IF(F142="","","Cargado por vos")</f>
      </c>
    </row>
    <row r="143" spans="1:7" x14ac:dyDescent="0.25">
      <c r="A143" s="49" t="s">
        <v>296</v>
      </c>
      <c r="B143" s="49"/>
      <c r="C143" s="49"/>
      <c r="D143" s="50">
        <f>IF(OR(F143="",D142=""),"",D142*(1+F143/100))</f>
      </c>
      <c r="E143" s="51">
        <f>IF(D143="","",D143/D142-1)</f>
      </c>
      <c r="F143" s="56"/>
      <c r="G143" s="49">
        <f>IF(F143="","","Cargado por vos")</f>
      </c>
    </row>
    <row r="144" spans="1:7" x14ac:dyDescent="0.25">
      <c r="A144" s="53" t="s">
        <v>297</v>
      </c>
      <c r="B144" s="53"/>
      <c r="C144" s="53"/>
      <c r="D144" s="54">
        <f>IF(OR(F144="",D143=""),"",D143*(1+F144/100))</f>
      </c>
      <c r="E144" s="55">
        <f>IF(D144="","",D144/D143-1)</f>
      </c>
      <c r="F144" s="56"/>
      <c r="G144" s="53">
        <f>IF(F144="","","Cargado por vos")</f>
      </c>
    </row>
    <row r="145" spans="1:7" x14ac:dyDescent="0.25">
      <c r="A145" s="49" t="s">
        <v>298</v>
      </c>
      <c r="B145" s="49"/>
      <c r="C145" s="49"/>
      <c r="D145" s="50">
        <f>IF(OR(F145="",D144=""),"",D144*(1+F145/100))</f>
      </c>
      <c r="E145" s="51">
        <f>IF(D145="","",D145/D144-1)</f>
      </c>
      <c r="F145" s="56"/>
      <c r="G145" s="49">
        <f>IF(F145="","","Cargado por vos")</f>
      </c>
    </row>
    <row r="146" spans="1:7" x14ac:dyDescent="0.25">
      <c r="A146" s="53" t="s">
        <v>299</v>
      </c>
      <c r="B146" s="53"/>
      <c r="C146" s="53"/>
      <c r="D146" s="54">
        <f>IF(OR(F146="",D145=""),"",D145*(1+F146/100))</f>
      </c>
      <c r="E146" s="55">
        <f>IF(D146="","",D146/D145-1)</f>
      </c>
      <c r="F146" s="56"/>
      <c r="G146" s="53">
        <f>IF(F146="","","Cargado por vos")</f>
      </c>
    </row>
    <row r="147" spans="1:7" x14ac:dyDescent="0.25">
      <c r="A147" s="49" t="s">
        <v>300</v>
      </c>
      <c r="B147" s="49"/>
      <c r="C147" s="49"/>
      <c r="D147" s="50">
        <f>IF(OR(F147="",D146=""),"",D146*(1+F147/100))</f>
      </c>
      <c r="E147" s="51">
        <f>IF(D147="","",D147/D146-1)</f>
      </c>
      <c r="F147" s="56"/>
      <c r="G147" s="49">
        <f>IF(F147="","","Cargado por vos")</f>
      </c>
    </row>
    <row r="148" spans="1:7" x14ac:dyDescent="0.25">
      <c r="A148" s="53" t="s">
        <v>301</v>
      </c>
      <c r="B148" s="53"/>
      <c r="C148" s="53"/>
      <c r="D148" s="54">
        <f>IF(OR(F148="",D147=""),"",D147*(1+F148/100))</f>
      </c>
      <c r="E148" s="55">
        <f>IF(D148="","",D148/D147-1)</f>
      </c>
      <c r="F148" s="56"/>
      <c r="G148" s="53">
        <f>IF(F148="","","Cargado por vos")</f>
      </c>
    </row>
    <row r="149" spans="1:7" x14ac:dyDescent="0.25">
      <c r="A149" s="49" t="s">
        <v>302</v>
      </c>
      <c r="B149" s="49"/>
      <c r="C149" s="49"/>
      <c r="D149" s="50">
        <f>IF(OR(F149="",D148=""),"",D148*(1+F149/100))</f>
      </c>
      <c r="E149" s="51">
        <f>IF(D149="","",D149/D148-1)</f>
      </c>
      <c r="F149" s="56"/>
      <c r="G149" s="49">
        <f>IF(F149="","","Cargado por vos")</f>
      </c>
    </row>
    <row r="150" spans="1:7" x14ac:dyDescent="0.25">
      <c r="A150" s="53" t="s">
        <v>303</v>
      </c>
      <c r="B150" s="53"/>
      <c r="C150" s="53"/>
      <c r="D150" s="54">
        <f>IF(OR(F150="",D149=""),"",D149*(1+F150/100))</f>
      </c>
      <c r="E150" s="55">
        <f>IF(D150="","",D150/D149-1)</f>
      </c>
      <c r="F150" s="56"/>
      <c r="G150" s="53">
        <f>IF(F150="","","Cargado por vos")</f>
      </c>
    </row>
    <row r="151" spans="1:7" x14ac:dyDescent="0.25">
      <c r="A151" s="49" t="s">
        <v>304</v>
      </c>
      <c r="B151" s="49"/>
      <c r="C151" s="49"/>
      <c r="D151" s="50">
        <f>IF(OR(F151="",D150=""),"",D150*(1+F151/100))</f>
      </c>
      <c r="E151" s="51">
        <f>IF(D151="","",D151/D150-1)</f>
      </c>
      <c r="F151" s="56"/>
      <c r="G151" s="49">
        <f>IF(F151="","","Cargado por vos")</f>
      </c>
    </row>
    <row r="152" spans="1:7" x14ac:dyDescent="0.25">
      <c r="A152" s="53" t="s">
        <v>305</v>
      </c>
      <c r="B152" s="53"/>
      <c r="C152" s="53"/>
      <c r="D152" s="54">
        <f>IF(OR(F152="",D151=""),"",D151*(1+F152/100))</f>
      </c>
      <c r="E152" s="55">
        <f>IF(D152="","",D152/D151-1)</f>
      </c>
      <c r="F152" s="56"/>
      <c r="G152" s="53">
        <f>IF(F152="","","Cargado por vos")</f>
      </c>
    </row>
    <row r="153" spans="1:7" x14ac:dyDescent="0.25">
      <c r="A153" s="49" t="s">
        <v>306</v>
      </c>
      <c r="B153" s="49"/>
      <c r="C153" s="49"/>
      <c r="D153" s="50">
        <f>IF(OR(F153="",D152=""),"",D152*(1+F153/100))</f>
      </c>
      <c r="E153" s="51">
        <f>IF(D153="","",D153/D152-1)</f>
      </c>
      <c r="F153" s="56"/>
      <c r="G153" s="49">
        <f>IF(F153="","","Cargado por vos")</f>
      </c>
    </row>
    <row r="154" spans="1:7" x14ac:dyDescent="0.25">
      <c r="A154" s="53" t="s">
        <v>307</v>
      </c>
      <c r="B154" s="53"/>
      <c r="C154" s="53"/>
      <c r="D154" s="54">
        <f>IF(OR(F154="",D153=""),"",D153*(1+F154/100))</f>
      </c>
      <c r="E154" s="55">
        <f>IF(D154="","",D154/D153-1)</f>
      </c>
      <c r="F154" s="56"/>
      <c r="G154" s="53">
        <f>IF(F154="","","Cargado por vos")</f>
      </c>
    </row>
    <row r="155" spans="1:7" x14ac:dyDescent="0.25">
      <c r="A155" s="49" t="s">
        <v>308</v>
      </c>
      <c r="B155" s="49"/>
      <c r="C155" s="49"/>
      <c r="D155" s="50">
        <f>IF(OR(F155="",D154=""),"",D154*(1+F155/100))</f>
      </c>
      <c r="E155" s="51">
        <f>IF(D155="","",D155/D154-1)</f>
      </c>
      <c r="F155" s="56"/>
      <c r="G155" s="49">
        <f>IF(F155="","","Cargado por vos")</f>
      </c>
    </row>
    <row r="156" spans="1:7" x14ac:dyDescent="0.25">
      <c r="A156" s="53" t="s">
        <v>309</v>
      </c>
      <c r="B156" s="53"/>
      <c r="C156" s="53"/>
      <c r="D156" s="54">
        <f>IF(OR(F156="",D155=""),"",D155*(1+F156/100))</f>
      </c>
      <c r="E156" s="55">
        <f>IF(D156="","",D156/D155-1)</f>
      </c>
      <c r="F156" s="56"/>
      <c r="G156" s="53">
        <f>IF(F156="","","Cargado por vos")</f>
      </c>
    </row>
    <row r="157" spans="1:7" x14ac:dyDescent="0.25">
      <c r="A157" s="49" t="s">
        <v>310</v>
      </c>
      <c r="B157" s="49"/>
      <c r="C157" s="49"/>
      <c r="D157" s="50">
        <f>IF(OR(F157="",D156=""),"",D156*(1+F157/100))</f>
      </c>
      <c r="E157" s="51">
        <f>IF(D157="","",D157/D156-1)</f>
      </c>
      <c r="F157" s="56"/>
      <c r="G157" s="49">
        <f>IF(F157="","","Cargado por vos")</f>
      </c>
    </row>
    <row r="158" spans="1:7" x14ac:dyDescent="0.25">
      <c r="A158" s="53" t="s">
        <v>311</v>
      </c>
      <c r="B158" s="53"/>
      <c r="C158" s="53"/>
      <c r="D158" s="54">
        <f>IF(OR(F158="",D157=""),"",D157*(1+F158/100))</f>
      </c>
      <c r="E158" s="55">
        <f>IF(D158="","",D158/D157-1)</f>
      </c>
      <c r="F158" s="56"/>
      <c r="G158" s="53">
        <f>IF(F158="","","Cargado por vos")</f>
      </c>
    </row>
    <row r="159" spans="1:7" x14ac:dyDescent="0.25">
      <c r="A159" s="49" t="s">
        <v>312</v>
      </c>
      <c r="B159" s="49"/>
      <c r="C159" s="49"/>
      <c r="D159" s="50">
        <f>IF(OR(F159="",D158=""),"",D158*(1+F159/100))</f>
      </c>
      <c r="E159" s="51">
        <f>IF(D159="","",D159/D158-1)</f>
      </c>
      <c r="F159" s="56"/>
      <c r="G159" s="49">
        <f>IF(F159="","","Cargado por vos")</f>
      </c>
    </row>
    <row r="160" spans="1:7" x14ac:dyDescent="0.25">
      <c r="A160" s="53" t="s">
        <v>313</v>
      </c>
      <c r="B160" s="53"/>
      <c r="C160" s="53"/>
      <c r="D160" s="54">
        <f>IF(OR(F160="",D159=""),"",D159*(1+F160/100))</f>
      </c>
      <c r="E160" s="55">
        <f>IF(D160="","",D160/D159-1)</f>
      </c>
      <c r="F160" s="56"/>
      <c r="G160" s="53">
        <f>IF(F160="","","Cargado por vos")</f>
      </c>
    </row>
    <row r="161" spans="1:7" x14ac:dyDescent="0.25">
      <c r="A161" s="49" t="s">
        <v>314</v>
      </c>
      <c r="B161" s="49"/>
      <c r="C161" s="49"/>
      <c r="D161" s="50">
        <f>IF(OR(F161="",D160=""),"",D160*(1+F161/100))</f>
      </c>
      <c r="E161" s="51">
        <f>IF(D161="","",D161/D160-1)</f>
      </c>
      <c r="F161" s="56"/>
      <c r="G161" s="49">
        <f>IF(F161="","","Cargado por vos")</f>
      </c>
    </row>
    <row r="162" spans="1:7" x14ac:dyDescent="0.25">
      <c r="A162" s="53" t="s">
        <v>315</v>
      </c>
      <c r="B162" s="53"/>
      <c r="C162" s="53"/>
      <c r="D162" s="54">
        <f>IF(OR(F162="",D161=""),"",D161*(1+F162/100))</f>
      </c>
      <c r="E162" s="55">
        <f>IF(D162="","",D162/D161-1)</f>
      </c>
      <c r="F162" s="56"/>
      <c r="G162" s="53">
        <f>IF(F162="","","Cargado por vos")</f>
      </c>
    </row>
    <row r="163" spans="1:7" x14ac:dyDescent="0.25">
      <c r="A163" s="49" t="s">
        <v>316</v>
      </c>
      <c r="B163" s="49"/>
      <c r="C163" s="49"/>
      <c r="D163" s="50">
        <f>IF(OR(F163="",D162=""),"",D162*(1+F163/100))</f>
      </c>
      <c r="E163" s="51">
        <f>IF(D163="","",D163/D162-1)</f>
      </c>
      <c r="F163" s="56"/>
      <c r="G163" s="49">
        <f>IF(F163="","","Cargado por vos")</f>
      </c>
    </row>
    <row r="164" spans="1:7" x14ac:dyDescent="0.25">
      <c r="A164" s="53" t="s">
        <v>317</v>
      </c>
      <c r="B164" s="53"/>
      <c r="C164" s="53"/>
      <c r="D164" s="54">
        <f>IF(OR(F164="",D163=""),"",D163*(1+F164/100))</f>
      </c>
      <c r="E164" s="55">
        <f>IF(D164="","",D164/D163-1)</f>
      </c>
      <c r="F164" s="56"/>
      <c r="G164" s="53">
        <f>IF(F164="","","Cargado por vos")</f>
      </c>
    </row>
    <row r="165" spans="1:7" x14ac:dyDescent="0.25">
      <c r="A165" s="49" t="s">
        <v>318</v>
      </c>
      <c r="B165" s="49"/>
      <c r="C165" s="49"/>
      <c r="D165" s="50">
        <f>IF(OR(F165="",D164=""),"",D164*(1+F165/100))</f>
      </c>
      <c r="E165" s="51">
        <f>IF(D165="","",D165/D164-1)</f>
      </c>
      <c r="F165" s="56"/>
      <c r="G165" s="49">
        <f>IF(F165="","","Cargado por vos")</f>
      </c>
    </row>
    <row r="166" spans="1:7" x14ac:dyDescent="0.25">
      <c r="A166" s="53" t="s">
        <v>319</v>
      </c>
      <c r="B166" s="53"/>
      <c r="C166" s="53"/>
      <c r="D166" s="54">
        <f>IF(OR(F166="",D165=""),"",D165*(1+F166/100))</f>
      </c>
      <c r="E166" s="55">
        <f>IF(D166="","",D166/D165-1)</f>
      </c>
      <c r="F166" s="56"/>
      <c r="G166" s="53">
        <f>IF(F166="","","Cargado por vos")</f>
      </c>
    </row>
    <row r="167" spans="1:7" x14ac:dyDescent="0.25">
      <c r="A167" s="49" t="s">
        <v>320</v>
      </c>
      <c r="B167" s="49"/>
      <c r="C167" s="49"/>
      <c r="D167" s="50">
        <f>IF(OR(F167="",D166=""),"",D166*(1+F167/100))</f>
      </c>
      <c r="E167" s="51">
        <f>IF(D167="","",D167/D166-1)</f>
      </c>
      <c r="F167" s="56"/>
      <c r="G167" s="49">
        <f>IF(F167="","","Cargado por vos")</f>
      </c>
    </row>
    <row r="168" spans="1:7" x14ac:dyDescent="0.25">
      <c r="A168" s="53" t="s">
        <v>321</v>
      </c>
      <c r="B168" s="53"/>
      <c r="C168" s="53"/>
      <c r="D168" s="54">
        <f>IF(OR(F168="",D167=""),"",D167*(1+F168/100))</f>
      </c>
      <c r="E168" s="55">
        <f>IF(D168="","",D168/D167-1)</f>
      </c>
      <c r="F168" s="56"/>
      <c r="G168" s="53">
        <f>IF(F168="","","Cargado por vos")</f>
      </c>
    </row>
    <row r="169" spans="1:7" x14ac:dyDescent="0.25">
      <c r="A169" s="49" t="s">
        <v>322</v>
      </c>
      <c r="B169" s="49"/>
      <c r="C169" s="49"/>
      <c r="D169" s="50">
        <f>IF(OR(F169="",D168=""),"",D168*(1+F169/100))</f>
      </c>
      <c r="E169" s="51">
        <f>IF(D169="","",D169/D168-1)</f>
      </c>
      <c r="F169" s="56"/>
      <c r="G169" s="49">
        <f>IF(F169="","","Cargado por vos")</f>
      </c>
    </row>
    <row r="170" spans="1:7" x14ac:dyDescent="0.25">
      <c r="A170" s="53" t="s">
        <v>323</v>
      </c>
      <c r="B170" s="53"/>
      <c r="C170" s="53"/>
      <c r="D170" s="54">
        <f>IF(OR(F170="",D169=""),"",D169*(1+F170/100))</f>
      </c>
      <c r="E170" s="55">
        <f>IF(D170="","",D170/D169-1)</f>
      </c>
      <c r="F170" s="56"/>
      <c r="G170" s="53">
        <f>IF(F170="","","Cargado por vos")</f>
      </c>
    </row>
    <row r="171" spans="1:7" x14ac:dyDescent="0.25">
      <c r="A171" s="49" t="s">
        <v>324</v>
      </c>
      <c r="B171" s="49"/>
      <c r="C171" s="49"/>
      <c r="D171" s="50">
        <f>IF(OR(F171="",D170=""),"",D170*(1+F171/100))</f>
      </c>
      <c r="E171" s="51">
        <f>IF(D171="","",D171/D170-1)</f>
      </c>
      <c r="F171" s="56"/>
      <c r="G171" s="49">
        <f>IF(F171="","","Cargado por vos")</f>
      </c>
    </row>
    <row r="172" spans="1:7" x14ac:dyDescent="0.25">
      <c r="A172" s="53" t="s">
        <v>325</v>
      </c>
      <c r="B172" s="53"/>
      <c r="C172" s="53"/>
      <c r="D172" s="54">
        <f>IF(OR(F172="",D171=""),"",D171*(1+F172/100))</f>
      </c>
      <c r="E172" s="55">
        <f>IF(D172="","",D172/D171-1)</f>
      </c>
      <c r="F172" s="56"/>
      <c r="G172" s="53">
        <f>IF(F172="","","Cargado por vos")</f>
      </c>
    </row>
    <row r="173" spans="1:7" x14ac:dyDescent="0.25">
      <c r="A173" s="49" t="s">
        <v>326</v>
      </c>
      <c r="B173" s="49"/>
      <c r="C173" s="49"/>
      <c r="D173" s="50">
        <f>IF(OR(F173="",D172=""),"",D172*(1+F173/100))</f>
      </c>
      <c r="E173" s="51">
        <f>IF(D173="","",D173/D172-1)</f>
      </c>
      <c r="F173" s="56"/>
      <c r="G173" s="49">
        <f>IF(F173="","","Cargado por vos")</f>
      </c>
    </row>
  </sheetData>
  <sheetProtection sheet="1" formatColumns="0" formatRows="0"/>
  <mergeCells count="172">
    <mergeCell ref="A1:G1"/>
    <mergeCell ref="A2:G2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</mergeCells>
  <dataValidations count="1">
    <dataValidation type="decimal" allowBlank="1" showErrorMessage="1" error="Cargá el % del mes como número: por ejemplo 2,1 para 2,1%." sqref="F122:F173">
      <formula1>-50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B11"/>
  <sheetFormatPr defaultRowHeight="15" outlineLevelRow="0" outlineLevelCol="0" x14ac:dyDescent="55"/>
  <cols>
    <col min="1" max="1" width="62" customWidth="1"/>
    <col min="2" max="2" width="76" customWidth="1"/>
  </cols>
  <sheetData>
    <row r="1" ht="28" customHeight="1" spans="1:2" x14ac:dyDescent="0.25">
      <c r="A1" s="44" t="s">
        <v>327</v>
      </c>
      <c r="B1" s="44"/>
    </row>
    <row r="2" ht="30" customHeight="1" spans="1:2" x14ac:dyDescent="0.25">
      <c r="A2" s="57" t="s">
        <v>328</v>
      </c>
      <c r="B2" s="57"/>
    </row>
    <row r="4" spans="1:2" x14ac:dyDescent="0.25">
      <c r="A4" s="58" t="s">
        <v>329</v>
      </c>
      <c r="B4" s="58" t="s">
        <v>330</v>
      </c>
    </row>
    <row r="5" ht="32" customHeight="1" spans="1:2" x14ac:dyDescent="0.25">
      <c r="A5" s="59" t="s">
        <v>331</v>
      </c>
      <c r="B5" s="60" t="s">
        <v>332</v>
      </c>
    </row>
    <row r="6" ht="32" customHeight="1" spans="1:2" x14ac:dyDescent="0.25">
      <c r="A6" s="61" t="s">
        <v>333</v>
      </c>
      <c r="B6" s="62" t="s">
        <v>334</v>
      </c>
    </row>
    <row r="7" ht="32" customHeight="1" spans="1:2" x14ac:dyDescent="0.25">
      <c r="A7" s="59" t="s">
        <v>335</v>
      </c>
      <c r="B7" s="60" t="s">
        <v>336</v>
      </c>
    </row>
    <row r="8" ht="32" customHeight="1" spans="1:2" x14ac:dyDescent="0.25">
      <c r="A8" s="61" t="s">
        <v>337</v>
      </c>
      <c r="B8" s="62" t="s">
        <v>338</v>
      </c>
    </row>
    <row r="9" ht="32" customHeight="1" spans="1:2" x14ac:dyDescent="0.25">
      <c r="A9" s="59" t="s">
        <v>339</v>
      </c>
      <c r="B9" s="60" t="s">
        <v>340</v>
      </c>
    </row>
    <row r="11" spans="1:2" x14ac:dyDescent="0.25">
      <c r="A11" s="9" t="s">
        <v>341</v>
      </c>
      <c r="B11" s="9"/>
    </row>
  </sheetData>
  <mergeCells count="3">
    <mergeCell ref="A1:B1"/>
    <mergeCell ref="A2:B2"/>
    <mergeCell ref="A11:B11"/>
  </mergeCells>
  <hyperlinks>
    <hyperlink ref="B5" r:id="rId1"/>
    <hyperlink ref="B6" r:id="rId2"/>
    <hyperlink ref="B7" r:id="rId3"/>
    <hyperlink ref="B8" r:id="rId4"/>
    <hyperlink ref="B9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Cómo usarla</vt:lpstr>
      <vt:lpstr>Mis plazos fijos</vt:lpstr>
      <vt:lpstr>Calendario</vt:lpstr>
      <vt:lpstr>Renovación</vt:lpstr>
      <vt:lpstr>Tradicional vs UVA</vt:lpstr>
      <vt:lpstr>Escalera</vt:lpstr>
      <vt:lpstr>Resumen del año</vt:lpstr>
      <vt:lpstr>IPC</vt:lpstr>
      <vt:lpstr>Fuentes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CalculAR (calcular.ar)</dc:creator>
  <dc:title>Planilla de plazos fijos 2026</dc:title>
  <dc:subject>Registro de plazos fijos con tasa real contra el IPC del INDEC, calendario, renovación, UVA y escalera</dc:subject>
  <dc:description/>
  <cp:keywords>plazo fijo, tna, tea, inflación, ipc, uva, vencimientos, planilla</cp:keywords>
  <cp:category/>
  <cp:lastModifiedBy>Unknown</cp:lastModifiedBy>
  <dcterms:created xsi:type="dcterms:W3CDTF">2026-10-20T00:44:46Z</dcterms:created>
  <dcterms:modified xsi:type="dcterms:W3CDTF">2026-10-20T00:44:46Z</dcterms:modified>
</cp:coreProperties>
</file>